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dev263df\m290908$\Offline Records (EN)\THU_2015 - Research and evidence - LTMN Data - Vegetation Data   Final(2)\"/>
    </mc:Choice>
  </mc:AlternateContent>
  <xr:revisionPtr revIDLastSave="0" documentId="13_ncr:1_{6A142A4E-8959-4066-9218-87115A8FA54D}" xr6:coauthVersionLast="45" xr6:coauthVersionMax="45" xr10:uidLastSave="{00000000-0000-0000-0000-000000000000}"/>
  <bookViews>
    <workbookView xWindow="16284" yWindow="-96" windowWidth="23256" windowHeight="12576" tabRatio="877" xr2:uid="{00000000-000D-0000-FFFF-FFFF00000000}"/>
  </bookViews>
  <sheets>
    <sheet name="Home" sheetId="19" r:id="rId1"/>
    <sheet name="Whole Plot Data" sheetId="6" r:id="rId2"/>
    <sheet name="Species Template" sheetId="1" r:id="rId3"/>
    <sheet name="Ground Features" sheetId="9" r:id="rId4"/>
    <sheet name="Woodland Coordinates" sheetId="7" r:id="rId5"/>
    <sheet name="Seedlings Template" sheetId="11" r:id="rId6"/>
    <sheet name="Tree Measurement" sheetId="12" r:id="rId7"/>
    <sheet name="Dominance Template" sheetId="13" r:id="rId8"/>
    <sheet name="Species List" sheetId="20" r:id="rId9"/>
    <sheet name="All_LTMN_Lookups" sheetId="17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xlnm._FilterDatabase" localSheetId="3" hidden="1">'Ground Features'!$A$1:$AN$142</definedName>
    <definedName name="_xlnm._FilterDatabase" localSheetId="2" hidden="1">'Species Template'!$A$1:$AO$1954</definedName>
    <definedName name="_xlnm._FilterDatabase" localSheetId="1" hidden="1">'Whole Plot Data'!$A$1:$AO$53</definedName>
    <definedName name="Abies_alba" localSheetId="9">All_LTMN_Lookups!$J$2:$J$1223</definedName>
    <definedName name="Abies_alba" localSheetId="7">#REF!</definedName>
    <definedName name="Abies_alba">#REF!</definedName>
    <definedName name="ALLQCODETYPES">'[1]NEW QCODES'!#REF!</definedName>
    <definedName name="AllSC" localSheetId="9">#REF!</definedName>
    <definedName name="AllSC">#REF!</definedName>
    <definedName name="B01_">[2]All_LTMN_Lookups!$I$2:$I$41</definedName>
    <definedName name="Broad_habitat">[2]All_LTMN_Lookups!$N$2:$N$18</definedName>
    <definedName name="BROADHAB" localSheetId="9">#REF!</definedName>
    <definedName name="BROADHAB">#REF!</definedName>
    <definedName name="C_">[3]All_LTMN_Lookups!$C$2:$C$8</definedName>
    <definedName name="D1VW">'Dominance Template'!$A$1:$G$1</definedName>
    <definedName name="D2VW">'Seedlings Template'!$A$1:$P$2</definedName>
    <definedName name="D3VC">#REF!</definedName>
    <definedName name="D3VW">'Tree Measurement'!$A$1:$W$1</definedName>
    <definedName name="DESC_LATIN" localSheetId="9">'Species Template'!#REF!</definedName>
    <definedName name="DESC_LATIN">'Species Template'!#REF!</definedName>
    <definedName name="DI" localSheetId="9">#REF!</definedName>
    <definedName name="DI">#REF!</definedName>
    <definedName name="DOMCODE" localSheetId="9">#REF!</definedName>
    <definedName name="DOMCODE">#REF!</definedName>
    <definedName name="ENVIROCODES" localSheetId="9">#REF!</definedName>
    <definedName name="ENVIROCODES">#REF!</definedName>
    <definedName name="INVERTCODES" localSheetId="9">#REF!</definedName>
    <definedName name="INVERTCODES">#REF!</definedName>
    <definedName name="LANDUSE" localSheetId="9">#REF!</definedName>
    <definedName name="LANDUSE">#REF!</definedName>
    <definedName name="Latin" localSheetId="9">#REF!</definedName>
    <definedName name="Latin">#REF!</definedName>
    <definedName name="MCODE" localSheetId="9">#REF!</definedName>
    <definedName name="MCODE">#REF!</definedName>
    <definedName name="OTHERSCODES" localSheetId="9">#REF!</definedName>
    <definedName name="OTHERSCODES">#REF!</definedName>
    <definedName name="PRIHAB" localSheetId="9">#REF!</definedName>
    <definedName name="PRIHAB">#REF!</definedName>
    <definedName name="PriorityHabitat">[2]All_LTMN_Lookups!$O$2:$O$34</definedName>
    <definedName name="Q_code">[4]All_LTMN_Lookups!$L$2:$L$140</definedName>
    <definedName name="QA" localSheetId="9">#REF!</definedName>
    <definedName name="QA">All_LTMN_Lookups!$V$2:$V$27</definedName>
    <definedName name="qcode">[2]All_LTMN_Lookups!$L$2:$L$140</definedName>
    <definedName name="qtext">[2]All_LTMN_Lookups!$M$2:$M$140</definedName>
    <definedName name="Site_code" localSheetId="9">All_LTMN_Lookups!#REF!</definedName>
    <definedName name="Site_code" localSheetId="3">[5]All_LTMN_Lookups!$I$2:$I$41</definedName>
    <definedName name="Site_code" localSheetId="4">[5]All_LTMN_Lookups!$I$2:$I$41</definedName>
    <definedName name="Site_code">#REF!</definedName>
    <definedName name="sitecode" localSheetId="9">[5]All_LTMN_Lookups!$I$2:$I$41</definedName>
    <definedName name="sitecode" localSheetId="5">[6]All_LTMN_Lookups!$I$2:$I$41</definedName>
    <definedName name="sitecode">[5]All_LTMN_Lookups!$I$2:$I$41</definedName>
    <definedName name="SITECODES" localSheetId="9">#REF!</definedName>
    <definedName name="SITECODES">#REF!</definedName>
    <definedName name="SLOPEFORM" localSheetId="9">#REF!</definedName>
    <definedName name="SLOPEFORM">#REF!</definedName>
    <definedName name="TEMP_LIST" localSheetId="9">'Species Template'!#REF!</definedName>
    <definedName name="TEMP_LIST">'Species Template'!#REF!</definedName>
    <definedName name="vcode" localSheetId="9">#REF!</definedName>
    <definedName name="vcode" localSheetId="7">#REF!</definedName>
    <definedName name="vcode" localSheetId="6">#REF!</definedName>
    <definedName name="vcode">#REF!</definedName>
    <definedName name="vecode" localSheetId="9">#REF!</definedName>
    <definedName name="vecode">#REF!</definedName>
    <definedName name="veg" localSheetId="9">#REF!</definedName>
    <definedName name="veg">#REF!</definedName>
    <definedName name="VEGCODES" localSheetId="9">#REF!</definedName>
    <definedName name="VEGCODES">#REF!</definedName>
    <definedName name="vegspec" localSheetId="9">All_LTMN_Lookups!$K$2:$K$1223</definedName>
    <definedName name="vegspec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35" i="12" l="1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L86" i="12"/>
  <c r="L87" i="12"/>
  <c r="L88" i="12"/>
  <c r="L89" i="12"/>
  <c r="L90" i="12"/>
  <c r="L91" i="12"/>
  <c r="L92" i="12"/>
  <c r="L93" i="12"/>
  <c r="L94" i="12"/>
  <c r="L95" i="12"/>
  <c r="L96" i="12"/>
  <c r="L97" i="12"/>
  <c r="L98" i="12"/>
  <c r="L99" i="12"/>
  <c r="L100" i="12"/>
  <c r="L101" i="12"/>
  <c r="L102" i="12"/>
  <c r="L103" i="12"/>
  <c r="L104" i="12"/>
  <c r="L105" i="12"/>
  <c r="L106" i="12"/>
  <c r="L107" i="12"/>
  <c r="L108" i="12"/>
  <c r="L109" i="12"/>
  <c r="L110" i="12"/>
  <c r="L111" i="12"/>
  <c r="L112" i="12"/>
  <c r="L113" i="12"/>
  <c r="L114" i="12"/>
  <c r="L115" i="12"/>
  <c r="L116" i="12"/>
  <c r="L117" i="12"/>
  <c r="L118" i="12"/>
  <c r="L119" i="12"/>
  <c r="L120" i="12"/>
  <c r="L121" i="12"/>
  <c r="L122" i="12"/>
  <c r="L123" i="12"/>
  <c r="L124" i="12"/>
  <c r="L125" i="12"/>
  <c r="L126" i="12"/>
  <c r="L127" i="12"/>
  <c r="L128" i="12"/>
  <c r="L129" i="12"/>
  <c r="L130" i="12"/>
  <c r="L131" i="12"/>
  <c r="L132" i="12"/>
  <c r="L133" i="12"/>
  <c r="L134" i="12"/>
  <c r="L135" i="12"/>
  <c r="L136" i="12"/>
  <c r="L137" i="12"/>
  <c r="L138" i="12"/>
  <c r="L139" i="12"/>
  <c r="L140" i="12"/>
  <c r="L141" i="12"/>
  <c r="L142" i="12"/>
  <c r="L143" i="12"/>
  <c r="L144" i="12"/>
  <c r="L145" i="12"/>
  <c r="L146" i="12"/>
  <c r="L147" i="12"/>
  <c r="L148" i="12"/>
  <c r="L149" i="12"/>
  <c r="L150" i="12"/>
  <c r="L151" i="12"/>
  <c r="L152" i="12"/>
  <c r="L153" i="12"/>
  <c r="L154" i="12"/>
  <c r="L155" i="12"/>
  <c r="L156" i="12"/>
  <c r="L157" i="12"/>
  <c r="L158" i="12"/>
  <c r="L159" i="12"/>
  <c r="L160" i="12"/>
  <c r="L161" i="12"/>
  <c r="L162" i="12"/>
  <c r="L163" i="12"/>
  <c r="L164" i="12"/>
  <c r="L165" i="12"/>
  <c r="L166" i="12"/>
  <c r="L167" i="12"/>
  <c r="L168" i="12"/>
  <c r="L169" i="12"/>
  <c r="L170" i="12"/>
  <c r="L171" i="12"/>
  <c r="L172" i="12"/>
  <c r="L173" i="12"/>
  <c r="L174" i="12"/>
  <c r="L175" i="12"/>
  <c r="L176" i="12"/>
  <c r="L177" i="12"/>
  <c r="L178" i="12"/>
  <c r="L179" i="12"/>
  <c r="L180" i="12"/>
  <c r="L181" i="12"/>
  <c r="L182" i="12"/>
  <c r="L183" i="12"/>
  <c r="L184" i="12"/>
  <c r="L185" i="12"/>
  <c r="L186" i="12"/>
  <c r="L187" i="12"/>
  <c r="L188" i="12"/>
  <c r="L189" i="12"/>
  <c r="L190" i="12"/>
  <c r="L191" i="12"/>
  <c r="L192" i="12"/>
  <c r="L193" i="12"/>
  <c r="L194" i="12"/>
  <c r="L195" i="12"/>
  <c r="L196" i="12"/>
  <c r="L197" i="12"/>
  <c r="L198" i="12"/>
  <c r="L199" i="12"/>
  <c r="L200" i="12"/>
  <c r="L201" i="12"/>
  <c r="L202" i="12"/>
  <c r="L203" i="12"/>
  <c r="L204" i="12"/>
  <c r="L205" i="12"/>
  <c r="L206" i="12"/>
  <c r="L207" i="12"/>
  <c r="L208" i="12"/>
  <c r="L209" i="12"/>
  <c r="L210" i="12"/>
  <c r="L211" i="12"/>
  <c r="L212" i="12"/>
  <c r="L213" i="12"/>
  <c r="L214" i="12"/>
  <c r="L215" i="12"/>
  <c r="L216" i="12"/>
  <c r="L217" i="12"/>
  <c r="L218" i="12"/>
  <c r="L219" i="12"/>
  <c r="L220" i="12"/>
  <c r="L221" i="12"/>
  <c r="L222" i="12"/>
  <c r="L223" i="12"/>
  <c r="L224" i="12"/>
  <c r="L225" i="12"/>
  <c r="L226" i="12"/>
  <c r="L227" i="12"/>
  <c r="L228" i="12"/>
  <c r="L229" i="12"/>
  <c r="L230" i="12"/>
  <c r="L231" i="12"/>
  <c r="L232" i="12"/>
  <c r="L233" i="12"/>
  <c r="L234" i="12"/>
  <c r="L235" i="12"/>
  <c r="L236" i="12"/>
  <c r="L237" i="12"/>
  <c r="L238" i="12"/>
  <c r="L239" i="12"/>
  <c r="L240" i="12"/>
  <c r="L241" i="12"/>
  <c r="L242" i="12"/>
  <c r="L243" i="12"/>
  <c r="L244" i="12"/>
  <c r="L245" i="12"/>
  <c r="L246" i="12"/>
  <c r="L247" i="12"/>
  <c r="L248" i="12"/>
  <c r="L249" i="12"/>
  <c r="L250" i="12"/>
  <c r="L251" i="12"/>
  <c r="L252" i="12"/>
  <c r="L253" i="12"/>
  <c r="L254" i="12"/>
  <c r="L255" i="12"/>
  <c r="L256" i="12"/>
  <c r="L257" i="12"/>
  <c r="L258" i="12"/>
  <c r="L259" i="12"/>
  <c r="L260" i="12"/>
  <c r="L261" i="12"/>
  <c r="L262" i="12"/>
  <c r="L263" i="12"/>
  <c r="L264" i="12"/>
  <c r="L265" i="12"/>
  <c r="L266" i="12"/>
  <c r="L267" i="12"/>
  <c r="L268" i="12"/>
  <c r="L269" i="12"/>
  <c r="L270" i="12"/>
  <c r="L271" i="12"/>
  <c r="L272" i="12"/>
  <c r="L273" i="12"/>
  <c r="L274" i="12"/>
  <c r="L275" i="12"/>
  <c r="L276" i="12"/>
  <c r="L277" i="12"/>
  <c r="L278" i="12"/>
  <c r="L279" i="12"/>
  <c r="L280" i="12"/>
  <c r="L281" i="12"/>
  <c r="L282" i="12"/>
  <c r="L283" i="12"/>
  <c r="L284" i="12"/>
  <c r="L285" i="12"/>
  <c r="L286" i="12"/>
  <c r="L287" i="12"/>
  <c r="L288" i="12"/>
  <c r="L289" i="12"/>
  <c r="L290" i="12"/>
  <c r="L291" i="12"/>
  <c r="L292" i="12"/>
  <c r="L293" i="12"/>
  <c r="L294" i="12"/>
  <c r="L295" i="12"/>
  <c r="L296" i="12"/>
  <c r="L297" i="12"/>
  <c r="L298" i="12"/>
  <c r="L299" i="12"/>
  <c r="L300" i="12"/>
  <c r="L301" i="12"/>
  <c r="L302" i="12"/>
  <c r="L303" i="12"/>
  <c r="L304" i="12"/>
  <c r="L305" i="12"/>
  <c r="L306" i="12"/>
  <c r="L307" i="12"/>
  <c r="L308" i="12"/>
  <c r="L309" i="12"/>
  <c r="L310" i="12"/>
  <c r="L311" i="12"/>
  <c r="L312" i="12"/>
  <c r="L313" i="12"/>
  <c r="L314" i="12"/>
  <c r="L315" i="12"/>
  <c r="L316" i="12"/>
  <c r="L317" i="12"/>
  <c r="L318" i="12"/>
  <c r="L319" i="12"/>
  <c r="L320" i="12"/>
  <c r="L321" i="12"/>
  <c r="L322" i="12"/>
  <c r="L323" i="12"/>
  <c r="L324" i="12"/>
  <c r="L325" i="12"/>
  <c r="L326" i="12"/>
  <c r="L327" i="12"/>
  <c r="L328" i="12"/>
  <c r="L329" i="12"/>
  <c r="L330" i="12"/>
  <c r="L331" i="12"/>
  <c r="L332" i="12"/>
  <c r="L333" i="12"/>
  <c r="L334" i="12"/>
  <c r="L335" i="12"/>
  <c r="L336" i="12"/>
  <c r="L337" i="12"/>
  <c r="L338" i="12"/>
  <c r="L339" i="12"/>
  <c r="L340" i="12"/>
  <c r="L341" i="12"/>
  <c r="L342" i="12"/>
  <c r="L343" i="12"/>
  <c r="L344" i="12"/>
  <c r="L345" i="12"/>
  <c r="L346" i="12"/>
  <c r="L347" i="12"/>
  <c r="L348" i="12"/>
  <c r="L349" i="12"/>
  <c r="L350" i="12"/>
  <c r="L351" i="12"/>
  <c r="L352" i="12"/>
  <c r="L353" i="12"/>
  <c r="L354" i="12"/>
  <c r="L355" i="12"/>
  <c r="L356" i="12"/>
  <c r="L357" i="12"/>
  <c r="L358" i="12"/>
  <c r="L359" i="12"/>
  <c r="L360" i="12"/>
  <c r="L361" i="12"/>
  <c r="L362" i="12"/>
  <c r="L363" i="12"/>
  <c r="L364" i="12"/>
  <c r="L365" i="12"/>
  <c r="L366" i="12"/>
  <c r="L367" i="12"/>
  <c r="L368" i="12"/>
  <c r="L369" i="12"/>
  <c r="L370" i="12"/>
  <c r="L371" i="12"/>
  <c r="L372" i="12"/>
  <c r="L373" i="12"/>
  <c r="L374" i="12"/>
  <c r="L375" i="12"/>
  <c r="L376" i="12"/>
  <c r="L377" i="12"/>
  <c r="L378" i="12"/>
  <c r="L379" i="12"/>
  <c r="L380" i="12"/>
  <c r="L381" i="12"/>
  <c r="L382" i="12"/>
  <c r="L383" i="12"/>
  <c r="L384" i="12"/>
  <c r="L385" i="12"/>
  <c r="L386" i="12"/>
  <c r="L387" i="12"/>
  <c r="L388" i="12"/>
  <c r="L389" i="12"/>
  <c r="L390" i="12"/>
  <c r="L391" i="12"/>
  <c r="L392" i="12"/>
  <c r="L393" i="12"/>
  <c r="L394" i="12"/>
  <c r="L395" i="12"/>
  <c r="L396" i="12"/>
  <c r="L397" i="12"/>
  <c r="L398" i="12"/>
  <c r="L399" i="12"/>
  <c r="L400" i="12"/>
  <c r="L401" i="12"/>
  <c r="L402" i="12"/>
  <c r="L403" i="12"/>
  <c r="L404" i="12"/>
  <c r="L405" i="12"/>
  <c r="L406" i="12"/>
  <c r="L407" i="12"/>
  <c r="L408" i="12"/>
  <c r="L409" i="12"/>
  <c r="L410" i="12"/>
  <c r="L411" i="12"/>
  <c r="L412" i="12"/>
  <c r="L413" i="12"/>
  <c r="L414" i="12"/>
  <c r="L415" i="12"/>
  <c r="L416" i="12"/>
  <c r="L417" i="12"/>
  <c r="L418" i="12"/>
  <c r="L419" i="12"/>
  <c r="L420" i="12"/>
  <c r="L421" i="12"/>
  <c r="L422" i="12"/>
  <c r="L423" i="12"/>
  <c r="L424" i="12"/>
  <c r="L425" i="12"/>
  <c r="L426" i="12"/>
  <c r="L427" i="12"/>
  <c r="L428" i="12"/>
  <c r="L429" i="12"/>
  <c r="L430" i="12"/>
  <c r="L431" i="12"/>
  <c r="L432" i="12"/>
  <c r="L433" i="12"/>
  <c r="L434" i="12"/>
  <c r="L435" i="12"/>
  <c r="L436" i="12"/>
  <c r="L437" i="12"/>
  <c r="L438" i="12"/>
  <c r="L439" i="12"/>
  <c r="L440" i="12"/>
  <c r="L441" i="12"/>
  <c r="L442" i="12"/>
  <c r="L443" i="12"/>
  <c r="L444" i="12"/>
  <c r="L445" i="12"/>
  <c r="L446" i="12"/>
  <c r="L447" i="12"/>
  <c r="L448" i="12"/>
  <c r="L449" i="12"/>
  <c r="L450" i="12"/>
  <c r="L451" i="12"/>
  <c r="L452" i="12"/>
  <c r="L453" i="12"/>
  <c r="L454" i="12"/>
  <c r="L455" i="12"/>
  <c r="L456" i="12"/>
  <c r="L457" i="12"/>
  <c r="L458" i="12"/>
  <c r="L459" i="12"/>
  <c r="L460" i="12"/>
  <c r="L461" i="12"/>
  <c r="L462" i="12"/>
  <c r="L463" i="12"/>
  <c r="L464" i="12"/>
  <c r="L465" i="12"/>
  <c r="L466" i="12"/>
  <c r="L467" i="12"/>
  <c r="L468" i="12"/>
  <c r="L469" i="12"/>
  <c r="L470" i="12"/>
  <c r="L471" i="12"/>
  <c r="L472" i="12"/>
  <c r="L473" i="12"/>
  <c r="L474" i="12"/>
  <c r="L475" i="12"/>
  <c r="L476" i="12"/>
  <c r="L477" i="12"/>
  <c r="L478" i="12"/>
  <c r="L479" i="12"/>
  <c r="L480" i="12"/>
  <c r="L481" i="12"/>
  <c r="L482" i="12"/>
  <c r="L483" i="12"/>
  <c r="L484" i="12"/>
  <c r="L485" i="12"/>
  <c r="L486" i="12"/>
  <c r="L487" i="12"/>
  <c r="L488" i="12"/>
  <c r="L489" i="12"/>
  <c r="L490" i="12"/>
  <c r="L491" i="12"/>
  <c r="L492" i="12"/>
  <c r="L493" i="12"/>
  <c r="L494" i="12"/>
  <c r="L495" i="12"/>
  <c r="L496" i="12"/>
  <c r="L497" i="12"/>
  <c r="L498" i="12"/>
  <c r="L499" i="12"/>
  <c r="L500" i="12"/>
  <c r="L501" i="12"/>
  <c r="L502" i="12"/>
  <c r="L503" i="12"/>
  <c r="L504" i="12"/>
  <c r="L505" i="12"/>
  <c r="L506" i="12"/>
  <c r="L507" i="12"/>
  <c r="L508" i="12"/>
  <c r="L509" i="12"/>
  <c r="L510" i="12"/>
  <c r="L511" i="12"/>
  <c r="L512" i="12"/>
  <c r="L513" i="12"/>
  <c r="L514" i="12"/>
  <c r="L515" i="12"/>
  <c r="L516" i="12"/>
  <c r="L517" i="12"/>
  <c r="L518" i="12"/>
  <c r="L519" i="12"/>
  <c r="L520" i="12"/>
  <c r="L521" i="12"/>
  <c r="L522" i="12"/>
  <c r="L523" i="12"/>
  <c r="L524" i="12"/>
  <c r="L525" i="12"/>
  <c r="L526" i="12"/>
  <c r="L527" i="12"/>
  <c r="L528" i="12"/>
  <c r="L529" i="12"/>
  <c r="L530" i="12"/>
  <c r="L531" i="12"/>
  <c r="L532" i="12"/>
  <c r="L533" i="12"/>
  <c r="L534" i="12"/>
  <c r="L535" i="12"/>
  <c r="L536" i="12"/>
  <c r="L537" i="12"/>
  <c r="L538" i="12"/>
  <c r="L539" i="12"/>
  <c r="L540" i="12"/>
  <c r="L541" i="12"/>
  <c r="L542" i="12"/>
  <c r="L543" i="12"/>
  <c r="L544" i="12"/>
  <c r="L545" i="12"/>
  <c r="L546" i="12"/>
  <c r="L547" i="12"/>
  <c r="L548" i="12"/>
  <c r="L549" i="12"/>
  <c r="L550" i="12"/>
  <c r="L551" i="12"/>
  <c r="L552" i="12"/>
  <c r="L553" i="12"/>
  <c r="L554" i="12"/>
  <c r="L555" i="12"/>
  <c r="L556" i="12"/>
  <c r="L557" i="12"/>
  <c r="L558" i="12"/>
  <c r="L559" i="12"/>
  <c r="L560" i="12"/>
  <c r="L561" i="12"/>
  <c r="L562" i="12"/>
  <c r="L563" i="12"/>
  <c r="L564" i="12"/>
  <c r="L565" i="12"/>
  <c r="L566" i="12"/>
  <c r="L567" i="12"/>
  <c r="L568" i="12"/>
  <c r="L569" i="12"/>
  <c r="L570" i="12"/>
  <c r="L571" i="12"/>
  <c r="L572" i="12"/>
  <c r="L573" i="12"/>
  <c r="L574" i="12"/>
  <c r="L575" i="12"/>
  <c r="L576" i="12"/>
  <c r="L577" i="12"/>
  <c r="L578" i="12"/>
  <c r="L579" i="12"/>
  <c r="L580" i="12"/>
  <c r="L581" i="12"/>
  <c r="L582" i="12"/>
  <c r="L583" i="12"/>
  <c r="L584" i="12"/>
  <c r="L585" i="12"/>
  <c r="L586" i="12"/>
  <c r="L587" i="12"/>
  <c r="L588" i="12"/>
  <c r="L589" i="12"/>
  <c r="L590" i="12"/>
  <c r="L591" i="12"/>
  <c r="L592" i="12"/>
  <c r="L593" i="12"/>
  <c r="L594" i="12"/>
  <c r="L595" i="12"/>
  <c r="L596" i="12"/>
  <c r="L597" i="12"/>
  <c r="L598" i="12"/>
  <c r="L599" i="12"/>
  <c r="L600" i="12"/>
  <c r="L601" i="12"/>
  <c r="L602" i="12"/>
  <c r="L603" i="12"/>
  <c r="L604" i="12"/>
  <c r="L605" i="12"/>
  <c r="L606" i="12"/>
  <c r="L607" i="12"/>
  <c r="L608" i="12"/>
  <c r="L609" i="12"/>
  <c r="L610" i="12"/>
  <c r="L611" i="12"/>
  <c r="L612" i="12"/>
  <c r="L613" i="12"/>
  <c r="L614" i="12"/>
  <c r="L615" i="12"/>
  <c r="L616" i="12"/>
  <c r="L617" i="12"/>
  <c r="L618" i="12"/>
  <c r="L619" i="12"/>
  <c r="L620" i="12"/>
  <c r="L621" i="12"/>
  <c r="L622" i="12"/>
  <c r="L623" i="12"/>
  <c r="L624" i="12"/>
  <c r="L625" i="12"/>
  <c r="L626" i="12"/>
  <c r="L627" i="12"/>
  <c r="L628" i="12"/>
  <c r="L629" i="12"/>
  <c r="L630" i="12"/>
  <c r="L631" i="12"/>
  <c r="L632" i="12"/>
  <c r="L633" i="12"/>
  <c r="L634" i="12"/>
  <c r="L635" i="12"/>
  <c r="L636" i="12"/>
  <c r="L637" i="12"/>
  <c r="L638" i="12"/>
  <c r="L639" i="12"/>
  <c r="L640" i="12"/>
  <c r="L641" i="12"/>
  <c r="L642" i="12"/>
  <c r="L643" i="12"/>
  <c r="L644" i="12"/>
  <c r="L645" i="12"/>
  <c r="L646" i="12"/>
  <c r="L647" i="12"/>
  <c r="L648" i="12"/>
  <c r="L649" i="12"/>
  <c r="L650" i="12"/>
  <c r="L651" i="12"/>
  <c r="L652" i="12"/>
  <c r="L653" i="12"/>
  <c r="L654" i="12"/>
  <c r="L655" i="12"/>
  <c r="L656" i="12"/>
  <c r="L657" i="12"/>
  <c r="L658" i="12"/>
  <c r="L659" i="12"/>
  <c r="L660" i="12"/>
  <c r="L661" i="12"/>
  <c r="L662" i="12"/>
  <c r="L663" i="12"/>
  <c r="L664" i="12"/>
  <c r="L665" i="12"/>
  <c r="L666" i="12"/>
  <c r="L667" i="12"/>
  <c r="L668" i="12"/>
  <c r="L669" i="12"/>
  <c r="L670" i="12"/>
  <c r="L671" i="12"/>
  <c r="L672" i="12"/>
  <c r="L673" i="12"/>
  <c r="L674" i="12"/>
  <c r="L675" i="12"/>
  <c r="L676" i="12"/>
  <c r="L677" i="12"/>
  <c r="L678" i="12"/>
  <c r="L679" i="12"/>
  <c r="L680" i="12"/>
  <c r="L681" i="12"/>
  <c r="L682" i="12"/>
  <c r="L683" i="12"/>
  <c r="L684" i="12"/>
  <c r="L685" i="12"/>
  <c r="L686" i="12"/>
  <c r="L687" i="12"/>
  <c r="L688" i="12"/>
  <c r="L689" i="12"/>
  <c r="L690" i="12"/>
  <c r="L691" i="12"/>
  <c r="L692" i="12"/>
  <c r="L693" i="12"/>
  <c r="L694" i="12"/>
  <c r="L695" i="12"/>
  <c r="L696" i="12"/>
  <c r="L697" i="12"/>
  <c r="L698" i="12"/>
  <c r="L699" i="12"/>
  <c r="L700" i="12"/>
  <c r="L701" i="12"/>
  <c r="L702" i="12"/>
  <c r="L703" i="12"/>
  <c r="L704" i="12"/>
  <c r="L705" i="12"/>
  <c r="L706" i="12"/>
  <c r="L707" i="12"/>
  <c r="L708" i="12"/>
  <c r="L709" i="12"/>
  <c r="L710" i="12"/>
  <c r="L711" i="12"/>
  <c r="L712" i="12"/>
  <c r="L713" i="12"/>
  <c r="L714" i="12"/>
  <c r="L715" i="12"/>
  <c r="L716" i="12"/>
  <c r="L717" i="12"/>
  <c r="L718" i="12"/>
  <c r="L719" i="12"/>
  <c r="L720" i="12"/>
  <c r="L721" i="12"/>
  <c r="L722" i="12"/>
  <c r="L723" i="12"/>
  <c r="L724" i="12"/>
  <c r="L725" i="12"/>
  <c r="L726" i="12"/>
  <c r="L727" i="12"/>
  <c r="L728" i="12"/>
  <c r="L729" i="12"/>
  <c r="L730" i="12"/>
  <c r="L731" i="12"/>
  <c r="L732" i="12"/>
  <c r="L733" i="12"/>
  <c r="L734" i="12"/>
  <c r="L735" i="12"/>
  <c r="L736" i="12"/>
  <c r="L737" i="12"/>
  <c r="L738" i="12"/>
  <c r="L739" i="12"/>
  <c r="L740" i="12"/>
  <c r="L741" i="12"/>
  <c r="L742" i="12"/>
  <c r="L743" i="12"/>
  <c r="L744" i="12"/>
  <c r="L745" i="12"/>
  <c r="L746" i="12"/>
  <c r="L747" i="12"/>
  <c r="L748" i="12"/>
  <c r="L749" i="12"/>
  <c r="L750" i="12"/>
  <c r="L751" i="12"/>
  <c r="L752" i="12"/>
  <c r="L753" i="12"/>
  <c r="L754" i="12"/>
  <c r="L755" i="12"/>
  <c r="L756" i="12"/>
  <c r="L757" i="12"/>
  <c r="L758" i="12"/>
  <c r="L759" i="12"/>
  <c r="L760" i="12"/>
  <c r="L761" i="12"/>
  <c r="L762" i="12"/>
  <c r="L763" i="12"/>
  <c r="L764" i="12"/>
  <c r="L765" i="12"/>
  <c r="L766" i="12"/>
  <c r="L767" i="12"/>
  <c r="L768" i="12"/>
  <c r="L769" i="12"/>
  <c r="L770" i="12"/>
  <c r="L771" i="12"/>
  <c r="L772" i="12"/>
  <c r="L773" i="12"/>
  <c r="L774" i="12"/>
  <c r="L775" i="12"/>
  <c r="L776" i="12"/>
  <c r="L777" i="12"/>
  <c r="L778" i="12"/>
  <c r="L779" i="12"/>
  <c r="L780" i="12"/>
  <c r="L781" i="12"/>
  <c r="L782" i="12"/>
  <c r="L783" i="12"/>
  <c r="L784" i="12"/>
  <c r="L785" i="12"/>
  <c r="L786" i="12"/>
  <c r="L787" i="12"/>
  <c r="L788" i="12"/>
  <c r="L789" i="12"/>
  <c r="L790" i="12"/>
  <c r="L791" i="12"/>
  <c r="L792" i="12"/>
  <c r="L793" i="12"/>
  <c r="L794" i="12"/>
  <c r="L795" i="12"/>
  <c r="L796" i="12"/>
  <c r="L797" i="12"/>
  <c r="L798" i="12"/>
  <c r="L799" i="12"/>
  <c r="L800" i="12"/>
  <c r="L801" i="12"/>
  <c r="L802" i="12"/>
  <c r="L803" i="12"/>
  <c r="L804" i="12"/>
  <c r="L805" i="12"/>
  <c r="L806" i="12"/>
  <c r="L807" i="12"/>
  <c r="L808" i="12"/>
  <c r="L809" i="12"/>
  <c r="L810" i="12"/>
  <c r="L811" i="12"/>
  <c r="L812" i="12"/>
  <c r="L813" i="12"/>
  <c r="L814" i="12"/>
  <c r="L815" i="12"/>
  <c r="L816" i="12"/>
  <c r="L817" i="12"/>
  <c r="L818" i="12"/>
  <c r="L819" i="12"/>
  <c r="L820" i="12"/>
  <c r="L821" i="12"/>
  <c r="L822" i="12"/>
  <c r="L823" i="12"/>
  <c r="L824" i="12"/>
  <c r="L825" i="12"/>
  <c r="L826" i="12"/>
  <c r="L827" i="12"/>
  <c r="L828" i="12"/>
  <c r="L829" i="12"/>
  <c r="L830" i="12"/>
  <c r="L831" i="12"/>
  <c r="L832" i="12"/>
  <c r="L833" i="12"/>
  <c r="L834" i="12"/>
  <c r="L835" i="12"/>
  <c r="L836" i="12"/>
  <c r="L837" i="12"/>
  <c r="L838" i="12"/>
  <c r="L839" i="12"/>
  <c r="L840" i="12"/>
  <c r="L841" i="12"/>
  <c r="L842" i="12"/>
  <c r="L843" i="12"/>
  <c r="L844" i="12"/>
  <c r="L845" i="12"/>
  <c r="L846" i="12"/>
  <c r="L847" i="12"/>
  <c r="L848" i="12"/>
  <c r="L849" i="12"/>
  <c r="L850" i="12"/>
  <c r="L851" i="12"/>
  <c r="L852" i="12"/>
  <c r="L853" i="12"/>
  <c r="L854" i="12"/>
  <c r="L855" i="12"/>
  <c r="L856" i="12"/>
  <c r="L857" i="12"/>
  <c r="L858" i="12"/>
  <c r="L859" i="12"/>
  <c r="L860" i="12"/>
  <c r="L861" i="12"/>
  <c r="L862" i="12"/>
  <c r="L863" i="12"/>
  <c r="L864" i="12"/>
  <c r="L865" i="12"/>
  <c r="L866" i="12"/>
  <c r="L867" i="12"/>
  <c r="L868" i="12"/>
  <c r="L869" i="12"/>
  <c r="L870" i="12"/>
  <c r="L871" i="12"/>
  <c r="L872" i="12"/>
  <c r="L873" i="12"/>
  <c r="L874" i="12"/>
  <c r="L875" i="12"/>
  <c r="L876" i="12"/>
  <c r="L877" i="12"/>
  <c r="L878" i="12"/>
  <c r="L879" i="12"/>
  <c r="L880" i="12"/>
  <c r="L881" i="12"/>
  <c r="L882" i="12"/>
  <c r="L883" i="12"/>
  <c r="L884" i="12"/>
  <c r="L885" i="12"/>
  <c r="L886" i="12"/>
  <c r="L887" i="12"/>
  <c r="L888" i="12"/>
  <c r="L889" i="12"/>
  <c r="L890" i="12"/>
  <c r="L891" i="12"/>
  <c r="L892" i="12"/>
  <c r="L893" i="12"/>
  <c r="L894" i="12"/>
  <c r="L895" i="12"/>
  <c r="L896" i="12"/>
  <c r="L897" i="12"/>
  <c r="L898" i="12"/>
  <c r="L899" i="12"/>
  <c r="L900" i="12"/>
  <c r="L901" i="12"/>
  <c r="L902" i="12"/>
  <c r="L903" i="12"/>
  <c r="L904" i="12"/>
  <c r="L905" i="12"/>
  <c r="L906" i="12"/>
  <c r="L907" i="12"/>
  <c r="L908" i="12"/>
  <c r="L909" i="12"/>
  <c r="L910" i="12"/>
  <c r="L911" i="12"/>
  <c r="L912" i="12"/>
  <c r="L913" i="12"/>
  <c r="L914" i="12"/>
  <c r="L915" i="12"/>
  <c r="L916" i="12"/>
  <c r="L917" i="12"/>
  <c r="L918" i="12"/>
  <c r="L919" i="12"/>
  <c r="L920" i="12"/>
  <c r="L921" i="12"/>
  <c r="L922" i="12"/>
  <c r="L923" i="12"/>
  <c r="L924" i="12"/>
  <c r="L925" i="12"/>
  <c r="L926" i="12"/>
  <c r="L927" i="12"/>
  <c r="L928" i="12"/>
  <c r="L929" i="12"/>
  <c r="L930" i="12"/>
  <c r="L931" i="12"/>
  <c r="L932" i="12"/>
  <c r="L933" i="12"/>
  <c r="L934" i="12"/>
  <c r="L935" i="12"/>
  <c r="L936" i="12"/>
  <c r="L937" i="12"/>
  <c r="L938" i="12"/>
  <c r="L939" i="12"/>
  <c r="L940" i="12"/>
  <c r="L941" i="12"/>
  <c r="L942" i="12"/>
  <c r="L943" i="12"/>
  <c r="L944" i="12"/>
  <c r="L945" i="12"/>
  <c r="L946" i="12"/>
  <c r="L947" i="12"/>
  <c r="L948" i="12"/>
  <c r="L949" i="12"/>
  <c r="L950" i="12"/>
  <c r="L951" i="12"/>
  <c r="L952" i="12"/>
  <c r="L953" i="12"/>
  <c r="L954" i="12"/>
  <c r="L955" i="12"/>
  <c r="L956" i="12"/>
  <c r="L957" i="12"/>
  <c r="L958" i="12"/>
  <c r="L959" i="12"/>
  <c r="L960" i="12"/>
  <c r="L961" i="12"/>
  <c r="L962" i="12"/>
  <c r="L963" i="12"/>
  <c r="L964" i="12"/>
  <c r="L965" i="12"/>
  <c r="L966" i="12"/>
  <c r="L967" i="12"/>
  <c r="L968" i="12"/>
  <c r="L969" i="12"/>
  <c r="L970" i="12"/>
  <c r="L971" i="12"/>
  <c r="L972" i="12"/>
  <c r="L973" i="12"/>
  <c r="L974" i="12"/>
  <c r="L975" i="12"/>
  <c r="L976" i="12"/>
  <c r="L977" i="12"/>
  <c r="L978" i="12"/>
  <c r="L979" i="12"/>
  <c r="L980" i="12"/>
  <c r="L981" i="12"/>
  <c r="L982" i="12"/>
  <c r="L983" i="12"/>
  <c r="L984" i="12"/>
  <c r="L985" i="12"/>
  <c r="L986" i="12"/>
  <c r="L987" i="12"/>
  <c r="L988" i="12"/>
  <c r="L989" i="12"/>
  <c r="L990" i="12"/>
  <c r="L991" i="12"/>
  <c r="L992" i="12"/>
  <c r="L993" i="12"/>
  <c r="L994" i="12"/>
  <c r="L995" i="12"/>
  <c r="L996" i="12"/>
  <c r="L997" i="12"/>
  <c r="L998" i="12"/>
  <c r="L999" i="12"/>
  <c r="L1000" i="12"/>
  <c r="L1001" i="12"/>
  <c r="L1002" i="12"/>
  <c r="L1003" i="12"/>
  <c r="L1004" i="12"/>
  <c r="L1005" i="12"/>
  <c r="L1006" i="12"/>
  <c r="L1007" i="12"/>
  <c r="L1008" i="12"/>
  <c r="L1009" i="12"/>
  <c r="L1010" i="12"/>
  <c r="L1011" i="12"/>
  <c r="L1012" i="12"/>
  <c r="L1013" i="12"/>
  <c r="L1014" i="12"/>
  <c r="L1015" i="12"/>
  <c r="L1016" i="12"/>
  <c r="L1017" i="12"/>
  <c r="L1018" i="12"/>
  <c r="L1019" i="12"/>
  <c r="L1020" i="12"/>
  <c r="L1021" i="12"/>
  <c r="L1022" i="12"/>
  <c r="L1023" i="12"/>
  <c r="L1024" i="12"/>
  <c r="L1025" i="12"/>
  <c r="L1026" i="12"/>
  <c r="L1027" i="12"/>
  <c r="L1028" i="12"/>
  <c r="L1029" i="12"/>
  <c r="L1030" i="12"/>
  <c r="L1031" i="12"/>
  <c r="L1032" i="12"/>
  <c r="L1033" i="12"/>
  <c r="L1034" i="12"/>
  <c r="L1035" i="12"/>
  <c r="L1036" i="12"/>
  <c r="L1037" i="12"/>
  <c r="L1038" i="12"/>
  <c r="L1039" i="12"/>
  <c r="L1040" i="12"/>
  <c r="L1041" i="12"/>
  <c r="L1042" i="12"/>
  <c r="L1043" i="12"/>
  <c r="L1044" i="12"/>
  <c r="L1045" i="12"/>
  <c r="L1046" i="12"/>
  <c r="L1047" i="12"/>
  <c r="L1048" i="12"/>
  <c r="L1049" i="12"/>
  <c r="L1050" i="12"/>
  <c r="L1051" i="12"/>
  <c r="L1052" i="12"/>
  <c r="L1053" i="12"/>
  <c r="L1054" i="12"/>
  <c r="L1055" i="12"/>
  <c r="L1056" i="12"/>
  <c r="L1057" i="12"/>
  <c r="L1058" i="12"/>
  <c r="L1059" i="12"/>
  <c r="L1060" i="12"/>
  <c r="L1061" i="12"/>
  <c r="L1062" i="12"/>
  <c r="L1063" i="12"/>
  <c r="L1064" i="12"/>
  <c r="L1065" i="12"/>
  <c r="L1066" i="12"/>
  <c r="L1067" i="12"/>
  <c r="L1068" i="12"/>
  <c r="L1069" i="12"/>
  <c r="L1070" i="12"/>
  <c r="L1071" i="12"/>
  <c r="L1072" i="12"/>
  <c r="L1073" i="12"/>
  <c r="L1074" i="12"/>
  <c r="L1075" i="12"/>
  <c r="L1076" i="12"/>
  <c r="L1077" i="12"/>
  <c r="L1078" i="12"/>
  <c r="L1079" i="12"/>
  <c r="L1080" i="12"/>
  <c r="L1081" i="12"/>
  <c r="L1082" i="12"/>
  <c r="L1083" i="12"/>
  <c r="L1084" i="12"/>
  <c r="L1085" i="12"/>
  <c r="L1086" i="12"/>
  <c r="L1087" i="12"/>
  <c r="L1088" i="12"/>
  <c r="L1089" i="12"/>
  <c r="L1090" i="12"/>
  <c r="L1091" i="12"/>
  <c r="L1092" i="12"/>
  <c r="L1093" i="12"/>
  <c r="L1094" i="12"/>
  <c r="L1095" i="12"/>
  <c r="L1096" i="12"/>
  <c r="L1097" i="12"/>
  <c r="L1098" i="12"/>
  <c r="L1099" i="12"/>
  <c r="L1100" i="12"/>
  <c r="L1101" i="12"/>
  <c r="L1102" i="12"/>
  <c r="L1103" i="12"/>
  <c r="L1104" i="12"/>
  <c r="L1105" i="12"/>
  <c r="L1106" i="12"/>
  <c r="L1107" i="12"/>
  <c r="L1108" i="12"/>
  <c r="L1109" i="12"/>
  <c r="L1110" i="12"/>
  <c r="L1111" i="12"/>
  <c r="L1112" i="12"/>
  <c r="L1113" i="12"/>
  <c r="L1114" i="12"/>
  <c r="L1115" i="12"/>
  <c r="L1116" i="12"/>
  <c r="L1117" i="12"/>
  <c r="L1118" i="12"/>
  <c r="L1119" i="12"/>
  <c r="L1120" i="12"/>
  <c r="L1121" i="12"/>
  <c r="L1122" i="12"/>
  <c r="L1123" i="12"/>
  <c r="L1124" i="12"/>
  <c r="L1125" i="12"/>
  <c r="L1126" i="12"/>
  <c r="L1127" i="12"/>
  <c r="L1128" i="12"/>
  <c r="L1129" i="12"/>
  <c r="L1130" i="12"/>
  <c r="L1131" i="12"/>
  <c r="L1132" i="12"/>
  <c r="L1133" i="12"/>
  <c r="L1134" i="12"/>
  <c r="L1135" i="12"/>
  <c r="L1136" i="12"/>
  <c r="L1137" i="12"/>
  <c r="L1138" i="12"/>
  <c r="L1139" i="12"/>
  <c r="L1140" i="12"/>
  <c r="L1141" i="12"/>
  <c r="L1142" i="12"/>
  <c r="L1143" i="12"/>
  <c r="L1144" i="12"/>
  <c r="L1145" i="12"/>
  <c r="L1146" i="12"/>
  <c r="L1147" i="12"/>
  <c r="L1148" i="12"/>
  <c r="L1149" i="12"/>
  <c r="L1150" i="12"/>
  <c r="L1151" i="12"/>
  <c r="L1152" i="12"/>
  <c r="L1153" i="12"/>
  <c r="L1154" i="12"/>
  <c r="L1155" i="12"/>
  <c r="L1156" i="12"/>
  <c r="L1157" i="12"/>
  <c r="L1158" i="12"/>
  <c r="L1159" i="12"/>
  <c r="L1160" i="12"/>
  <c r="L1161" i="12"/>
  <c r="L1162" i="12"/>
  <c r="L1163" i="12"/>
  <c r="L1164" i="12"/>
  <c r="L1165" i="12"/>
  <c r="L1166" i="12"/>
  <c r="L1167" i="12"/>
  <c r="L1168" i="12"/>
  <c r="L1169" i="12"/>
  <c r="L1170" i="12"/>
  <c r="L1171" i="12"/>
  <c r="L1172" i="12"/>
  <c r="L1173" i="12"/>
  <c r="L1174" i="12"/>
  <c r="L1175" i="12"/>
  <c r="L1176" i="12"/>
  <c r="L1177" i="12"/>
  <c r="L1178" i="12"/>
  <c r="L1179" i="12"/>
  <c r="L1180" i="12"/>
  <c r="L1181" i="12"/>
  <c r="L1182" i="12"/>
  <c r="L1183" i="12"/>
  <c r="L1184" i="12"/>
  <c r="L1185" i="12"/>
  <c r="L1186" i="12"/>
  <c r="L1187" i="12"/>
  <c r="L1188" i="12"/>
  <c r="L1189" i="12"/>
  <c r="L1190" i="12"/>
  <c r="L1191" i="12"/>
  <c r="L1192" i="12"/>
  <c r="L1193" i="12"/>
  <c r="L1194" i="12"/>
  <c r="L1195" i="12"/>
  <c r="L1196" i="12"/>
  <c r="L1197" i="12"/>
  <c r="L1198" i="12"/>
  <c r="L1199" i="12"/>
  <c r="L1200" i="12"/>
  <c r="L1201" i="12"/>
  <c r="L1202" i="12"/>
  <c r="L1203" i="12"/>
  <c r="L1204" i="12"/>
  <c r="L1205" i="12"/>
  <c r="L1206" i="12"/>
  <c r="L1207" i="12"/>
  <c r="L1208" i="12"/>
  <c r="L1209" i="12"/>
  <c r="L1210" i="12"/>
  <c r="L1211" i="12"/>
  <c r="L1212" i="12"/>
  <c r="L1213" i="12"/>
  <c r="L1214" i="12"/>
  <c r="L1215" i="12"/>
  <c r="L1216" i="12"/>
  <c r="L1217" i="12"/>
  <c r="L1218" i="12"/>
  <c r="L1219" i="12"/>
  <c r="L1220" i="12"/>
  <c r="L1221" i="12"/>
  <c r="L1222" i="12"/>
  <c r="L1223" i="12"/>
  <c r="L1224" i="12"/>
  <c r="L1225" i="12"/>
  <c r="L1226" i="12"/>
  <c r="L1227" i="12"/>
  <c r="L1228" i="12"/>
  <c r="L1229" i="12"/>
  <c r="L1230" i="12"/>
  <c r="L1231" i="12"/>
  <c r="L1232" i="12"/>
  <c r="L1233" i="12"/>
  <c r="L1234" i="12"/>
  <c r="L1235" i="12"/>
  <c r="L1236" i="12"/>
  <c r="L1237" i="12"/>
  <c r="L1238" i="12"/>
  <c r="L1239" i="12"/>
  <c r="L1240" i="12"/>
  <c r="L1241" i="12"/>
  <c r="L1242" i="12"/>
  <c r="L1243" i="12"/>
  <c r="L1244" i="12"/>
  <c r="L1245" i="12"/>
  <c r="L1246" i="12"/>
  <c r="L1247" i="12"/>
  <c r="L1248" i="12"/>
  <c r="L1249" i="12"/>
  <c r="L1250" i="12"/>
  <c r="L1251" i="12"/>
  <c r="L1252" i="12"/>
  <c r="L1253" i="12"/>
  <c r="L1254" i="12"/>
  <c r="L1255" i="12"/>
  <c r="L1256" i="12"/>
  <c r="L1257" i="12"/>
  <c r="L1258" i="12"/>
  <c r="L1259" i="12"/>
  <c r="L1260" i="12"/>
  <c r="L1261" i="12"/>
  <c r="L1262" i="12"/>
  <c r="L1263" i="12"/>
  <c r="L1264" i="12"/>
  <c r="L1265" i="12"/>
  <c r="L1266" i="12"/>
  <c r="L1267" i="12"/>
  <c r="L1268" i="12"/>
  <c r="L1269" i="12"/>
  <c r="L1270" i="12"/>
  <c r="L1271" i="12"/>
  <c r="L1272" i="12"/>
  <c r="L1273" i="12"/>
  <c r="L1274" i="12"/>
  <c r="L1275" i="12"/>
  <c r="L1276" i="12"/>
  <c r="L1277" i="12"/>
  <c r="L1278" i="12"/>
  <c r="L1279" i="12"/>
  <c r="L1280" i="12"/>
  <c r="L1281" i="12"/>
  <c r="L1282" i="12"/>
  <c r="L1283" i="12"/>
  <c r="L1284" i="12"/>
  <c r="L1285" i="12"/>
  <c r="L1286" i="12"/>
  <c r="L1287" i="12"/>
  <c r="L1288" i="12"/>
  <c r="L1289" i="12"/>
  <c r="L1290" i="12"/>
  <c r="L1291" i="12"/>
  <c r="L1292" i="12"/>
  <c r="L1293" i="12"/>
  <c r="L1294" i="12"/>
  <c r="L1295" i="12"/>
  <c r="L1296" i="12"/>
  <c r="L1297" i="12"/>
  <c r="L1298" i="12"/>
  <c r="L1299" i="12"/>
  <c r="L1300" i="12"/>
  <c r="L1301" i="12"/>
  <c r="L1302" i="12"/>
  <c r="L1303" i="12"/>
  <c r="L1304" i="12"/>
  <c r="L1305" i="12"/>
  <c r="L1306" i="12"/>
  <c r="L1307" i="12"/>
  <c r="L1308" i="12"/>
  <c r="L1309" i="12"/>
  <c r="L1310" i="12"/>
  <c r="L1311" i="12"/>
  <c r="L1312" i="12"/>
  <c r="L1313" i="12"/>
  <c r="L1314" i="12"/>
  <c r="L1315" i="12"/>
  <c r="L1316" i="12"/>
  <c r="L1317" i="12"/>
  <c r="L1318" i="12"/>
  <c r="L1319" i="12"/>
  <c r="L1320" i="12"/>
  <c r="L1321" i="12"/>
  <c r="L1322" i="12"/>
  <c r="L1323" i="12"/>
  <c r="L1324" i="12"/>
  <c r="L1325" i="12"/>
  <c r="L1326" i="12"/>
  <c r="L1327" i="12"/>
  <c r="L1328" i="12"/>
  <c r="L1329" i="12"/>
  <c r="L1330" i="12"/>
  <c r="L1331" i="12"/>
  <c r="L1332" i="12"/>
  <c r="L1333" i="12"/>
  <c r="L1334" i="12"/>
  <c r="L1335" i="12"/>
  <c r="L1336" i="12"/>
  <c r="L1337" i="12"/>
  <c r="L1338" i="12"/>
  <c r="L1339" i="12"/>
  <c r="L1340" i="12"/>
  <c r="L1341" i="12"/>
  <c r="L1342" i="12"/>
  <c r="L1343" i="12"/>
  <c r="L1344" i="12"/>
  <c r="L1345" i="12"/>
  <c r="L1346" i="12"/>
  <c r="L1347" i="12"/>
  <c r="L1348" i="12"/>
  <c r="L1349" i="12"/>
  <c r="L1350" i="12"/>
  <c r="L1351" i="12"/>
  <c r="L1352" i="12"/>
  <c r="L1353" i="12"/>
  <c r="L1354" i="12"/>
  <c r="L1355" i="12"/>
  <c r="L1356" i="12"/>
  <c r="L1357" i="12"/>
  <c r="L1358" i="12"/>
  <c r="L1359" i="12"/>
  <c r="L1360" i="12"/>
  <c r="L1361" i="12"/>
  <c r="L1362" i="12"/>
  <c r="L1363" i="12"/>
  <c r="L1364" i="12"/>
  <c r="L1365" i="12"/>
  <c r="L1366" i="12"/>
  <c r="L1367" i="12"/>
  <c r="L1368" i="12"/>
  <c r="L1369" i="12"/>
  <c r="L1370" i="12"/>
  <c r="L1371" i="12"/>
  <c r="L1372" i="12"/>
  <c r="L1373" i="12"/>
  <c r="L1374" i="12"/>
  <c r="L1375" i="12"/>
  <c r="L1376" i="12"/>
  <c r="L1377" i="12"/>
  <c r="L1378" i="12"/>
  <c r="L1379" i="12"/>
  <c r="L1380" i="12"/>
  <c r="L1381" i="12"/>
  <c r="L1382" i="12"/>
  <c r="L1383" i="12"/>
  <c r="L1384" i="12"/>
  <c r="L1385" i="12"/>
  <c r="L1386" i="12"/>
  <c r="L1387" i="12"/>
  <c r="L1388" i="12"/>
  <c r="L1389" i="12"/>
  <c r="L1390" i="12"/>
  <c r="L1391" i="12"/>
  <c r="L1392" i="12"/>
  <c r="L1393" i="12"/>
  <c r="L1394" i="12"/>
  <c r="L1395" i="12"/>
  <c r="L1396" i="12"/>
  <c r="L1397" i="12"/>
  <c r="L1398" i="12"/>
  <c r="L1399" i="12"/>
  <c r="L1400" i="12"/>
  <c r="L1401" i="12"/>
  <c r="L1402" i="12"/>
  <c r="L1403" i="12"/>
  <c r="L1404" i="12"/>
  <c r="L1405" i="12"/>
  <c r="L1406" i="12"/>
  <c r="L1407" i="12"/>
  <c r="L1408" i="12"/>
  <c r="L1409" i="12"/>
  <c r="L1410" i="12"/>
  <c r="L1411" i="12"/>
  <c r="L1412" i="12"/>
  <c r="L1413" i="12"/>
  <c r="L1414" i="12"/>
  <c r="L1415" i="12"/>
  <c r="L1416" i="12"/>
  <c r="L1417" i="12"/>
  <c r="L1418" i="12"/>
  <c r="L1419" i="12"/>
  <c r="L1420" i="12"/>
  <c r="L1421" i="12"/>
  <c r="L1422" i="12"/>
  <c r="L1423" i="12"/>
  <c r="L1424" i="12"/>
  <c r="L1425" i="12"/>
  <c r="L1426" i="12"/>
  <c r="L1427" i="12"/>
  <c r="L1428" i="12"/>
  <c r="L1429" i="12"/>
  <c r="L1430" i="12"/>
  <c r="L1431" i="12"/>
  <c r="L1432" i="12"/>
  <c r="L1433" i="12"/>
  <c r="L1434" i="12"/>
  <c r="L1435" i="12"/>
  <c r="L1436" i="12"/>
  <c r="L1437" i="12"/>
  <c r="L1438" i="12"/>
  <c r="L1439" i="12"/>
  <c r="L1440" i="12"/>
  <c r="L1441" i="12"/>
  <c r="L1442" i="12"/>
  <c r="L1443" i="12"/>
  <c r="L1444" i="12"/>
  <c r="L1445" i="12"/>
  <c r="L1446" i="12"/>
  <c r="L1447" i="12"/>
  <c r="L1448" i="12"/>
  <c r="L1449" i="12"/>
  <c r="L1450" i="12"/>
  <c r="L1451" i="12"/>
  <c r="L1452" i="12"/>
  <c r="L1453" i="12"/>
  <c r="L1454" i="12"/>
  <c r="L1455" i="12"/>
  <c r="L1456" i="12"/>
  <c r="L1457" i="12"/>
  <c r="L1458" i="12"/>
  <c r="L1459" i="12"/>
  <c r="L1460" i="12"/>
  <c r="L1461" i="12"/>
  <c r="L1462" i="12"/>
  <c r="L1463" i="12"/>
  <c r="L1464" i="12"/>
  <c r="L1465" i="12"/>
  <c r="L1466" i="12"/>
  <c r="L1467" i="12"/>
  <c r="L1468" i="12"/>
  <c r="L1469" i="12"/>
  <c r="L1470" i="12"/>
  <c r="L1471" i="12"/>
  <c r="L1472" i="12"/>
  <c r="L1473" i="12"/>
  <c r="L1474" i="12"/>
  <c r="L1475" i="12"/>
  <c r="L1476" i="12"/>
  <c r="L1477" i="12"/>
  <c r="L1478" i="12"/>
  <c r="L1479" i="12"/>
  <c r="L1480" i="12"/>
  <c r="L1481" i="12"/>
  <c r="L1482" i="12"/>
  <c r="L1483" i="12"/>
  <c r="L1484" i="12"/>
  <c r="L1485" i="12"/>
  <c r="L1486" i="12"/>
  <c r="L1487" i="12"/>
  <c r="L1488" i="12"/>
  <c r="L1489" i="12"/>
  <c r="L1490" i="12"/>
  <c r="L1491" i="12"/>
  <c r="L1492" i="12"/>
  <c r="L1493" i="12"/>
  <c r="L1494" i="12"/>
  <c r="L1495" i="12"/>
  <c r="L1496" i="12"/>
  <c r="L1497" i="12"/>
  <c r="L1498" i="12"/>
  <c r="L1499" i="12"/>
  <c r="L1500" i="12"/>
  <c r="L1501" i="12"/>
  <c r="L1502" i="12"/>
  <c r="L1503" i="12"/>
  <c r="L1504" i="12"/>
  <c r="L1505" i="12"/>
  <c r="L1506" i="12"/>
  <c r="L1507" i="12"/>
  <c r="L1508" i="12"/>
  <c r="L1509" i="12"/>
  <c r="L1510" i="12"/>
  <c r="L1511" i="12"/>
  <c r="L1512" i="12"/>
  <c r="L1513" i="12"/>
  <c r="L1514" i="12"/>
  <c r="L1515" i="12"/>
  <c r="L1516" i="12"/>
  <c r="L1517" i="12"/>
  <c r="L1518" i="12"/>
  <c r="L1519" i="12"/>
  <c r="L1520" i="12"/>
  <c r="L1521" i="12"/>
  <c r="L1522" i="12"/>
  <c r="L1523" i="12"/>
  <c r="L1524" i="12"/>
  <c r="L1525" i="12"/>
  <c r="L1526" i="12"/>
  <c r="L1527" i="12"/>
  <c r="L1528" i="12"/>
  <c r="L1529" i="12"/>
  <c r="L1530" i="12"/>
  <c r="L1531" i="12"/>
  <c r="L1532" i="12"/>
  <c r="L1533" i="12"/>
  <c r="L1534" i="12"/>
  <c r="L1535" i="12"/>
  <c r="L1536" i="12"/>
  <c r="L1537" i="12"/>
  <c r="L1538" i="12"/>
  <c r="L1539" i="12"/>
  <c r="L1540" i="12"/>
  <c r="L1541" i="12"/>
  <c r="L1542" i="12"/>
  <c r="L1543" i="12"/>
  <c r="L1544" i="12"/>
  <c r="L1545" i="12"/>
  <c r="L1546" i="12"/>
  <c r="L1547" i="12"/>
  <c r="L1548" i="12"/>
  <c r="L1549" i="12"/>
  <c r="L1550" i="12"/>
  <c r="L1551" i="12"/>
  <c r="L1552" i="12"/>
  <c r="L1553" i="12"/>
  <c r="L1554" i="12"/>
  <c r="L1555" i="12"/>
  <c r="L1556" i="12"/>
  <c r="L1557" i="12"/>
  <c r="L1558" i="12"/>
  <c r="L1559" i="12"/>
  <c r="L1560" i="12"/>
  <c r="L1561" i="12"/>
  <c r="L1562" i="12"/>
  <c r="L1563" i="12"/>
  <c r="L1564" i="12"/>
  <c r="L1565" i="12"/>
  <c r="L1566" i="12"/>
  <c r="L1567" i="12"/>
  <c r="L1568" i="12"/>
  <c r="L1569" i="12"/>
  <c r="L1570" i="12"/>
  <c r="L1571" i="12"/>
  <c r="L1572" i="12"/>
  <c r="L1573" i="12"/>
  <c r="L1574" i="12"/>
  <c r="L1575" i="12"/>
  <c r="L1576" i="12"/>
  <c r="L1577" i="12"/>
  <c r="L1578" i="12"/>
  <c r="L1579" i="12"/>
  <c r="L1580" i="12"/>
  <c r="L1581" i="12"/>
  <c r="L1582" i="12"/>
  <c r="L1583" i="12"/>
  <c r="L1584" i="12"/>
  <c r="L1585" i="12"/>
  <c r="L1586" i="12"/>
  <c r="L1587" i="12"/>
  <c r="L1588" i="12"/>
  <c r="L1589" i="12"/>
  <c r="L1590" i="12"/>
  <c r="L1591" i="12"/>
  <c r="L1592" i="12"/>
  <c r="L1593" i="12"/>
  <c r="L1594" i="12"/>
  <c r="L1595" i="12"/>
  <c r="L1596" i="12"/>
  <c r="L1597" i="12"/>
  <c r="L1598" i="12"/>
  <c r="L1599" i="12"/>
  <c r="L1600" i="12"/>
  <c r="L1601" i="12"/>
  <c r="L1602" i="12"/>
  <c r="L1603" i="12"/>
  <c r="L1604" i="12"/>
  <c r="L1605" i="12"/>
  <c r="L1606" i="12"/>
  <c r="L1607" i="12"/>
  <c r="L1608" i="12"/>
  <c r="L1609" i="12"/>
  <c r="L1610" i="12"/>
  <c r="L1611" i="12"/>
  <c r="L1612" i="12"/>
  <c r="L1613" i="12"/>
  <c r="L1614" i="12"/>
  <c r="L1615" i="12"/>
  <c r="L1616" i="12"/>
  <c r="L1617" i="12"/>
  <c r="L1618" i="12"/>
  <c r="L1619" i="12"/>
  <c r="L1620" i="12"/>
  <c r="L1621" i="12"/>
  <c r="L1622" i="12"/>
  <c r="L1623" i="12"/>
  <c r="L1624" i="12"/>
  <c r="L1625" i="12"/>
  <c r="L1626" i="12"/>
  <c r="L1627" i="12"/>
  <c r="L1628" i="12"/>
  <c r="L1629" i="12"/>
  <c r="L1630" i="12"/>
  <c r="L1631" i="12"/>
  <c r="L1632" i="12"/>
  <c r="L1633" i="12"/>
  <c r="L1634" i="12"/>
  <c r="L1635" i="12"/>
  <c r="L1636" i="12"/>
  <c r="L1637" i="12"/>
  <c r="L1638" i="12"/>
  <c r="L1639" i="12"/>
  <c r="L1640" i="12"/>
  <c r="L1641" i="12"/>
  <c r="L1642" i="12"/>
  <c r="L1643" i="12"/>
  <c r="L1644" i="12"/>
  <c r="L1645" i="12"/>
  <c r="L1646" i="12"/>
  <c r="L1647" i="12"/>
  <c r="L1648" i="12"/>
  <c r="L1649" i="12"/>
  <c r="L1650" i="12"/>
  <c r="L1651" i="12"/>
  <c r="L1652" i="12"/>
  <c r="L1653" i="12"/>
  <c r="L1654" i="12"/>
  <c r="L1655" i="12"/>
  <c r="L1656" i="12"/>
  <c r="L1657" i="12"/>
  <c r="L1658" i="12"/>
  <c r="L1659" i="12"/>
  <c r="L1660" i="12"/>
  <c r="L1661" i="12"/>
  <c r="L1662" i="12"/>
  <c r="L1663" i="12"/>
  <c r="L1664" i="12"/>
  <c r="L1665" i="12"/>
  <c r="L1666" i="12"/>
  <c r="L1667" i="12"/>
  <c r="L1668" i="12"/>
  <c r="L1669" i="12"/>
  <c r="L1670" i="12"/>
  <c r="L1671" i="12"/>
  <c r="L1672" i="12"/>
  <c r="L1673" i="12"/>
  <c r="L1674" i="12"/>
  <c r="L1675" i="12"/>
  <c r="L1676" i="12"/>
  <c r="L1677" i="12"/>
  <c r="L1678" i="12"/>
  <c r="L1679" i="12"/>
  <c r="L1680" i="12"/>
  <c r="L1681" i="12"/>
  <c r="L1682" i="12"/>
  <c r="L1683" i="12"/>
  <c r="L1684" i="12"/>
  <c r="L1685" i="12"/>
  <c r="L1686" i="12"/>
  <c r="L1687" i="12"/>
  <c r="L1688" i="12"/>
  <c r="L1689" i="12"/>
  <c r="L1690" i="12"/>
  <c r="L1691" i="12"/>
  <c r="L1692" i="12"/>
  <c r="L1693" i="12"/>
  <c r="L1694" i="12"/>
  <c r="L1695" i="12"/>
  <c r="L1696" i="12"/>
  <c r="L1697" i="12"/>
  <c r="L1698" i="12"/>
  <c r="L1699" i="12"/>
  <c r="L1700" i="12"/>
  <c r="L1701" i="12"/>
  <c r="L1702" i="12"/>
  <c r="L1703" i="12"/>
  <c r="L1704" i="12"/>
  <c r="L1705" i="12"/>
  <c r="L1706" i="12"/>
  <c r="L1707" i="12"/>
  <c r="L1708" i="12"/>
  <c r="L1709" i="12"/>
  <c r="L1710" i="12"/>
  <c r="L1711" i="12"/>
  <c r="L1712" i="12"/>
  <c r="L1713" i="12"/>
  <c r="L1714" i="12"/>
  <c r="L1715" i="12"/>
  <c r="L1716" i="12"/>
  <c r="L1717" i="12"/>
  <c r="L1718" i="12"/>
  <c r="L1719" i="12"/>
  <c r="L1720" i="12"/>
  <c r="L1721" i="12"/>
  <c r="L1722" i="12"/>
  <c r="L1723" i="12"/>
  <c r="L1724" i="12"/>
  <c r="L1725" i="12"/>
  <c r="L1726" i="12"/>
  <c r="L1727" i="12"/>
  <c r="L1728" i="12"/>
  <c r="L1729" i="12"/>
  <c r="L1730" i="12"/>
  <c r="L1731" i="12"/>
  <c r="L1732" i="12"/>
  <c r="L1733" i="12"/>
  <c r="L1734" i="12"/>
  <c r="L1735" i="12"/>
  <c r="L1736" i="12"/>
  <c r="L1737" i="12"/>
  <c r="L1738" i="12"/>
  <c r="L1739" i="12"/>
  <c r="L1740" i="12"/>
  <c r="L1741" i="12"/>
  <c r="L1742" i="12"/>
  <c r="L1743" i="12"/>
  <c r="L1744" i="12"/>
  <c r="L1745" i="12"/>
  <c r="L1746" i="12"/>
  <c r="L1747" i="12"/>
  <c r="L1748" i="12"/>
  <c r="L1749" i="12"/>
  <c r="L1750" i="12"/>
  <c r="L1751" i="12"/>
  <c r="L1752" i="12"/>
  <c r="L1753" i="12"/>
  <c r="L1754" i="12"/>
  <c r="L1755" i="12"/>
  <c r="L1756" i="12"/>
  <c r="L1757" i="12"/>
  <c r="L1758" i="12"/>
  <c r="L1759" i="12"/>
  <c r="L1760" i="12"/>
  <c r="L1761" i="12"/>
  <c r="L1762" i="12"/>
  <c r="L1763" i="12"/>
  <c r="L1764" i="12"/>
  <c r="L1765" i="12"/>
  <c r="L1766" i="12"/>
  <c r="L1767" i="12"/>
  <c r="L1768" i="12"/>
  <c r="L1769" i="12"/>
  <c r="L1770" i="12"/>
  <c r="L1771" i="12"/>
  <c r="L1772" i="12"/>
  <c r="L1773" i="12"/>
  <c r="L1774" i="12"/>
  <c r="L1775" i="12"/>
  <c r="L1776" i="12"/>
  <c r="L1777" i="12"/>
  <c r="L1778" i="12"/>
  <c r="L1779" i="12"/>
  <c r="L1780" i="12"/>
  <c r="L1781" i="12"/>
  <c r="L1782" i="12"/>
  <c r="L1783" i="12"/>
  <c r="L1784" i="12"/>
  <c r="L1785" i="12"/>
  <c r="L1786" i="12"/>
  <c r="L1787" i="12"/>
  <c r="L1788" i="12"/>
  <c r="L1789" i="12"/>
  <c r="L1790" i="12"/>
  <c r="L1791" i="12"/>
  <c r="L1792" i="12"/>
  <c r="L1793" i="12"/>
  <c r="L1794" i="12"/>
  <c r="L1795" i="12"/>
  <c r="L1796" i="12"/>
  <c r="L1797" i="12"/>
  <c r="L1798" i="12"/>
  <c r="L1799" i="12"/>
  <c r="L1800" i="12"/>
  <c r="L1801" i="12"/>
  <c r="L1802" i="12"/>
  <c r="L1803" i="12"/>
  <c r="L1804" i="12"/>
  <c r="L1805" i="12"/>
  <c r="L1806" i="12"/>
  <c r="L1807" i="12"/>
  <c r="L1808" i="12"/>
  <c r="L1809" i="12"/>
  <c r="L1810" i="12"/>
  <c r="L1811" i="12"/>
  <c r="L1812" i="12"/>
  <c r="L1813" i="12"/>
  <c r="L1814" i="12"/>
  <c r="L1815" i="12"/>
  <c r="L1816" i="12"/>
  <c r="L1817" i="12"/>
  <c r="L1818" i="12"/>
  <c r="L1819" i="12"/>
  <c r="L1820" i="12"/>
  <c r="L1821" i="12"/>
  <c r="L1822" i="12"/>
  <c r="L1823" i="12"/>
  <c r="L1824" i="12"/>
  <c r="L1825" i="12"/>
  <c r="L1826" i="12"/>
  <c r="L1827" i="12"/>
  <c r="L1828" i="12"/>
  <c r="L1829" i="12"/>
  <c r="L1830" i="12"/>
  <c r="L1831" i="12"/>
  <c r="L1832" i="12"/>
  <c r="L1833" i="12"/>
  <c r="L1834" i="12"/>
  <c r="L1835" i="12"/>
  <c r="L1836" i="12"/>
  <c r="L1837" i="12"/>
  <c r="L1838" i="12"/>
  <c r="L1839" i="12"/>
  <c r="L1840" i="12"/>
  <c r="L1841" i="12"/>
  <c r="L1842" i="12"/>
  <c r="L1843" i="12"/>
  <c r="L1844" i="12"/>
  <c r="L1845" i="12"/>
  <c r="L1846" i="12"/>
  <c r="L1847" i="12"/>
  <c r="L1848" i="12"/>
  <c r="L1849" i="12"/>
  <c r="L1850" i="12"/>
  <c r="L1851" i="12"/>
  <c r="L1852" i="12"/>
  <c r="L1853" i="12"/>
  <c r="L1854" i="12"/>
  <c r="L1855" i="12"/>
  <c r="L1856" i="12"/>
  <c r="L1857" i="12"/>
  <c r="L1858" i="12"/>
  <c r="L1859" i="12"/>
  <c r="L1860" i="12"/>
  <c r="L1861" i="12"/>
  <c r="L1862" i="12"/>
  <c r="L1863" i="12"/>
  <c r="L1864" i="12"/>
  <c r="L1865" i="12"/>
  <c r="L1866" i="12"/>
  <c r="L1867" i="12"/>
  <c r="L1868" i="12"/>
  <c r="L1869" i="12"/>
  <c r="L1870" i="12"/>
  <c r="L1871" i="12"/>
  <c r="L1872" i="12"/>
  <c r="L1873" i="12"/>
  <c r="L1874" i="12"/>
  <c r="L1875" i="12"/>
  <c r="L1876" i="12"/>
  <c r="L1877" i="12"/>
  <c r="L1878" i="12"/>
  <c r="L1879" i="12"/>
  <c r="L1880" i="12"/>
  <c r="L1881" i="12"/>
  <c r="L1882" i="12"/>
  <c r="L1883" i="12"/>
  <c r="L1884" i="12"/>
  <c r="L1885" i="12"/>
  <c r="L1886" i="12"/>
  <c r="L1887" i="12"/>
  <c r="L1888" i="12"/>
  <c r="L1889" i="12"/>
  <c r="L1890" i="12"/>
  <c r="L1891" i="12"/>
  <c r="L1892" i="12"/>
  <c r="L1893" i="12"/>
  <c r="L1894" i="12"/>
  <c r="L1895" i="12"/>
  <c r="L1896" i="12"/>
  <c r="L1897" i="12"/>
  <c r="L1898" i="12"/>
  <c r="L1899" i="12"/>
  <c r="L1900" i="12"/>
  <c r="L1901" i="12"/>
  <c r="L1902" i="12"/>
  <c r="L1903" i="12"/>
  <c r="L1904" i="12"/>
  <c r="L1905" i="12"/>
  <c r="L1906" i="12"/>
  <c r="L1907" i="12"/>
  <c r="L1908" i="12"/>
  <c r="L1909" i="12"/>
  <c r="L1910" i="12"/>
  <c r="L1911" i="12"/>
  <c r="L1912" i="12"/>
  <c r="L1913" i="12"/>
  <c r="L1914" i="12"/>
  <c r="L1915" i="12"/>
  <c r="L1916" i="12"/>
  <c r="L1917" i="12"/>
  <c r="L1918" i="12"/>
  <c r="L1919" i="12"/>
  <c r="L1920" i="12"/>
  <c r="L1921" i="12"/>
  <c r="L1922" i="12"/>
  <c r="L1923" i="12"/>
  <c r="L1924" i="12"/>
  <c r="L1925" i="12"/>
  <c r="L1926" i="12"/>
  <c r="L1927" i="12"/>
  <c r="L1928" i="12"/>
  <c r="L1929" i="12"/>
  <c r="L1930" i="12"/>
  <c r="L1931" i="12"/>
  <c r="L1932" i="12"/>
  <c r="L1933" i="12"/>
  <c r="L1934" i="12"/>
  <c r="L1935" i="12"/>
  <c r="L1936" i="12"/>
  <c r="L1937" i="12"/>
  <c r="L1938" i="12"/>
  <c r="L1939" i="12"/>
  <c r="L1940" i="12"/>
  <c r="L1941" i="12"/>
  <c r="L1942" i="12"/>
  <c r="L1943" i="12"/>
  <c r="L1944" i="12"/>
  <c r="L1945" i="12"/>
  <c r="L1946" i="12"/>
  <c r="L1947" i="12"/>
  <c r="L1948" i="12"/>
  <c r="L1949" i="12"/>
  <c r="L1950" i="12"/>
  <c r="L1951" i="12"/>
  <c r="L1952" i="12"/>
  <c r="L1953" i="12"/>
  <c r="L1954" i="12"/>
  <c r="L1955" i="12"/>
  <c r="L1956" i="12"/>
  <c r="L1957" i="12"/>
  <c r="L1958" i="12"/>
  <c r="L1959" i="12"/>
  <c r="L1960" i="12"/>
  <c r="L1961" i="12"/>
  <c r="L1962" i="12"/>
  <c r="L1963" i="12"/>
  <c r="L1964" i="12"/>
  <c r="L1965" i="12"/>
  <c r="L1966" i="12"/>
  <c r="L1967" i="12"/>
  <c r="L1968" i="12"/>
  <c r="L1969" i="12"/>
  <c r="L1970" i="12"/>
  <c r="L1971" i="12"/>
  <c r="L1972" i="12"/>
  <c r="L1973" i="12"/>
  <c r="L1974" i="12"/>
  <c r="L1975" i="12"/>
  <c r="L1976" i="12"/>
  <c r="L1977" i="12"/>
  <c r="L1978" i="12"/>
  <c r="L1979" i="12"/>
  <c r="L1980" i="12"/>
  <c r="L1981" i="12"/>
  <c r="L1982" i="12"/>
  <c r="L1983" i="12"/>
  <c r="L1984" i="12"/>
  <c r="L1985" i="12"/>
  <c r="L1986" i="12"/>
  <c r="L1987" i="12"/>
  <c r="L1988" i="12"/>
  <c r="L1989" i="12"/>
  <c r="L1990" i="12"/>
  <c r="L1991" i="12"/>
  <c r="L1992" i="12"/>
  <c r="L1993" i="12"/>
  <c r="L1994" i="12"/>
  <c r="L1995" i="12"/>
  <c r="L1996" i="12"/>
  <c r="L1997" i="12"/>
  <c r="L1998" i="12"/>
  <c r="L1999" i="12"/>
  <c r="L2000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77" i="12"/>
  <c r="J78" i="12"/>
  <c r="J79" i="12"/>
  <c r="J80" i="12"/>
  <c r="J81" i="12"/>
  <c r="J82" i="12"/>
  <c r="J83" i="12"/>
  <c r="J84" i="12"/>
  <c r="J85" i="12"/>
  <c r="J86" i="12"/>
  <c r="J87" i="12"/>
  <c r="J88" i="12"/>
  <c r="J89" i="12"/>
  <c r="J90" i="12"/>
  <c r="J91" i="12"/>
  <c r="J92" i="12"/>
  <c r="J93" i="12"/>
  <c r="J94" i="12"/>
  <c r="J95" i="12"/>
  <c r="J96" i="12"/>
  <c r="J97" i="12"/>
  <c r="J98" i="12"/>
  <c r="J99" i="12"/>
  <c r="J100" i="12"/>
  <c r="J101" i="12"/>
  <c r="J102" i="12"/>
  <c r="J103" i="12"/>
  <c r="J104" i="12"/>
  <c r="J105" i="12"/>
  <c r="J106" i="12"/>
  <c r="J107" i="12"/>
  <c r="J108" i="12"/>
  <c r="J109" i="12"/>
  <c r="J110" i="12"/>
  <c r="J111" i="12"/>
  <c r="J112" i="12"/>
  <c r="J113" i="12"/>
  <c r="J114" i="12"/>
  <c r="J115" i="12"/>
  <c r="J116" i="12"/>
  <c r="J117" i="12"/>
  <c r="J118" i="12"/>
  <c r="J119" i="12"/>
  <c r="J120" i="12"/>
  <c r="J121" i="12"/>
  <c r="J122" i="12"/>
  <c r="J123" i="12"/>
  <c r="J124" i="12"/>
  <c r="J125" i="12"/>
  <c r="J126" i="12"/>
  <c r="J127" i="12"/>
  <c r="J128" i="12"/>
  <c r="J129" i="12"/>
  <c r="J130" i="12"/>
  <c r="J131" i="12"/>
  <c r="J132" i="12"/>
  <c r="J133" i="12"/>
  <c r="J134" i="12"/>
  <c r="J135" i="12"/>
  <c r="J136" i="12"/>
  <c r="J137" i="12"/>
  <c r="J138" i="12"/>
  <c r="J139" i="12"/>
  <c r="J140" i="12"/>
  <c r="J141" i="12"/>
  <c r="J142" i="12"/>
  <c r="J143" i="12"/>
  <c r="J144" i="12"/>
  <c r="J145" i="12"/>
  <c r="J146" i="12"/>
  <c r="J147" i="12"/>
  <c r="J148" i="12"/>
  <c r="J149" i="12"/>
  <c r="J150" i="12"/>
  <c r="J151" i="12"/>
  <c r="J152" i="12"/>
  <c r="J153" i="12"/>
  <c r="J154" i="12"/>
  <c r="J155" i="12"/>
  <c r="J156" i="12"/>
  <c r="J157" i="12"/>
  <c r="J158" i="12"/>
  <c r="J159" i="12"/>
  <c r="J160" i="12"/>
  <c r="J161" i="12"/>
  <c r="J162" i="12"/>
  <c r="J163" i="12"/>
  <c r="J164" i="12"/>
  <c r="J165" i="12"/>
  <c r="J166" i="12"/>
  <c r="J167" i="12"/>
  <c r="J168" i="12"/>
  <c r="J169" i="12"/>
  <c r="J170" i="12"/>
  <c r="J171" i="12"/>
  <c r="J172" i="12"/>
  <c r="J173" i="12"/>
  <c r="J174" i="12"/>
  <c r="J175" i="12"/>
  <c r="J176" i="12"/>
  <c r="J177" i="12"/>
  <c r="J178" i="12"/>
  <c r="J179" i="12"/>
  <c r="J180" i="12"/>
  <c r="J181" i="12"/>
  <c r="J182" i="12"/>
  <c r="J183" i="12"/>
  <c r="J184" i="12"/>
  <c r="J185" i="12"/>
  <c r="J186" i="12"/>
  <c r="J187" i="12"/>
  <c r="J188" i="12"/>
  <c r="J189" i="12"/>
  <c r="J190" i="12"/>
  <c r="J191" i="12"/>
  <c r="J192" i="12"/>
  <c r="J193" i="12"/>
  <c r="J194" i="12"/>
  <c r="J195" i="12"/>
  <c r="J196" i="12"/>
  <c r="J197" i="12"/>
  <c r="J198" i="12"/>
  <c r="J199" i="12"/>
  <c r="J200" i="12"/>
  <c r="J201" i="12"/>
  <c r="J202" i="12"/>
  <c r="J203" i="12"/>
  <c r="J204" i="12"/>
  <c r="J205" i="12"/>
  <c r="J206" i="12"/>
  <c r="J207" i="12"/>
  <c r="J208" i="12"/>
  <c r="J209" i="12"/>
  <c r="J210" i="12"/>
  <c r="J211" i="12"/>
  <c r="J212" i="12"/>
  <c r="J213" i="12"/>
  <c r="J214" i="12"/>
  <c r="J215" i="12"/>
  <c r="J216" i="12"/>
  <c r="J217" i="12"/>
  <c r="J218" i="12"/>
  <c r="J219" i="12"/>
  <c r="J220" i="12"/>
  <c r="J221" i="12"/>
  <c r="J222" i="12"/>
  <c r="J223" i="12"/>
  <c r="J224" i="12"/>
  <c r="J225" i="12"/>
  <c r="J226" i="12"/>
  <c r="J227" i="12"/>
  <c r="J228" i="12"/>
  <c r="J229" i="12"/>
  <c r="J230" i="12"/>
  <c r="J231" i="12"/>
  <c r="J232" i="12"/>
  <c r="J233" i="12"/>
  <c r="J234" i="12"/>
  <c r="J235" i="12"/>
  <c r="J236" i="12"/>
  <c r="J237" i="12"/>
  <c r="J238" i="12"/>
  <c r="J239" i="12"/>
  <c r="J240" i="12"/>
  <c r="J241" i="12"/>
  <c r="J242" i="12"/>
  <c r="J243" i="12"/>
  <c r="J244" i="12"/>
  <c r="J245" i="12"/>
  <c r="J246" i="12"/>
  <c r="J247" i="12"/>
  <c r="J248" i="12"/>
  <c r="J249" i="12"/>
  <c r="J250" i="12"/>
  <c r="J251" i="12"/>
  <c r="J252" i="12"/>
  <c r="J253" i="12"/>
  <c r="J254" i="12"/>
  <c r="J255" i="12"/>
  <c r="J256" i="12"/>
  <c r="J257" i="12"/>
  <c r="J258" i="12"/>
  <c r="J259" i="12"/>
  <c r="J260" i="12"/>
  <c r="J261" i="12"/>
  <c r="J262" i="12"/>
  <c r="J263" i="12"/>
  <c r="J264" i="12"/>
  <c r="J265" i="12"/>
  <c r="J266" i="12"/>
  <c r="J267" i="12"/>
  <c r="J268" i="12"/>
  <c r="J269" i="12"/>
  <c r="J270" i="12"/>
  <c r="J271" i="12"/>
  <c r="J272" i="12"/>
  <c r="J273" i="12"/>
  <c r="J274" i="12"/>
  <c r="J275" i="12"/>
  <c r="J276" i="12"/>
  <c r="J277" i="12"/>
  <c r="J278" i="12"/>
  <c r="J279" i="12"/>
  <c r="J280" i="12"/>
  <c r="J281" i="12"/>
  <c r="J282" i="12"/>
  <c r="J283" i="12"/>
  <c r="J284" i="12"/>
  <c r="J285" i="12"/>
  <c r="J286" i="12"/>
  <c r="J287" i="12"/>
  <c r="J288" i="12"/>
  <c r="J289" i="12"/>
  <c r="J290" i="12"/>
  <c r="J291" i="12"/>
  <c r="J292" i="12"/>
  <c r="J293" i="12"/>
  <c r="J294" i="12"/>
  <c r="J295" i="12"/>
  <c r="J296" i="12"/>
  <c r="J297" i="12"/>
  <c r="J298" i="12"/>
  <c r="J299" i="12"/>
  <c r="J300" i="12"/>
  <c r="J301" i="12"/>
  <c r="J302" i="12"/>
  <c r="J303" i="12"/>
  <c r="J304" i="12"/>
  <c r="J305" i="12"/>
  <c r="J306" i="12"/>
  <c r="J307" i="12"/>
  <c r="J308" i="12"/>
  <c r="J309" i="12"/>
  <c r="J310" i="12"/>
  <c r="J311" i="12"/>
  <c r="J312" i="12"/>
  <c r="J313" i="12"/>
  <c r="J314" i="12"/>
  <c r="J315" i="12"/>
  <c r="J316" i="12"/>
  <c r="J317" i="12"/>
  <c r="J318" i="12"/>
  <c r="J319" i="12"/>
  <c r="J320" i="12"/>
  <c r="J321" i="12"/>
  <c r="J322" i="12"/>
  <c r="J323" i="12"/>
  <c r="J324" i="12"/>
  <c r="J325" i="12"/>
  <c r="J326" i="12"/>
  <c r="J327" i="12"/>
  <c r="J328" i="12"/>
  <c r="J329" i="12"/>
  <c r="J330" i="12"/>
  <c r="J331" i="12"/>
  <c r="J332" i="12"/>
  <c r="J333" i="12"/>
  <c r="J334" i="12"/>
  <c r="J335" i="12"/>
  <c r="J336" i="12"/>
  <c r="J337" i="12"/>
  <c r="J338" i="12"/>
  <c r="J339" i="12"/>
  <c r="J340" i="12"/>
  <c r="J341" i="12"/>
  <c r="J342" i="12"/>
  <c r="J343" i="12"/>
  <c r="J344" i="12"/>
  <c r="J345" i="12"/>
  <c r="J346" i="12"/>
  <c r="J347" i="12"/>
  <c r="J348" i="12"/>
  <c r="J349" i="12"/>
  <c r="J350" i="12"/>
  <c r="J351" i="12"/>
  <c r="J352" i="12"/>
  <c r="J353" i="12"/>
  <c r="J354" i="12"/>
  <c r="J355" i="12"/>
  <c r="J356" i="12"/>
  <c r="J357" i="12"/>
  <c r="J358" i="12"/>
  <c r="J359" i="12"/>
  <c r="J360" i="12"/>
  <c r="J361" i="12"/>
  <c r="J362" i="12"/>
  <c r="J363" i="12"/>
  <c r="J364" i="12"/>
  <c r="J365" i="12"/>
  <c r="J366" i="12"/>
  <c r="J367" i="12"/>
  <c r="J368" i="12"/>
  <c r="J369" i="12"/>
  <c r="J370" i="12"/>
  <c r="J371" i="12"/>
  <c r="J372" i="12"/>
  <c r="J373" i="12"/>
  <c r="J374" i="12"/>
  <c r="J375" i="12"/>
  <c r="J376" i="12"/>
  <c r="J377" i="12"/>
  <c r="J378" i="12"/>
  <c r="J379" i="12"/>
  <c r="J380" i="12"/>
  <c r="J381" i="12"/>
  <c r="J382" i="12"/>
  <c r="J383" i="12"/>
  <c r="J384" i="12"/>
  <c r="J385" i="12"/>
  <c r="J386" i="12"/>
  <c r="J387" i="12"/>
  <c r="J388" i="12"/>
  <c r="J389" i="12"/>
  <c r="J390" i="12"/>
  <c r="J391" i="12"/>
  <c r="J392" i="12"/>
  <c r="J393" i="12"/>
  <c r="J394" i="12"/>
  <c r="J395" i="12"/>
  <c r="J396" i="12"/>
  <c r="J397" i="12"/>
  <c r="J398" i="12"/>
  <c r="J399" i="12"/>
  <c r="J400" i="12"/>
  <c r="J401" i="12"/>
  <c r="J402" i="12"/>
  <c r="J403" i="12"/>
  <c r="J404" i="12"/>
  <c r="J405" i="12"/>
  <c r="J406" i="12"/>
  <c r="J407" i="12"/>
  <c r="J408" i="12"/>
  <c r="J409" i="12"/>
  <c r="J410" i="12"/>
  <c r="J411" i="12"/>
  <c r="J412" i="12"/>
  <c r="J413" i="12"/>
  <c r="J414" i="12"/>
  <c r="J415" i="12"/>
  <c r="J416" i="12"/>
  <c r="J417" i="12"/>
  <c r="J418" i="12"/>
  <c r="J419" i="12"/>
  <c r="J420" i="12"/>
  <c r="J421" i="12"/>
  <c r="J422" i="12"/>
  <c r="J423" i="12"/>
  <c r="J424" i="12"/>
  <c r="J425" i="12"/>
  <c r="J426" i="12"/>
  <c r="J427" i="12"/>
  <c r="J428" i="12"/>
  <c r="J429" i="12"/>
  <c r="J430" i="12"/>
  <c r="J431" i="12"/>
  <c r="J432" i="12"/>
  <c r="J433" i="12"/>
  <c r="J434" i="12"/>
  <c r="J435" i="12"/>
  <c r="J436" i="12"/>
  <c r="J437" i="12"/>
  <c r="J438" i="12"/>
  <c r="J439" i="12"/>
  <c r="J440" i="12"/>
  <c r="J441" i="12"/>
  <c r="J442" i="12"/>
  <c r="J443" i="12"/>
  <c r="J444" i="12"/>
  <c r="J445" i="12"/>
  <c r="J446" i="12"/>
  <c r="J447" i="12"/>
  <c r="J448" i="12"/>
  <c r="J449" i="12"/>
  <c r="J450" i="12"/>
  <c r="J451" i="12"/>
  <c r="J452" i="12"/>
  <c r="J453" i="12"/>
  <c r="J454" i="12"/>
  <c r="J455" i="12"/>
  <c r="J456" i="12"/>
  <c r="J457" i="12"/>
  <c r="J458" i="12"/>
  <c r="J459" i="12"/>
  <c r="J460" i="12"/>
  <c r="J461" i="12"/>
  <c r="J462" i="12"/>
  <c r="J463" i="12"/>
  <c r="J464" i="12"/>
  <c r="J465" i="12"/>
  <c r="J466" i="12"/>
  <c r="J467" i="12"/>
  <c r="J468" i="12"/>
  <c r="J469" i="12"/>
  <c r="J470" i="12"/>
  <c r="J471" i="12"/>
  <c r="J472" i="12"/>
  <c r="J473" i="12"/>
  <c r="J474" i="12"/>
  <c r="J475" i="12"/>
  <c r="J476" i="12"/>
  <c r="J477" i="12"/>
  <c r="J478" i="12"/>
  <c r="J479" i="12"/>
  <c r="J480" i="12"/>
  <c r="J481" i="12"/>
  <c r="J482" i="12"/>
  <c r="J483" i="12"/>
  <c r="J484" i="12"/>
  <c r="J485" i="12"/>
  <c r="J486" i="12"/>
  <c r="J487" i="12"/>
  <c r="J488" i="12"/>
  <c r="J489" i="12"/>
  <c r="J490" i="12"/>
  <c r="J491" i="12"/>
  <c r="J492" i="12"/>
  <c r="J493" i="12"/>
  <c r="J494" i="12"/>
  <c r="J495" i="12"/>
  <c r="J496" i="12"/>
  <c r="J497" i="12"/>
  <c r="J498" i="12"/>
  <c r="J499" i="12"/>
  <c r="J500" i="12"/>
  <c r="J501" i="12"/>
  <c r="J502" i="12"/>
  <c r="J503" i="12"/>
  <c r="J504" i="12"/>
  <c r="J505" i="12"/>
  <c r="J506" i="12"/>
  <c r="J507" i="12"/>
  <c r="J508" i="12"/>
  <c r="J509" i="12"/>
  <c r="J510" i="12"/>
  <c r="J511" i="12"/>
  <c r="J512" i="12"/>
  <c r="J513" i="12"/>
  <c r="J514" i="12"/>
  <c r="J515" i="12"/>
  <c r="J516" i="12"/>
  <c r="J517" i="12"/>
  <c r="J518" i="12"/>
  <c r="J519" i="12"/>
  <c r="J520" i="12"/>
  <c r="J521" i="12"/>
  <c r="J522" i="12"/>
  <c r="J523" i="12"/>
  <c r="J524" i="12"/>
  <c r="J525" i="12"/>
  <c r="J526" i="12"/>
  <c r="J527" i="12"/>
  <c r="J528" i="12"/>
  <c r="J529" i="12"/>
  <c r="J530" i="12"/>
  <c r="J531" i="12"/>
  <c r="J532" i="12"/>
  <c r="J533" i="12"/>
  <c r="J534" i="12"/>
  <c r="J535" i="12"/>
  <c r="J536" i="12"/>
  <c r="J537" i="12"/>
  <c r="J538" i="12"/>
  <c r="J539" i="12"/>
  <c r="J540" i="12"/>
  <c r="J541" i="12"/>
  <c r="J542" i="12"/>
  <c r="J543" i="12"/>
  <c r="J544" i="12"/>
  <c r="J545" i="12"/>
  <c r="J546" i="12"/>
  <c r="J547" i="12"/>
  <c r="J548" i="12"/>
  <c r="J549" i="12"/>
  <c r="J550" i="12"/>
  <c r="J551" i="12"/>
  <c r="J552" i="12"/>
  <c r="J553" i="12"/>
  <c r="J554" i="12"/>
  <c r="J555" i="12"/>
  <c r="J556" i="12"/>
  <c r="J557" i="12"/>
  <c r="J558" i="12"/>
  <c r="J559" i="12"/>
  <c r="J560" i="12"/>
  <c r="J561" i="12"/>
  <c r="J562" i="12"/>
  <c r="J563" i="12"/>
  <c r="J564" i="12"/>
  <c r="J565" i="12"/>
  <c r="J566" i="12"/>
  <c r="J567" i="12"/>
  <c r="J568" i="12"/>
  <c r="J569" i="12"/>
  <c r="J570" i="12"/>
  <c r="J571" i="12"/>
  <c r="J572" i="12"/>
  <c r="J573" i="12"/>
  <c r="J574" i="12"/>
  <c r="J575" i="12"/>
  <c r="J576" i="12"/>
  <c r="J577" i="12"/>
  <c r="J578" i="12"/>
  <c r="J579" i="12"/>
  <c r="J580" i="12"/>
  <c r="J581" i="12"/>
  <c r="J582" i="12"/>
  <c r="J583" i="12"/>
  <c r="J584" i="12"/>
  <c r="J585" i="12"/>
  <c r="J586" i="12"/>
  <c r="J587" i="12"/>
  <c r="J588" i="12"/>
  <c r="J589" i="12"/>
  <c r="J590" i="12"/>
  <c r="J591" i="12"/>
  <c r="J592" i="12"/>
  <c r="J593" i="12"/>
  <c r="J594" i="12"/>
  <c r="J595" i="12"/>
  <c r="J596" i="12"/>
  <c r="J597" i="12"/>
  <c r="J598" i="12"/>
  <c r="J599" i="12"/>
  <c r="J600" i="12"/>
  <c r="J601" i="12"/>
  <c r="J602" i="12"/>
  <c r="J603" i="12"/>
  <c r="J604" i="12"/>
  <c r="J605" i="12"/>
  <c r="J606" i="12"/>
  <c r="J607" i="12"/>
  <c r="J608" i="12"/>
  <c r="J609" i="12"/>
  <c r="J610" i="12"/>
  <c r="J611" i="12"/>
  <c r="J612" i="12"/>
  <c r="J613" i="12"/>
  <c r="J614" i="12"/>
  <c r="J615" i="12"/>
  <c r="J616" i="12"/>
  <c r="J617" i="12"/>
  <c r="J618" i="12"/>
  <c r="J619" i="12"/>
  <c r="J620" i="12"/>
  <c r="J621" i="12"/>
  <c r="J622" i="12"/>
  <c r="J623" i="12"/>
  <c r="J624" i="12"/>
  <c r="J625" i="12"/>
  <c r="J626" i="12"/>
  <c r="J627" i="12"/>
  <c r="J628" i="12"/>
  <c r="J629" i="12"/>
  <c r="J630" i="12"/>
  <c r="J631" i="12"/>
  <c r="J632" i="12"/>
  <c r="J633" i="12"/>
  <c r="J634" i="12"/>
  <c r="J635" i="12"/>
  <c r="J636" i="12"/>
  <c r="J637" i="12"/>
  <c r="J638" i="12"/>
  <c r="J639" i="12"/>
  <c r="J640" i="12"/>
  <c r="J641" i="12"/>
  <c r="J642" i="12"/>
  <c r="J643" i="12"/>
  <c r="J644" i="12"/>
  <c r="J645" i="12"/>
  <c r="J646" i="12"/>
  <c r="J647" i="12"/>
  <c r="J648" i="12"/>
  <c r="J649" i="12"/>
  <c r="J650" i="12"/>
  <c r="J651" i="12"/>
  <c r="J652" i="12"/>
  <c r="J653" i="12"/>
  <c r="J654" i="12"/>
  <c r="J655" i="12"/>
  <c r="J656" i="12"/>
  <c r="J657" i="12"/>
  <c r="J658" i="12"/>
  <c r="J659" i="12"/>
  <c r="J660" i="12"/>
  <c r="J661" i="12"/>
  <c r="J662" i="12"/>
  <c r="J663" i="12"/>
  <c r="J664" i="12"/>
  <c r="J665" i="12"/>
  <c r="J666" i="12"/>
  <c r="J667" i="12"/>
  <c r="J668" i="12"/>
  <c r="J669" i="12"/>
  <c r="J670" i="12"/>
  <c r="J671" i="12"/>
  <c r="J672" i="12"/>
  <c r="J673" i="12"/>
  <c r="J674" i="12"/>
  <c r="J675" i="12"/>
  <c r="J676" i="12"/>
  <c r="J677" i="12"/>
  <c r="J678" i="12"/>
  <c r="J679" i="12"/>
  <c r="J680" i="12"/>
  <c r="J681" i="12"/>
  <c r="J682" i="12"/>
  <c r="J683" i="12"/>
  <c r="J684" i="12"/>
  <c r="J685" i="12"/>
  <c r="J686" i="12"/>
  <c r="J687" i="12"/>
  <c r="J688" i="12"/>
  <c r="J689" i="12"/>
  <c r="J690" i="12"/>
  <c r="J691" i="12"/>
  <c r="J692" i="12"/>
  <c r="J693" i="12"/>
  <c r="J694" i="12"/>
  <c r="J695" i="12"/>
  <c r="J696" i="12"/>
  <c r="J697" i="12"/>
  <c r="J698" i="12"/>
  <c r="J699" i="12"/>
  <c r="J700" i="12"/>
  <c r="J701" i="12"/>
  <c r="J702" i="12"/>
  <c r="J703" i="12"/>
  <c r="J704" i="12"/>
  <c r="J705" i="12"/>
  <c r="J706" i="12"/>
  <c r="J707" i="12"/>
  <c r="J708" i="12"/>
  <c r="J709" i="12"/>
  <c r="J710" i="12"/>
  <c r="J711" i="12"/>
  <c r="J712" i="12"/>
  <c r="J713" i="12"/>
  <c r="J714" i="12"/>
  <c r="J715" i="12"/>
  <c r="J716" i="12"/>
  <c r="J717" i="12"/>
  <c r="J718" i="12"/>
  <c r="J719" i="12"/>
  <c r="J720" i="12"/>
  <c r="J721" i="12"/>
  <c r="J722" i="12"/>
  <c r="J723" i="12"/>
  <c r="J724" i="12"/>
  <c r="J725" i="12"/>
  <c r="J726" i="12"/>
  <c r="J727" i="12"/>
  <c r="J728" i="12"/>
  <c r="J729" i="12"/>
  <c r="J730" i="12"/>
  <c r="J731" i="12"/>
  <c r="J732" i="12"/>
  <c r="J733" i="12"/>
  <c r="J734" i="12"/>
  <c r="J735" i="12"/>
  <c r="J736" i="12"/>
  <c r="J737" i="12"/>
  <c r="J738" i="12"/>
  <c r="J739" i="12"/>
  <c r="J740" i="12"/>
  <c r="J741" i="12"/>
  <c r="J742" i="12"/>
  <c r="J743" i="12"/>
  <c r="J744" i="12"/>
  <c r="J745" i="12"/>
  <c r="J746" i="12"/>
  <c r="J747" i="12"/>
  <c r="J748" i="12"/>
  <c r="J749" i="12"/>
  <c r="J750" i="12"/>
  <c r="J751" i="12"/>
  <c r="J752" i="12"/>
  <c r="J753" i="12"/>
  <c r="J754" i="12"/>
  <c r="J755" i="12"/>
  <c r="J756" i="12"/>
  <c r="J757" i="12"/>
  <c r="J758" i="12"/>
  <c r="J759" i="12"/>
  <c r="J760" i="12"/>
  <c r="J761" i="12"/>
  <c r="J762" i="12"/>
  <c r="J763" i="12"/>
  <c r="J764" i="12"/>
  <c r="J765" i="12"/>
  <c r="J766" i="12"/>
  <c r="J767" i="12"/>
  <c r="J768" i="12"/>
  <c r="J769" i="12"/>
  <c r="J770" i="12"/>
  <c r="J771" i="12"/>
  <c r="J772" i="12"/>
  <c r="J773" i="12"/>
  <c r="J774" i="12"/>
  <c r="J775" i="12"/>
  <c r="J776" i="12"/>
  <c r="J777" i="12"/>
  <c r="J778" i="12"/>
  <c r="J779" i="12"/>
  <c r="J780" i="12"/>
  <c r="J781" i="12"/>
  <c r="J782" i="12"/>
  <c r="J783" i="12"/>
  <c r="J784" i="12"/>
  <c r="J785" i="12"/>
  <c r="J786" i="12"/>
  <c r="J787" i="12"/>
  <c r="J788" i="12"/>
  <c r="J789" i="12"/>
  <c r="J790" i="12"/>
  <c r="J791" i="12"/>
  <c r="J792" i="12"/>
  <c r="J793" i="12"/>
  <c r="J794" i="12"/>
  <c r="J795" i="12"/>
  <c r="J796" i="12"/>
  <c r="J797" i="12"/>
  <c r="J798" i="12"/>
  <c r="J799" i="12"/>
  <c r="J800" i="12"/>
  <c r="J801" i="12"/>
  <c r="J802" i="12"/>
  <c r="J803" i="12"/>
  <c r="J804" i="12"/>
  <c r="J805" i="12"/>
  <c r="J806" i="12"/>
  <c r="J807" i="12"/>
  <c r="J808" i="12"/>
  <c r="J809" i="12"/>
  <c r="J810" i="12"/>
  <c r="J811" i="12"/>
  <c r="J812" i="12"/>
  <c r="J813" i="12"/>
  <c r="J814" i="12"/>
  <c r="J815" i="12"/>
  <c r="J816" i="12"/>
  <c r="J817" i="12"/>
  <c r="J818" i="12"/>
  <c r="J819" i="12"/>
  <c r="J820" i="12"/>
  <c r="J821" i="12"/>
  <c r="J822" i="12"/>
  <c r="J823" i="12"/>
  <c r="J824" i="12"/>
  <c r="J825" i="12"/>
  <c r="J826" i="12"/>
  <c r="J827" i="12"/>
  <c r="J828" i="12"/>
  <c r="J829" i="12"/>
  <c r="J830" i="12"/>
  <c r="J831" i="12"/>
  <c r="J832" i="12"/>
  <c r="J833" i="12"/>
  <c r="J834" i="12"/>
  <c r="J835" i="12"/>
  <c r="J836" i="12"/>
  <c r="J837" i="12"/>
  <c r="J838" i="12"/>
  <c r="J839" i="12"/>
  <c r="J840" i="12"/>
  <c r="J841" i="12"/>
  <c r="J842" i="12"/>
  <c r="J843" i="12"/>
  <c r="J844" i="12"/>
  <c r="J845" i="12"/>
  <c r="J846" i="12"/>
  <c r="J847" i="12"/>
  <c r="J848" i="12"/>
  <c r="J849" i="12"/>
  <c r="J850" i="12"/>
  <c r="J851" i="12"/>
  <c r="J852" i="12"/>
  <c r="J853" i="12"/>
  <c r="J854" i="12"/>
  <c r="J855" i="12"/>
  <c r="J856" i="12"/>
  <c r="J857" i="12"/>
  <c r="J858" i="12"/>
  <c r="J859" i="12"/>
  <c r="J860" i="12"/>
  <c r="J861" i="12"/>
  <c r="J862" i="12"/>
  <c r="J863" i="12"/>
  <c r="J864" i="12"/>
  <c r="J865" i="12"/>
  <c r="J866" i="12"/>
  <c r="J867" i="12"/>
  <c r="J868" i="12"/>
  <c r="J869" i="12"/>
  <c r="J870" i="12"/>
  <c r="J871" i="12"/>
  <c r="J872" i="12"/>
  <c r="J873" i="12"/>
  <c r="J874" i="12"/>
  <c r="J875" i="12"/>
  <c r="J876" i="12"/>
  <c r="J877" i="12"/>
  <c r="J878" i="12"/>
  <c r="J879" i="12"/>
  <c r="J880" i="12"/>
  <c r="J881" i="12"/>
  <c r="J882" i="12"/>
  <c r="J883" i="12"/>
  <c r="J884" i="12"/>
  <c r="J885" i="12"/>
  <c r="J886" i="12"/>
  <c r="J887" i="12"/>
  <c r="J888" i="12"/>
  <c r="J889" i="12"/>
  <c r="J890" i="12"/>
  <c r="J891" i="12"/>
  <c r="J892" i="12"/>
  <c r="J893" i="12"/>
  <c r="J894" i="12"/>
  <c r="J895" i="12"/>
  <c r="J896" i="12"/>
  <c r="J897" i="12"/>
  <c r="J898" i="12"/>
  <c r="J899" i="12"/>
  <c r="J900" i="12"/>
  <c r="J901" i="12"/>
  <c r="J902" i="12"/>
  <c r="J903" i="12"/>
  <c r="J904" i="12"/>
  <c r="J905" i="12"/>
  <c r="J906" i="12"/>
  <c r="J907" i="12"/>
  <c r="J908" i="12"/>
  <c r="J909" i="12"/>
  <c r="J910" i="12"/>
  <c r="J911" i="12"/>
  <c r="J912" i="12"/>
  <c r="J913" i="12"/>
  <c r="J914" i="12"/>
  <c r="J915" i="12"/>
  <c r="J916" i="12"/>
  <c r="J917" i="12"/>
  <c r="J918" i="12"/>
  <c r="J919" i="12"/>
  <c r="J920" i="12"/>
  <c r="J921" i="12"/>
  <c r="J922" i="12"/>
  <c r="J923" i="12"/>
  <c r="J924" i="12"/>
  <c r="J925" i="12"/>
  <c r="J926" i="12"/>
  <c r="J927" i="12"/>
  <c r="J928" i="12"/>
  <c r="J929" i="12"/>
  <c r="J930" i="12"/>
  <c r="J931" i="12"/>
  <c r="J932" i="12"/>
  <c r="J933" i="12"/>
  <c r="J934" i="12"/>
  <c r="J935" i="12"/>
  <c r="J936" i="12"/>
  <c r="J937" i="12"/>
  <c r="J938" i="12"/>
  <c r="J939" i="12"/>
  <c r="J940" i="12"/>
  <c r="J941" i="12"/>
  <c r="J942" i="12"/>
  <c r="J943" i="12"/>
  <c r="J944" i="12"/>
  <c r="J945" i="12"/>
  <c r="J946" i="12"/>
  <c r="J947" i="12"/>
  <c r="J948" i="12"/>
  <c r="J949" i="12"/>
  <c r="J950" i="12"/>
  <c r="J951" i="12"/>
  <c r="J952" i="12"/>
  <c r="J953" i="12"/>
  <c r="J954" i="12"/>
  <c r="J955" i="12"/>
  <c r="J956" i="12"/>
  <c r="J957" i="12"/>
  <c r="J958" i="12"/>
  <c r="J959" i="12"/>
  <c r="J960" i="12"/>
  <c r="J961" i="12"/>
  <c r="J962" i="12"/>
  <c r="J963" i="12"/>
  <c r="J964" i="12"/>
  <c r="J965" i="12"/>
  <c r="J966" i="12"/>
  <c r="J967" i="12"/>
  <c r="J968" i="12"/>
  <c r="J969" i="12"/>
  <c r="J970" i="12"/>
  <c r="J971" i="12"/>
  <c r="J972" i="12"/>
  <c r="J973" i="12"/>
  <c r="J974" i="12"/>
  <c r="J975" i="12"/>
  <c r="J976" i="12"/>
  <c r="J977" i="12"/>
  <c r="J978" i="12"/>
  <c r="J979" i="12"/>
  <c r="J980" i="12"/>
  <c r="J981" i="12"/>
  <c r="J982" i="12"/>
  <c r="J983" i="12"/>
  <c r="J984" i="12"/>
  <c r="J985" i="12"/>
  <c r="J986" i="12"/>
  <c r="J987" i="12"/>
  <c r="J988" i="12"/>
  <c r="J989" i="12"/>
  <c r="J990" i="12"/>
  <c r="J991" i="12"/>
  <c r="J992" i="12"/>
  <c r="J993" i="12"/>
  <c r="J994" i="12"/>
  <c r="J995" i="12"/>
  <c r="J996" i="12"/>
  <c r="J997" i="12"/>
  <c r="J998" i="12"/>
  <c r="J999" i="12"/>
  <c r="J1000" i="12"/>
  <c r="J1001" i="12"/>
  <c r="J1002" i="12"/>
  <c r="J1003" i="12"/>
  <c r="J1004" i="12"/>
  <c r="J1005" i="12"/>
  <c r="J1006" i="12"/>
  <c r="J1007" i="12"/>
  <c r="J1008" i="12"/>
  <c r="J1009" i="12"/>
  <c r="J1010" i="12"/>
  <c r="J1011" i="12"/>
  <c r="J1012" i="12"/>
  <c r="J1013" i="12"/>
  <c r="J1014" i="12"/>
  <c r="J1015" i="12"/>
  <c r="J1016" i="12"/>
  <c r="J1017" i="12"/>
  <c r="J1018" i="12"/>
  <c r="J1019" i="12"/>
  <c r="J1020" i="12"/>
  <c r="J1021" i="12"/>
  <c r="J1022" i="12"/>
  <c r="J1023" i="12"/>
  <c r="J1024" i="12"/>
  <c r="J1025" i="12"/>
  <c r="J1026" i="12"/>
  <c r="J1027" i="12"/>
  <c r="J1028" i="12"/>
  <c r="J1029" i="12"/>
  <c r="J1030" i="12"/>
  <c r="J1031" i="12"/>
  <c r="J1032" i="12"/>
  <c r="J1033" i="12"/>
  <c r="J1034" i="12"/>
  <c r="J1035" i="12"/>
  <c r="J1036" i="12"/>
  <c r="J1037" i="12"/>
  <c r="J1038" i="12"/>
  <c r="J1039" i="12"/>
  <c r="J1040" i="12"/>
  <c r="J1041" i="12"/>
  <c r="J1042" i="12"/>
  <c r="J1043" i="12"/>
  <c r="J1044" i="12"/>
  <c r="J1045" i="12"/>
  <c r="J1046" i="12"/>
  <c r="J1047" i="12"/>
  <c r="J1048" i="12"/>
  <c r="J1049" i="12"/>
  <c r="J1050" i="12"/>
  <c r="J1051" i="12"/>
  <c r="J1052" i="12"/>
  <c r="J1053" i="12"/>
  <c r="J1054" i="12"/>
  <c r="J1055" i="12"/>
  <c r="J1056" i="12"/>
  <c r="J1057" i="12"/>
  <c r="J1058" i="12"/>
  <c r="J1059" i="12"/>
  <c r="J1060" i="12"/>
  <c r="J1061" i="12"/>
  <c r="J1062" i="12"/>
  <c r="J1063" i="12"/>
  <c r="J1064" i="12"/>
  <c r="J1065" i="12"/>
  <c r="J1066" i="12"/>
  <c r="J1067" i="12"/>
  <c r="J1068" i="12"/>
  <c r="J1069" i="12"/>
  <c r="J1070" i="12"/>
  <c r="J1071" i="12"/>
  <c r="J1072" i="12"/>
  <c r="J1073" i="12"/>
  <c r="J1074" i="12"/>
  <c r="J1075" i="12"/>
  <c r="J1076" i="12"/>
  <c r="J1077" i="12"/>
  <c r="J1078" i="12"/>
  <c r="J1079" i="12"/>
  <c r="J1080" i="12"/>
  <c r="J1081" i="12"/>
  <c r="J1082" i="12"/>
  <c r="J1083" i="12"/>
  <c r="J1084" i="12"/>
  <c r="J1085" i="12"/>
  <c r="J1086" i="12"/>
  <c r="J1087" i="12"/>
  <c r="J1088" i="12"/>
  <c r="J1089" i="12"/>
  <c r="J1090" i="12"/>
  <c r="J1091" i="12"/>
  <c r="J1092" i="12"/>
  <c r="J1093" i="12"/>
  <c r="J1094" i="12"/>
  <c r="J1095" i="12"/>
  <c r="J1096" i="12"/>
  <c r="J1097" i="12"/>
  <c r="J1098" i="12"/>
  <c r="J1099" i="12"/>
  <c r="J1100" i="12"/>
  <c r="J1101" i="12"/>
  <c r="J1102" i="12"/>
  <c r="J1103" i="12"/>
  <c r="J1104" i="12"/>
  <c r="J1105" i="12"/>
  <c r="J1106" i="12"/>
  <c r="J1107" i="12"/>
  <c r="J1108" i="12"/>
  <c r="J1109" i="12"/>
  <c r="J1110" i="12"/>
  <c r="J1111" i="12"/>
  <c r="J1112" i="12"/>
  <c r="J1113" i="12"/>
  <c r="J1114" i="12"/>
  <c r="J1115" i="12"/>
  <c r="J1116" i="12"/>
  <c r="J1117" i="12"/>
  <c r="J1118" i="12"/>
  <c r="J1119" i="12"/>
  <c r="J1120" i="12"/>
  <c r="J1121" i="12"/>
  <c r="J1122" i="12"/>
  <c r="J1123" i="12"/>
  <c r="J1124" i="12"/>
  <c r="J1125" i="12"/>
  <c r="J1126" i="12"/>
  <c r="J1127" i="12"/>
  <c r="J1128" i="12"/>
  <c r="J1129" i="12"/>
  <c r="J1130" i="12"/>
  <c r="J1131" i="12"/>
  <c r="J1132" i="12"/>
  <c r="J1133" i="12"/>
  <c r="J1134" i="12"/>
  <c r="J1135" i="12"/>
  <c r="J1136" i="12"/>
  <c r="J1137" i="12"/>
  <c r="J1138" i="12"/>
  <c r="J1139" i="12"/>
  <c r="J1140" i="12"/>
  <c r="J1141" i="12"/>
  <c r="J1142" i="12"/>
  <c r="J1143" i="12"/>
  <c r="J1144" i="12"/>
  <c r="J1145" i="12"/>
  <c r="J1146" i="12"/>
  <c r="J1147" i="12"/>
  <c r="J1148" i="12"/>
  <c r="J1149" i="12"/>
  <c r="J1150" i="12"/>
  <c r="J1151" i="12"/>
  <c r="J1152" i="12"/>
  <c r="J1153" i="12"/>
  <c r="J1154" i="12"/>
  <c r="J1155" i="12"/>
  <c r="J1156" i="12"/>
  <c r="J1157" i="12"/>
  <c r="J1158" i="12"/>
  <c r="J1159" i="12"/>
  <c r="J1160" i="12"/>
  <c r="J1161" i="12"/>
  <c r="J1162" i="12"/>
  <c r="J1163" i="12"/>
  <c r="J1164" i="12"/>
  <c r="J1165" i="12"/>
  <c r="J1166" i="12"/>
  <c r="J1167" i="12"/>
  <c r="J1168" i="12"/>
  <c r="J1169" i="12"/>
  <c r="J1170" i="12"/>
  <c r="J1171" i="12"/>
  <c r="J1172" i="12"/>
  <c r="J1173" i="12"/>
  <c r="J1174" i="12"/>
  <c r="J1175" i="12"/>
  <c r="J1176" i="12"/>
  <c r="J1177" i="12"/>
  <c r="J1178" i="12"/>
  <c r="J1179" i="12"/>
  <c r="J1180" i="12"/>
  <c r="J1181" i="12"/>
  <c r="J1182" i="12"/>
  <c r="J1183" i="12"/>
  <c r="J1184" i="12"/>
  <c r="J1185" i="12"/>
  <c r="J1186" i="12"/>
  <c r="J1187" i="12"/>
  <c r="J1188" i="12"/>
  <c r="J1189" i="12"/>
  <c r="J1190" i="12"/>
  <c r="J1191" i="12"/>
  <c r="J1192" i="12"/>
  <c r="J1193" i="12"/>
  <c r="J1194" i="12"/>
  <c r="J1195" i="12"/>
  <c r="J1196" i="12"/>
  <c r="J1197" i="12"/>
  <c r="J1198" i="12"/>
  <c r="J1199" i="12"/>
  <c r="J1200" i="12"/>
  <c r="J1201" i="12"/>
  <c r="J1202" i="12"/>
  <c r="J1203" i="12"/>
  <c r="J1204" i="12"/>
  <c r="J1205" i="12"/>
  <c r="J1206" i="12"/>
  <c r="J1207" i="12"/>
  <c r="J1208" i="12"/>
  <c r="J1209" i="12"/>
  <c r="J1210" i="12"/>
  <c r="J1211" i="12"/>
  <c r="J1212" i="12"/>
  <c r="J1213" i="12"/>
  <c r="J1214" i="12"/>
  <c r="J1215" i="12"/>
  <c r="J1216" i="12"/>
  <c r="J1217" i="12"/>
  <c r="J1218" i="12"/>
  <c r="J1219" i="12"/>
  <c r="J1220" i="12"/>
  <c r="J1221" i="12"/>
  <c r="J1222" i="12"/>
  <c r="J1223" i="12"/>
  <c r="J1224" i="12"/>
  <c r="J1225" i="12"/>
  <c r="J1226" i="12"/>
  <c r="J1227" i="12"/>
  <c r="J1228" i="12"/>
  <c r="J1229" i="12"/>
  <c r="J1230" i="12"/>
  <c r="J1231" i="12"/>
  <c r="J1232" i="12"/>
  <c r="J1233" i="12"/>
  <c r="J1234" i="12"/>
  <c r="J1235" i="12"/>
  <c r="J1236" i="12"/>
  <c r="J1237" i="12"/>
  <c r="J1238" i="12"/>
  <c r="J1239" i="12"/>
  <c r="J1240" i="12"/>
  <c r="J1241" i="12"/>
  <c r="J1242" i="12"/>
  <c r="J1243" i="12"/>
  <c r="J1244" i="12"/>
  <c r="J1245" i="12"/>
  <c r="J1246" i="12"/>
  <c r="J1247" i="12"/>
  <c r="J1248" i="12"/>
  <c r="J1249" i="12"/>
  <c r="J1250" i="12"/>
  <c r="J1251" i="12"/>
  <c r="J1252" i="12"/>
  <c r="J1253" i="12"/>
  <c r="J1254" i="12"/>
  <c r="J1255" i="12"/>
  <c r="J1256" i="12"/>
  <c r="J1257" i="12"/>
  <c r="J1258" i="12"/>
  <c r="J1259" i="12"/>
  <c r="J1260" i="12"/>
  <c r="J1261" i="12"/>
  <c r="J1262" i="12"/>
  <c r="J1263" i="12"/>
  <c r="J1264" i="12"/>
  <c r="J1265" i="12"/>
  <c r="J1266" i="12"/>
  <c r="J1267" i="12"/>
  <c r="J1268" i="12"/>
  <c r="J1269" i="12"/>
  <c r="J1270" i="12"/>
  <c r="J1271" i="12"/>
  <c r="J1272" i="12"/>
  <c r="J1273" i="12"/>
  <c r="J1274" i="12"/>
  <c r="J1275" i="12"/>
  <c r="J1276" i="12"/>
  <c r="J1277" i="12"/>
  <c r="J1278" i="12"/>
  <c r="J1279" i="12"/>
  <c r="J1280" i="12"/>
  <c r="J1281" i="12"/>
  <c r="J1282" i="12"/>
  <c r="J1283" i="12"/>
  <c r="J1284" i="12"/>
  <c r="J1285" i="12"/>
  <c r="J1286" i="12"/>
  <c r="J1287" i="12"/>
  <c r="J1288" i="12"/>
  <c r="J1289" i="12"/>
  <c r="J1290" i="12"/>
  <c r="J1291" i="12"/>
  <c r="J1292" i="12"/>
  <c r="J1293" i="12"/>
  <c r="J1294" i="12"/>
  <c r="J1295" i="12"/>
  <c r="J1296" i="12"/>
  <c r="J1297" i="12"/>
  <c r="J1298" i="12"/>
  <c r="J1299" i="12"/>
  <c r="J1300" i="12"/>
  <c r="J1301" i="12"/>
  <c r="J1302" i="12"/>
  <c r="J1303" i="12"/>
  <c r="J1304" i="12"/>
  <c r="J1305" i="12"/>
  <c r="J1306" i="12"/>
  <c r="J1307" i="12"/>
  <c r="J1308" i="12"/>
  <c r="J1309" i="12"/>
  <c r="J1310" i="12"/>
  <c r="J1311" i="12"/>
  <c r="J1312" i="12"/>
  <c r="J1313" i="12"/>
  <c r="J1314" i="12"/>
  <c r="J1315" i="12"/>
  <c r="J1316" i="12"/>
  <c r="J1317" i="12"/>
  <c r="J1318" i="12"/>
  <c r="J1319" i="12"/>
  <c r="J1320" i="12"/>
  <c r="J1321" i="12"/>
  <c r="J1322" i="12"/>
  <c r="J1323" i="12"/>
  <c r="J1324" i="12"/>
  <c r="J1325" i="12"/>
  <c r="J1326" i="12"/>
  <c r="J1327" i="12"/>
  <c r="J1328" i="12"/>
  <c r="J1329" i="12"/>
  <c r="J1330" i="12"/>
  <c r="J1331" i="12"/>
  <c r="J1332" i="12"/>
  <c r="J1333" i="12"/>
  <c r="J1334" i="12"/>
  <c r="J1335" i="12"/>
  <c r="J1336" i="12"/>
  <c r="J1337" i="12"/>
  <c r="J1338" i="12"/>
  <c r="J1339" i="12"/>
  <c r="J1340" i="12"/>
  <c r="J1341" i="12"/>
  <c r="J1342" i="12"/>
  <c r="J1343" i="12"/>
  <c r="J1344" i="12"/>
  <c r="J1345" i="12"/>
  <c r="J1346" i="12"/>
  <c r="J1347" i="12"/>
  <c r="J1348" i="12"/>
  <c r="J1349" i="12"/>
  <c r="J1350" i="12"/>
  <c r="J1351" i="12"/>
  <c r="J1352" i="12"/>
  <c r="J1353" i="12"/>
  <c r="J1354" i="12"/>
  <c r="J1355" i="12"/>
  <c r="J1356" i="12"/>
  <c r="J1357" i="12"/>
  <c r="J1358" i="12"/>
  <c r="J1359" i="12"/>
  <c r="J1360" i="12"/>
  <c r="J1361" i="12"/>
  <c r="J1362" i="12"/>
  <c r="J1363" i="12"/>
  <c r="J1364" i="12"/>
  <c r="J1365" i="12"/>
  <c r="J1366" i="12"/>
  <c r="J1367" i="12"/>
  <c r="J1368" i="12"/>
  <c r="J1369" i="12"/>
  <c r="J1370" i="12"/>
  <c r="J1371" i="12"/>
  <c r="J1372" i="12"/>
  <c r="J1373" i="12"/>
  <c r="J1374" i="12"/>
  <c r="J1375" i="12"/>
  <c r="J1376" i="12"/>
  <c r="J1377" i="12"/>
  <c r="J1378" i="12"/>
  <c r="J1379" i="12"/>
  <c r="J1380" i="12"/>
  <c r="J1381" i="12"/>
  <c r="J1382" i="12"/>
  <c r="J1383" i="12"/>
  <c r="J1384" i="12"/>
  <c r="J1385" i="12"/>
  <c r="J1386" i="12"/>
  <c r="J1387" i="12"/>
  <c r="J1388" i="12"/>
  <c r="J1389" i="12"/>
  <c r="J1390" i="12"/>
  <c r="J1391" i="12"/>
  <c r="J1392" i="12"/>
  <c r="J1393" i="12"/>
  <c r="J1394" i="12"/>
  <c r="J1395" i="12"/>
  <c r="J1396" i="12"/>
  <c r="J1397" i="12"/>
  <c r="J1398" i="12"/>
  <c r="J1399" i="12"/>
  <c r="J1400" i="12"/>
  <c r="J1401" i="12"/>
  <c r="J1402" i="12"/>
  <c r="J1403" i="12"/>
  <c r="J1404" i="12"/>
  <c r="J1405" i="12"/>
  <c r="J1406" i="12"/>
  <c r="J1407" i="12"/>
  <c r="J1408" i="12"/>
  <c r="J1409" i="12"/>
  <c r="J1410" i="12"/>
  <c r="J1411" i="12"/>
  <c r="J1412" i="12"/>
  <c r="J1413" i="12"/>
  <c r="J1414" i="12"/>
  <c r="J1415" i="12"/>
  <c r="J1416" i="12"/>
  <c r="J1417" i="12"/>
  <c r="J1418" i="12"/>
  <c r="J1419" i="12"/>
  <c r="J1420" i="12"/>
  <c r="J1421" i="12"/>
  <c r="J1422" i="12"/>
  <c r="J1423" i="12"/>
  <c r="J1424" i="12"/>
  <c r="J1425" i="12"/>
  <c r="J1426" i="12"/>
  <c r="J1427" i="12"/>
  <c r="J1428" i="12"/>
  <c r="J1429" i="12"/>
  <c r="J1430" i="12"/>
  <c r="J1431" i="12"/>
  <c r="J1432" i="12"/>
  <c r="J1433" i="12"/>
  <c r="J1434" i="12"/>
  <c r="J1435" i="12"/>
  <c r="J1436" i="12"/>
  <c r="J1437" i="12"/>
  <c r="J1438" i="12"/>
  <c r="J1439" i="12"/>
  <c r="J1440" i="12"/>
  <c r="J1441" i="12"/>
  <c r="J1442" i="12"/>
  <c r="J1443" i="12"/>
  <c r="J1444" i="12"/>
  <c r="J1445" i="12"/>
  <c r="J1446" i="12"/>
  <c r="J1447" i="12"/>
  <c r="J1448" i="12"/>
  <c r="J1449" i="12"/>
  <c r="J1450" i="12"/>
  <c r="J1451" i="12"/>
  <c r="J1452" i="12"/>
  <c r="J1453" i="12"/>
  <c r="J1454" i="12"/>
  <c r="J1455" i="12"/>
  <c r="J1456" i="12"/>
  <c r="J1457" i="12"/>
  <c r="J1458" i="12"/>
  <c r="J1459" i="12"/>
  <c r="J1460" i="12"/>
  <c r="J1461" i="12"/>
  <c r="J1462" i="12"/>
  <c r="J1463" i="12"/>
  <c r="J1464" i="12"/>
  <c r="J1465" i="12"/>
  <c r="J1466" i="12"/>
  <c r="J1467" i="12"/>
  <c r="J1468" i="12"/>
  <c r="J1469" i="12"/>
  <c r="J1470" i="12"/>
  <c r="J1471" i="12"/>
  <c r="J1472" i="12"/>
  <c r="J1473" i="12"/>
  <c r="J1474" i="12"/>
  <c r="J1475" i="12"/>
  <c r="J1476" i="12"/>
  <c r="J1477" i="12"/>
  <c r="J1478" i="12"/>
  <c r="J1479" i="12"/>
  <c r="J1480" i="12"/>
  <c r="J1481" i="12"/>
  <c r="J1482" i="12"/>
  <c r="J1483" i="12"/>
  <c r="J1484" i="12"/>
  <c r="J1485" i="12"/>
  <c r="J1486" i="12"/>
  <c r="J1487" i="12"/>
  <c r="J1488" i="12"/>
  <c r="J1489" i="12"/>
  <c r="J1490" i="12"/>
  <c r="J1491" i="12"/>
  <c r="J1492" i="12"/>
  <c r="J1493" i="12"/>
  <c r="J1494" i="12"/>
  <c r="J1495" i="12"/>
  <c r="J1496" i="12"/>
  <c r="J1497" i="12"/>
  <c r="J1498" i="12"/>
  <c r="J1499" i="12"/>
  <c r="J1500" i="12"/>
  <c r="J1501" i="12"/>
  <c r="J1502" i="12"/>
  <c r="J1503" i="12"/>
  <c r="J1504" i="12"/>
  <c r="J1505" i="12"/>
  <c r="J1506" i="12"/>
  <c r="J1507" i="12"/>
  <c r="J1508" i="12"/>
  <c r="J1509" i="12"/>
  <c r="J1510" i="12"/>
  <c r="J1511" i="12"/>
  <c r="J1512" i="12"/>
  <c r="J1513" i="12"/>
  <c r="J1514" i="12"/>
  <c r="J1515" i="12"/>
  <c r="J1516" i="12"/>
  <c r="J1517" i="12"/>
  <c r="J1518" i="12"/>
  <c r="J1519" i="12"/>
  <c r="J1520" i="12"/>
  <c r="J1521" i="12"/>
  <c r="J1522" i="12"/>
  <c r="J1523" i="12"/>
  <c r="J1524" i="12"/>
  <c r="J1525" i="12"/>
  <c r="J1526" i="12"/>
  <c r="J1527" i="12"/>
  <c r="J1528" i="12"/>
  <c r="J1529" i="12"/>
  <c r="J1530" i="12"/>
  <c r="J1531" i="12"/>
  <c r="J1532" i="12"/>
  <c r="J1533" i="12"/>
  <c r="J1534" i="12"/>
  <c r="J1535" i="12"/>
  <c r="J1536" i="12"/>
  <c r="J1537" i="12"/>
  <c r="J1538" i="12"/>
  <c r="J1539" i="12"/>
  <c r="J1540" i="12"/>
  <c r="J1541" i="12"/>
  <c r="J1542" i="12"/>
  <c r="J1543" i="12"/>
  <c r="J1544" i="12"/>
  <c r="J1545" i="12"/>
  <c r="J1546" i="12"/>
  <c r="J1547" i="12"/>
  <c r="J1548" i="12"/>
  <c r="J1549" i="12"/>
  <c r="J1550" i="12"/>
  <c r="J1551" i="12"/>
  <c r="J1552" i="12"/>
  <c r="J1553" i="12"/>
  <c r="J1554" i="12"/>
  <c r="J1555" i="12"/>
  <c r="J1556" i="12"/>
  <c r="J1557" i="12"/>
  <c r="J1558" i="12"/>
  <c r="J1559" i="12"/>
  <c r="J1560" i="12"/>
  <c r="J1561" i="12"/>
  <c r="J1562" i="12"/>
  <c r="J1563" i="12"/>
  <c r="J1564" i="12"/>
  <c r="J1565" i="12"/>
  <c r="J1566" i="12"/>
  <c r="J1567" i="12"/>
  <c r="J1568" i="12"/>
  <c r="J1569" i="12"/>
  <c r="J1570" i="12"/>
  <c r="J1571" i="12"/>
  <c r="J1572" i="12"/>
  <c r="J1573" i="12"/>
  <c r="J1574" i="12"/>
  <c r="J1575" i="12"/>
  <c r="J1576" i="12"/>
  <c r="J1577" i="12"/>
  <c r="J1578" i="12"/>
  <c r="J1579" i="12"/>
  <c r="J1580" i="12"/>
  <c r="J1581" i="12"/>
  <c r="J1582" i="12"/>
  <c r="J1583" i="12"/>
  <c r="J1584" i="12"/>
  <c r="J1585" i="12"/>
  <c r="J1586" i="12"/>
  <c r="J1587" i="12"/>
  <c r="J1588" i="12"/>
  <c r="J1589" i="12"/>
  <c r="J1590" i="12"/>
  <c r="J1591" i="12"/>
  <c r="J1592" i="12"/>
  <c r="J1593" i="12"/>
  <c r="J1594" i="12"/>
  <c r="J1595" i="12"/>
  <c r="J1596" i="12"/>
  <c r="J1597" i="12"/>
  <c r="J1598" i="12"/>
  <c r="J1599" i="12"/>
  <c r="J1600" i="12"/>
  <c r="J1601" i="12"/>
  <c r="J1602" i="12"/>
  <c r="J1603" i="12"/>
  <c r="J1604" i="12"/>
  <c r="J1605" i="12"/>
  <c r="J1606" i="12"/>
  <c r="J1607" i="12"/>
  <c r="J1608" i="12"/>
  <c r="J1609" i="12"/>
  <c r="J1610" i="12"/>
  <c r="J1611" i="12"/>
  <c r="J1612" i="12"/>
  <c r="J1613" i="12"/>
  <c r="J1614" i="12"/>
  <c r="J1615" i="12"/>
  <c r="J1616" i="12"/>
  <c r="J1617" i="12"/>
  <c r="J1618" i="12"/>
  <c r="J1619" i="12"/>
  <c r="J1620" i="12"/>
  <c r="J1621" i="12"/>
  <c r="J1622" i="12"/>
  <c r="J1623" i="12"/>
  <c r="J1624" i="12"/>
  <c r="J1625" i="12"/>
  <c r="J1626" i="12"/>
  <c r="J1627" i="12"/>
  <c r="J1628" i="12"/>
  <c r="J1629" i="12"/>
  <c r="J1630" i="12"/>
  <c r="J1631" i="12"/>
  <c r="J1632" i="12"/>
  <c r="J1633" i="12"/>
  <c r="J1634" i="12"/>
  <c r="J1635" i="12"/>
  <c r="J1636" i="12"/>
  <c r="J1637" i="12"/>
  <c r="J1638" i="12"/>
  <c r="J1639" i="12"/>
  <c r="J1640" i="12"/>
  <c r="J1641" i="12"/>
  <c r="J1642" i="12"/>
  <c r="J1643" i="12"/>
  <c r="J1644" i="12"/>
  <c r="J1645" i="12"/>
  <c r="J1646" i="12"/>
  <c r="J1647" i="12"/>
  <c r="J1648" i="12"/>
  <c r="J1649" i="12"/>
  <c r="J1650" i="12"/>
  <c r="J1651" i="12"/>
  <c r="J1652" i="12"/>
  <c r="J1653" i="12"/>
  <c r="J1654" i="12"/>
  <c r="J1655" i="12"/>
  <c r="J1656" i="12"/>
  <c r="J1657" i="12"/>
  <c r="J1658" i="12"/>
  <c r="J1659" i="12"/>
  <c r="J1660" i="12"/>
  <c r="J1661" i="12"/>
  <c r="J1662" i="12"/>
  <c r="J1663" i="12"/>
  <c r="J1664" i="12"/>
  <c r="J1665" i="12"/>
  <c r="J1666" i="12"/>
  <c r="J1667" i="12"/>
  <c r="J1668" i="12"/>
  <c r="J1669" i="12"/>
  <c r="J1670" i="12"/>
  <c r="J1671" i="12"/>
  <c r="J1672" i="12"/>
  <c r="J1673" i="12"/>
  <c r="J1674" i="12"/>
  <c r="J1675" i="12"/>
  <c r="J1676" i="12"/>
  <c r="J1677" i="12"/>
  <c r="J1678" i="12"/>
  <c r="J1679" i="12"/>
  <c r="J1680" i="12"/>
  <c r="J1681" i="12"/>
  <c r="J1682" i="12"/>
  <c r="J1683" i="12"/>
  <c r="J1684" i="12"/>
  <c r="J1685" i="12"/>
  <c r="J1686" i="12"/>
  <c r="J1687" i="12"/>
  <c r="J1688" i="12"/>
  <c r="J1689" i="12"/>
  <c r="J1690" i="12"/>
  <c r="J1691" i="12"/>
  <c r="J1692" i="12"/>
  <c r="J1693" i="12"/>
  <c r="J1694" i="12"/>
  <c r="J1695" i="12"/>
  <c r="J1696" i="12"/>
  <c r="J1697" i="12"/>
  <c r="J1698" i="12"/>
  <c r="J1699" i="12"/>
  <c r="J1700" i="12"/>
  <c r="J1701" i="12"/>
  <c r="J1702" i="12"/>
  <c r="J1703" i="12"/>
  <c r="J1704" i="12"/>
  <c r="J1705" i="12"/>
  <c r="J1706" i="12"/>
  <c r="J1707" i="12"/>
  <c r="J1708" i="12"/>
  <c r="J1709" i="12"/>
  <c r="J1710" i="12"/>
  <c r="J1711" i="12"/>
  <c r="J1712" i="12"/>
  <c r="J1713" i="12"/>
  <c r="J1714" i="12"/>
  <c r="J1715" i="12"/>
  <c r="J1716" i="12"/>
  <c r="J1717" i="12"/>
  <c r="J1718" i="12"/>
  <c r="J1719" i="12"/>
  <c r="J1720" i="12"/>
  <c r="J1721" i="12"/>
  <c r="J1722" i="12"/>
  <c r="J1723" i="12"/>
  <c r="J1724" i="12"/>
  <c r="J1725" i="12"/>
  <c r="J1726" i="12"/>
  <c r="J1727" i="12"/>
  <c r="J1728" i="12"/>
  <c r="J1729" i="12"/>
  <c r="J1730" i="12"/>
  <c r="J1731" i="12"/>
  <c r="J1732" i="12"/>
  <c r="J1733" i="12"/>
  <c r="J1734" i="12"/>
  <c r="J1735" i="12"/>
  <c r="J1736" i="12"/>
  <c r="J1737" i="12"/>
  <c r="J1738" i="12"/>
  <c r="J1739" i="12"/>
  <c r="J1740" i="12"/>
  <c r="J1741" i="12"/>
  <c r="J1742" i="12"/>
  <c r="J1743" i="12"/>
  <c r="J1744" i="12"/>
  <c r="J1745" i="12"/>
  <c r="J1746" i="12"/>
  <c r="J1747" i="12"/>
  <c r="J1748" i="12"/>
  <c r="J1749" i="12"/>
  <c r="J1750" i="12"/>
  <c r="J1751" i="12"/>
  <c r="J1752" i="12"/>
  <c r="J1753" i="12"/>
  <c r="J1754" i="12"/>
  <c r="J1755" i="12"/>
  <c r="J1756" i="12"/>
  <c r="J1757" i="12"/>
  <c r="J1758" i="12"/>
  <c r="J1759" i="12"/>
  <c r="J1760" i="12"/>
  <c r="J1761" i="12"/>
  <c r="J1762" i="12"/>
  <c r="J1763" i="12"/>
  <c r="J1764" i="12"/>
  <c r="J1765" i="12"/>
  <c r="J1766" i="12"/>
  <c r="J1767" i="12"/>
  <c r="J1768" i="12"/>
  <c r="J1769" i="12"/>
  <c r="J1770" i="12"/>
  <c r="J1771" i="12"/>
  <c r="J1772" i="12"/>
  <c r="J1773" i="12"/>
  <c r="J1774" i="12"/>
  <c r="J1775" i="12"/>
  <c r="J1776" i="12"/>
  <c r="J1777" i="12"/>
  <c r="J1778" i="12"/>
  <c r="J1779" i="12"/>
  <c r="J1780" i="12"/>
  <c r="J1781" i="12"/>
  <c r="J1782" i="12"/>
  <c r="J1783" i="12"/>
  <c r="J1784" i="12"/>
  <c r="J1785" i="12"/>
  <c r="J1786" i="12"/>
  <c r="J1787" i="12"/>
  <c r="J1788" i="12"/>
  <c r="J1789" i="12"/>
  <c r="J1790" i="12"/>
  <c r="J1791" i="12"/>
  <c r="J1792" i="12"/>
  <c r="J1793" i="12"/>
  <c r="J1794" i="12"/>
  <c r="J1795" i="12"/>
  <c r="J1796" i="12"/>
  <c r="J1797" i="12"/>
  <c r="J1798" i="12"/>
  <c r="J1799" i="12"/>
  <c r="J1800" i="12"/>
  <c r="J1801" i="12"/>
  <c r="J1802" i="12"/>
  <c r="J1803" i="12"/>
  <c r="J1804" i="12"/>
  <c r="J1805" i="12"/>
  <c r="J1806" i="12"/>
  <c r="J1807" i="12"/>
  <c r="J1808" i="12"/>
  <c r="J1809" i="12"/>
  <c r="J1810" i="12"/>
  <c r="J1811" i="12"/>
  <c r="J1812" i="12"/>
  <c r="J1813" i="12"/>
  <c r="J1814" i="12"/>
  <c r="J1815" i="12"/>
  <c r="J1816" i="12"/>
  <c r="J1817" i="12"/>
  <c r="J1818" i="12"/>
  <c r="J1819" i="12"/>
  <c r="J1820" i="12"/>
  <c r="J1821" i="12"/>
  <c r="J1822" i="12"/>
  <c r="J1823" i="12"/>
  <c r="J1824" i="12"/>
  <c r="J1825" i="12"/>
  <c r="J1826" i="12"/>
  <c r="J1827" i="12"/>
  <c r="J1828" i="12"/>
  <c r="J1829" i="12"/>
  <c r="J1830" i="12"/>
  <c r="J1831" i="12"/>
  <c r="J1832" i="12"/>
  <c r="J1833" i="12"/>
  <c r="J1834" i="12"/>
  <c r="J1835" i="12"/>
  <c r="J1836" i="12"/>
  <c r="J1837" i="12"/>
  <c r="J1838" i="12"/>
  <c r="J1839" i="12"/>
  <c r="J1840" i="12"/>
  <c r="J1841" i="12"/>
  <c r="J1842" i="12"/>
  <c r="J1843" i="12"/>
  <c r="J1844" i="12"/>
  <c r="J1845" i="12"/>
  <c r="J1846" i="12"/>
  <c r="J1847" i="12"/>
  <c r="J1848" i="12"/>
  <c r="J1849" i="12"/>
  <c r="J1850" i="12"/>
  <c r="J1851" i="12"/>
  <c r="J1852" i="12"/>
  <c r="J1853" i="12"/>
  <c r="J1854" i="12"/>
  <c r="J1855" i="12"/>
  <c r="J1856" i="12"/>
  <c r="J1857" i="12"/>
  <c r="J1858" i="12"/>
  <c r="J1859" i="12"/>
  <c r="J1860" i="12"/>
  <c r="J1861" i="12"/>
  <c r="J1862" i="12"/>
  <c r="J1863" i="12"/>
  <c r="J1864" i="12"/>
  <c r="J1865" i="12"/>
  <c r="J1866" i="12"/>
  <c r="J1867" i="12"/>
  <c r="J1868" i="12"/>
  <c r="J1869" i="12"/>
  <c r="J1870" i="12"/>
  <c r="J1871" i="12"/>
  <c r="J1872" i="12"/>
  <c r="J1873" i="12"/>
  <c r="J1874" i="12"/>
  <c r="J1875" i="12"/>
  <c r="J1876" i="12"/>
  <c r="J1877" i="12"/>
  <c r="J1878" i="12"/>
  <c r="J1879" i="12"/>
  <c r="J1880" i="12"/>
  <c r="J1881" i="12"/>
  <c r="J1882" i="12"/>
  <c r="J1883" i="12"/>
  <c r="J1884" i="12"/>
  <c r="J1885" i="12"/>
  <c r="J1886" i="12"/>
  <c r="J1887" i="12"/>
  <c r="J1888" i="12"/>
  <c r="J1889" i="12"/>
  <c r="J1890" i="12"/>
  <c r="J1891" i="12"/>
  <c r="J1892" i="12"/>
  <c r="J1893" i="12"/>
  <c r="J1894" i="12"/>
  <c r="J1895" i="12"/>
  <c r="J1896" i="12"/>
  <c r="J1897" i="12"/>
  <c r="J1898" i="12"/>
  <c r="J1899" i="12"/>
  <c r="J1900" i="12"/>
  <c r="J1901" i="12"/>
  <c r="J1902" i="12"/>
  <c r="J1903" i="12"/>
  <c r="J1904" i="12"/>
  <c r="J1905" i="12"/>
  <c r="J1906" i="12"/>
  <c r="J1907" i="12"/>
  <c r="J1908" i="12"/>
  <c r="J1909" i="12"/>
  <c r="J1910" i="12"/>
  <c r="J1911" i="12"/>
  <c r="J1912" i="12"/>
  <c r="J1913" i="12"/>
  <c r="J1914" i="12"/>
  <c r="J1915" i="12"/>
  <c r="J1916" i="12"/>
  <c r="J1917" i="12"/>
  <c r="J1918" i="12"/>
  <c r="J1919" i="12"/>
  <c r="J1920" i="12"/>
  <c r="J1921" i="12"/>
  <c r="J1922" i="12"/>
  <c r="J1923" i="12"/>
  <c r="J1924" i="12"/>
  <c r="J1925" i="12"/>
  <c r="J1926" i="12"/>
  <c r="J1927" i="12"/>
  <c r="J1928" i="12"/>
  <c r="J1929" i="12"/>
  <c r="J1930" i="12"/>
  <c r="J1931" i="12"/>
  <c r="J1932" i="12"/>
  <c r="J1933" i="12"/>
  <c r="J1934" i="12"/>
  <c r="J1935" i="12"/>
  <c r="J1936" i="12"/>
  <c r="J1937" i="12"/>
  <c r="J1938" i="12"/>
  <c r="J1939" i="12"/>
  <c r="J1940" i="12"/>
  <c r="J1941" i="12"/>
  <c r="J1942" i="12"/>
  <c r="J1943" i="12"/>
  <c r="J1944" i="12"/>
  <c r="J1945" i="12"/>
  <c r="J1946" i="12"/>
  <c r="J1947" i="12"/>
  <c r="J1948" i="12"/>
  <c r="J1949" i="12"/>
  <c r="J1950" i="12"/>
  <c r="J1951" i="12"/>
  <c r="J1952" i="12"/>
  <c r="J1953" i="12"/>
  <c r="J1954" i="12"/>
  <c r="J1955" i="12"/>
  <c r="J1956" i="12"/>
  <c r="J1957" i="12"/>
  <c r="J1958" i="12"/>
  <c r="J1959" i="12"/>
  <c r="J1960" i="12"/>
  <c r="J1961" i="12"/>
  <c r="J1962" i="12"/>
  <c r="J1963" i="12"/>
  <c r="J1964" i="12"/>
  <c r="J1965" i="12"/>
  <c r="J1966" i="12"/>
  <c r="J1967" i="12"/>
  <c r="J1968" i="12"/>
  <c r="J1969" i="12"/>
  <c r="J1970" i="12"/>
  <c r="J1971" i="12"/>
  <c r="J1972" i="12"/>
  <c r="J1973" i="12"/>
  <c r="J1974" i="12"/>
  <c r="J1975" i="12"/>
  <c r="J1976" i="12"/>
  <c r="J1977" i="12"/>
  <c r="J1978" i="12"/>
  <c r="J1979" i="12"/>
  <c r="J1980" i="12"/>
  <c r="J1981" i="12"/>
  <c r="J1982" i="12"/>
  <c r="J1983" i="12"/>
  <c r="J1984" i="12"/>
  <c r="J1985" i="12"/>
  <c r="J1986" i="12"/>
  <c r="J1987" i="12"/>
  <c r="J1988" i="12"/>
  <c r="J1989" i="12"/>
  <c r="J1990" i="12"/>
  <c r="J1991" i="12"/>
  <c r="J1992" i="12"/>
  <c r="J1993" i="12"/>
  <c r="J1994" i="12"/>
  <c r="J1995" i="12"/>
  <c r="J1996" i="12"/>
  <c r="J1997" i="12"/>
  <c r="J1998" i="12"/>
  <c r="J1999" i="12"/>
  <c r="J2000" i="12"/>
  <c r="J22" i="12"/>
  <c r="J23" i="12"/>
  <c r="J24" i="12"/>
  <c r="J25" i="12"/>
  <c r="J26" i="12"/>
  <c r="J27" i="12"/>
  <c r="J28" i="12"/>
  <c r="E781" i="1" l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934" i="1"/>
  <c r="AG935" i="1"/>
  <c r="AG936" i="1"/>
  <c r="AG937" i="1"/>
  <c r="AG938" i="1"/>
  <c r="AG939" i="1"/>
  <c r="AG940" i="1"/>
  <c r="AG941" i="1"/>
  <c r="AG942" i="1"/>
  <c r="AG943" i="1"/>
  <c r="AG944" i="1"/>
  <c r="AG945" i="1"/>
  <c r="AG946" i="1"/>
  <c r="AG947" i="1"/>
  <c r="AG948" i="1"/>
  <c r="AG949" i="1"/>
  <c r="AG950" i="1"/>
  <c r="AG951" i="1"/>
  <c r="AG952" i="1"/>
  <c r="AG953" i="1"/>
  <c r="AG954" i="1"/>
  <c r="AG955" i="1"/>
  <c r="AG956" i="1"/>
  <c r="AG957" i="1"/>
  <c r="AG958" i="1"/>
  <c r="AG959" i="1"/>
  <c r="AG960" i="1"/>
  <c r="AG961" i="1"/>
  <c r="AG962" i="1"/>
  <c r="AG963" i="1"/>
  <c r="AG964" i="1"/>
  <c r="AG965" i="1"/>
  <c r="AG966" i="1"/>
  <c r="AG967" i="1"/>
  <c r="AG968" i="1"/>
  <c r="AG969" i="1"/>
  <c r="AG970" i="1"/>
  <c r="AG971" i="1"/>
  <c r="AG972" i="1"/>
  <c r="AG973" i="1"/>
  <c r="AG974" i="1"/>
  <c r="AG975" i="1"/>
  <c r="AG976" i="1"/>
  <c r="AG977" i="1"/>
  <c r="AG978" i="1"/>
  <c r="AG979" i="1"/>
  <c r="AG980" i="1"/>
  <c r="AG981" i="1"/>
  <c r="AG982" i="1"/>
  <c r="AG983" i="1"/>
  <c r="AG984" i="1"/>
  <c r="AG985" i="1"/>
  <c r="AG986" i="1"/>
  <c r="AG987" i="1"/>
  <c r="AG988" i="1"/>
  <c r="AG989" i="1"/>
  <c r="AG990" i="1"/>
  <c r="AG991" i="1"/>
  <c r="AG992" i="1"/>
  <c r="AG993" i="1"/>
  <c r="AG994" i="1"/>
  <c r="AG995" i="1"/>
  <c r="AG996" i="1"/>
  <c r="AG997" i="1"/>
  <c r="AG998" i="1"/>
  <c r="AG999" i="1"/>
  <c r="AG1000" i="1"/>
  <c r="AG1001" i="1"/>
  <c r="AG1002" i="1"/>
  <c r="AG1003" i="1"/>
  <c r="AG1004" i="1"/>
  <c r="AG1005" i="1"/>
  <c r="AG1006" i="1"/>
  <c r="AG1007" i="1"/>
  <c r="AG1008" i="1"/>
  <c r="AG1009" i="1"/>
  <c r="AG1010" i="1"/>
  <c r="AG1011" i="1"/>
  <c r="AG1012" i="1"/>
  <c r="AG1013" i="1"/>
  <c r="AG1014" i="1"/>
  <c r="AG1015" i="1"/>
  <c r="AG1016" i="1"/>
  <c r="AG1017" i="1"/>
  <c r="AG1018" i="1"/>
  <c r="AG1019" i="1"/>
  <c r="AG1020" i="1"/>
  <c r="AG1021" i="1"/>
  <c r="AG1022" i="1"/>
  <c r="AG1023" i="1"/>
  <c r="AG1024" i="1"/>
  <c r="AG1025" i="1"/>
  <c r="AG1026" i="1"/>
  <c r="AG1027" i="1"/>
  <c r="AG1028" i="1"/>
  <c r="AG1029" i="1"/>
  <c r="AG1030" i="1"/>
  <c r="AG1031" i="1"/>
  <c r="AG1032" i="1"/>
  <c r="AG1033" i="1"/>
  <c r="AG1034" i="1"/>
  <c r="AG1035" i="1"/>
  <c r="AG1036" i="1"/>
  <c r="AG1037" i="1"/>
  <c r="AG1038" i="1"/>
  <c r="AG1039" i="1"/>
  <c r="AG1040" i="1"/>
  <c r="AG1041" i="1"/>
  <c r="AG1042" i="1"/>
  <c r="AG1043" i="1"/>
  <c r="AG1044" i="1"/>
  <c r="AG1045" i="1"/>
  <c r="AG1046" i="1"/>
  <c r="AG1047" i="1"/>
  <c r="AG1048" i="1"/>
  <c r="AG1049" i="1"/>
  <c r="AG1050" i="1"/>
  <c r="AG1051" i="1"/>
  <c r="AG1052" i="1"/>
  <c r="AG1053" i="1"/>
  <c r="AG1054" i="1"/>
  <c r="AG1055" i="1"/>
  <c r="AG1056" i="1"/>
  <c r="AG1057" i="1"/>
  <c r="AG1058" i="1"/>
  <c r="AG1059" i="1"/>
  <c r="AG1060" i="1"/>
  <c r="AG1061" i="1"/>
  <c r="AG1062" i="1"/>
  <c r="AG1063" i="1"/>
  <c r="AG1064" i="1"/>
  <c r="AG1065" i="1"/>
  <c r="AG1066" i="1"/>
  <c r="AG1067" i="1"/>
  <c r="AG1068" i="1"/>
  <c r="AG1069" i="1"/>
  <c r="AG1070" i="1"/>
  <c r="AG1071" i="1"/>
  <c r="AG1072" i="1"/>
  <c r="AG1073" i="1"/>
  <c r="AG1074" i="1"/>
  <c r="AG1075" i="1"/>
  <c r="AG1076" i="1"/>
  <c r="AG1077" i="1"/>
  <c r="AG1078" i="1"/>
  <c r="AG1079" i="1"/>
  <c r="AG1080" i="1"/>
  <c r="AG1081" i="1"/>
  <c r="AG1082" i="1"/>
  <c r="AG1083" i="1"/>
  <c r="AG1084" i="1"/>
  <c r="AG1085" i="1"/>
  <c r="AG1086" i="1"/>
  <c r="AG1087" i="1"/>
  <c r="AG1088" i="1"/>
  <c r="AG1089" i="1"/>
  <c r="AG1090" i="1"/>
  <c r="AG1091" i="1"/>
  <c r="AG1092" i="1"/>
  <c r="AG1093" i="1"/>
  <c r="AG1094" i="1"/>
  <c r="AG1095" i="1"/>
  <c r="AG1096" i="1"/>
  <c r="AG1097" i="1"/>
  <c r="AG1098" i="1"/>
  <c r="AG1099" i="1"/>
  <c r="AG1100" i="1"/>
  <c r="AG1101" i="1"/>
  <c r="AG1102" i="1"/>
  <c r="AG1103" i="1"/>
  <c r="AG1104" i="1"/>
  <c r="AG1105" i="1"/>
  <c r="AG1106" i="1"/>
  <c r="AG1107" i="1"/>
  <c r="AG1108" i="1"/>
  <c r="AG1109" i="1"/>
  <c r="AG1110" i="1"/>
  <c r="AG1111" i="1"/>
  <c r="AG1112" i="1"/>
  <c r="AG1113" i="1"/>
  <c r="AG1114" i="1"/>
  <c r="AG1115" i="1"/>
  <c r="AG1116" i="1"/>
  <c r="AG1117" i="1"/>
  <c r="AG1118" i="1"/>
  <c r="AG1119" i="1"/>
  <c r="AG1120" i="1"/>
  <c r="AG1121" i="1"/>
  <c r="AG1122" i="1"/>
  <c r="AG1123" i="1"/>
  <c r="AG1124" i="1"/>
  <c r="AG1125" i="1"/>
  <c r="AG1126" i="1"/>
  <c r="AG1127" i="1"/>
  <c r="AG1128" i="1"/>
  <c r="AG1129" i="1"/>
  <c r="AG1130" i="1"/>
  <c r="AG1131" i="1"/>
  <c r="AG1132" i="1"/>
  <c r="AG1133" i="1"/>
  <c r="AG1134" i="1"/>
  <c r="AG1135" i="1"/>
  <c r="AG1136" i="1"/>
  <c r="AG1137" i="1"/>
  <c r="AG1138" i="1"/>
  <c r="AG1139" i="1"/>
  <c r="AG1140" i="1"/>
  <c r="AG1141" i="1"/>
  <c r="AG1142" i="1"/>
  <c r="AG1143" i="1"/>
  <c r="AG1144" i="1"/>
  <c r="AG1145" i="1"/>
  <c r="AG1146" i="1"/>
  <c r="AG1147" i="1"/>
  <c r="AG1148" i="1"/>
  <c r="AG1149" i="1"/>
  <c r="AG1150" i="1"/>
  <c r="AG1151" i="1"/>
  <c r="AG1152" i="1"/>
  <c r="AG1153" i="1"/>
  <c r="AG1154" i="1"/>
  <c r="AG1155" i="1"/>
  <c r="AG1156" i="1"/>
  <c r="AG1157" i="1"/>
  <c r="AG1158" i="1"/>
  <c r="AG1159" i="1"/>
  <c r="AG1160" i="1"/>
  <c r="AG1161" i="1"/>
  <c r="AG1162" i="1"/>
  <c r="AG1163" i="1"/>
  <c r="AG1164" i="1"/>
  <c r="AG1165" i="1"/>
  <c r="AG1166" i="1"/>
  <c r="AG1167" i="1"/>
  <c r="AG1168" i="1"/>
  <c r="AG1169" i="1"/>
  <c r="AG1170" i="1"/>
  <c r="AG1171" i="1"/>
  <c r="AG1172" i="1"/>
  <c r="AG1173" i="1"/>
  <c r="AG1174" i="1"/>
  <c r="AG1175" i="1"/>
  <c r="AG1176" i="1"/>
  <c r="AG1177" i="1"/>
  <c r="AG1178" i="1"/>
  <c r="AG1179" i="1"/>
  <c r="AG1180" i="1"/>
  <c r="AG1181" i="1"/>
  <c r="AG1182" i="1"/>
  <c r="AG1183" i="1"/>
  <c r="AG1184" i="1"/>
  <c r="AG1185" i="1"/>
  <c r="AG1186" i="1"/>
  <c r="AG1187" i="1"/>
  <c r="AG1188" i="1"/>
  <c r="AG1189" i="1"/>
  <c r="AG1190" i="1"/>
  <c r="AG1191" i="1"/>
  <c r="AG1192" i="1"/>
  <c r="AG1193" i="1"/>
  <c r="AG1194" i="1"/>
  <c r="AG1195" i="1"/>
  <c r="AG1196" i="1"/>
  <c r="AG1197" i="1"/>
  <c r="AG1198" i="1"/>
  <c r="AG1199" i="1"/>
  <c r="AG1200" i="1"/>
  <c r="AG1201" i="1"/>
  <c r="AG1202" i="1"/>
  <c r="AG1203" i="1"/>
  <c r="AG1204" i="1"/>
  <c r="AG1205" i="1"/>
  <c r="AG1206" i="1"/>
  <c r="AG1207" i="1"/>
  <c r="AG1208" i="1"/>
  <c r="AG1209" i="1"/>
  <c r="AG1210" i="1"/>
  <c r="AG1211" i="1"/>
  <c r="AG1212" i="1"/>
  <c r="AG1213" i="1"/>
  <c r="AG1214" i="1"/>
  <c r="AG1215" i="1"/>
  <c r="AG1216" i="1"/>
  <c r="AG1217" i="1"/>
  <c r="AG1218" i="1"/>
  <c r="AG1219" i="1"/>
  <c r="AG1220" i="1"/>
  <c r="AG1221" i="1"/>
  <c r="AG1222" i="1"/>
  <c r="AG1223" i="1"/>
  <c r="AG1224" i="1"/>
  <c r="AG1225" i="1"/>
  <c r="AG1226" i="1"/>
  <c r="AG1227" i="1"/>
  <c r="AG1228" i="1"/>
  <c r="AG1229" i="1"/>
  <c r="AG1230" i="1"/>
  <c r="AG1231" i="1"/>
  <c r="AG1232" i="1"/>
  <c r="AG1233" i="1"/>
  <c r="AG1234" i="1"/>
  <c r="AG1235" i="1"/>
  <c r="AG1236" i="1"/>
  <c r="AG1237" i="1"/>
  <c r="AG1238" i="1"/>
  <c r="AG1239" i="1"/>
  <c r="AG1240" i="1"/>
  <c r="AG1241" i="1"/>
  <c r="AG1242" i="1"/>
  <c r="AG1243" i="1"/>
  <c r="AG1244" i="1"/>
  <c r="AG1245" i="1"/>
  <c r="AG1246" i="1"/>
  <c r="AG1247" i="1"/>
  <c r="AG1248" i="1"/>
  <c r="AG1249" i="1"/>
  <c r="AG1250" i="1"/>
  <c r="AG1251" i="1"/>
  <c r="AG1252" i="1"/>
  <c r="AG1253" i="1"/>
  <c r="AG1254" i="1"/>
  <c r="AG1255" i="1"/>
  <c r="AG1256" i="1"/>
  <c r="AG1257" i="1"/>
  <c r="AG1258" i="1"/>
  <c r="AG1259" i="1"/>
  <c r="AG1260" i="1"/>
  <c r="AG1261" i="1"/>
  <c r="AG1262" i="1"/>
  <c r="AG1263" i="1"/>
  <c r="AG1264" i="1"/>
  <c r="AG1265" i="1"/>
  <c r="AG1266" i="1"/>
  <c r="AG1267" i="1"/>
  <c r="AG1268" i="1"/>
  <c r="AG1269" i="1"/>
  <c r="AG1270" i="1"/>
  <c r="AG1271" i="1"/>
  <c r="AG1272" i="1"/>
  <c r="AG1273" i="1"/>
  <c r="AG1274" i="1"/>
  <c r="AG1275" i="1"/>
  <c r="AG1276" i="1"/>
  <c r="AG1277" i="1"/>
  <c r="AG1278" i="1"/>
  <c r="AG1279" i="1"/>
  <c r="AG1280" i="1"/>
  <c r="AG1281" i="1"/>
  <c r="AG1282" i="1"/>
  <c r="AG1283" i="1"/>
  <c r="AG1284" i="1"/>
  <c r="AG1285" i="1"/>
  <c r="AG1286" i="1"/>
  <c r="AG1287" i="1"/>
  <c r="AG1288" i="1"/>
  <c r="AG1289" i="1"/>
  <c r="AG1290" i="1"/>
  <c r="AG1291" i="1"/>
  <c r="AG1292" i="1"/>
  <c r="AG1293" i="1"/>
  <c r="AG1294" i="1"/>
  <c r="AG1295" i="1"/>
  <c r="AG1296" i="1"/>
  <c r="AG1297" i="1"/>
  <c r="AG1298" i="1"/>
  <c r="AG1299" i="1"/>
  <c r="AG1300" i="1"/>
  <c r="AG1301" i="1"/>
  <c r="AG1302" i="1"/>
  <c r="AG1303" i="1"/>
  <c r="AG1304" i="1"/>
  <c r="AG1305" i="1"/>
  <c r="AG1306" i="1"/>
  <c r="AG1307" i="1"/>
  <c r="AG1308" i="1"/>
  <c r="AG1309" i="1"/>
  <c r="AG1310" i="1"/>
  <c r="AG1311" i="1"/>
  <c r="AG1312" i="1"/>
  <c r="AG1313" i="1"/>
  <c r="AG1314" i="1"/>
  <c r="AG1315" i="1"/>
  <c r="AG1316" i="1"/>
  <c r="AG1317" i="1"/>
  <c r="AG1318" i="1"/>
  <c r="AG1319" i="1"/>
  <c r="AG1320" i="1"/>
  <c r="AG1321" i="1"/>
  <c r="AG1322" i="1"/>
  <c r="AG1323" i="1"/>
  <c r="AG1324" i="1"/>
  <c r="AG1325" i="1"/>
  <c r="AG1326" i="1"/>
  <c r="AG1327" i="1"/>
  <c r="AG1328" i="1"/>
  <c r="AG1329" i="1"/>
  <c r="AG1330" i="1"/>
  <c r="AG1331" i="1"/>
  <c r="AG1332" i="1"/>
  <c r="AG1333" i="1"/>
  <c r="AG1334" i="1"/>
  <c r="AG1335" i="1"/>
  <c r="AG1336" i="1"/>
  <c r="AG1337" i="1"/>
  <c r="AG1338" i="1"/>
  <c r="AG1339" i="1"/>
  <c r="AG1340" i="1"/>
  <c r="AG1341" i="1"/>
  <c r="AG1342" i="1"/>
  <c r="AG1343" i="1"/>
  <c r="AG1344" i="1"/>
  <c r="AG1345" i="1"/>
  <c r="AG1346" i="1"/>
  <c r="AG1347" i="1"/>
  <c r="AG1348" i="1"/>
  <c r="AG1349" i="1"/>
  <c r="AG1350" i="1"/>
  <c r="AG1351" i="1"/>
  <c r="AG1352" i="1"/>
  <c r="AG1353" i="1"/>
  <c r="AG1354" i="1"/>
  <c r="AG1355" i="1"/>
  <c r="AG1356" i="1"/>
  <c r="AG1357" i="1"/>
  <c r="AG1358" i="1"/>
  <c r="AG1359" i="1"/>
  <c r="AG1360" i="1"/>
  <c r="AG1361" i="1"/>
  <c r="AG1362" i="1"/>
  <c r="AG1363" i="1"/>
  <c r="AG1364" i="1"/>
  <c r="AG1365" i="1"/>
  <c r="AG1366" i="1"/>
  <c r="AG1367" i="1"/>
  <c r="AG1368" i="1"/>
  <c r="AG1369" i="1"/>
  <c r="AG1370" i="1"/>
  <c r="AG1371" i="1"/>
  <c r="AG1372" i="1"/>
  <c r="AG1373" i="1"/>
  <c r="AG1374" i="1"/>
  <c r="AG1375" i="1"/>
  <c r="AG1376" i="1"/>
  <c r="AG1377" i="1"/>
  <c r="AG1378" i="1"/>
  <c r="AG1379" i="1"/>
  <c r="AG1380" i="1"/>
  <c r="AG1381" i="1"/>
  <c r="AG1382" i="1"/>
  <c r="AG1383" i="1"/>
  <c r="AG1384" i="1"/>
  <c r="AG1385" i="1"/>
  <c r="AG1386" i="1"/>
  <c r="AG1387" i="1"/>
  <c r="AG1388" i="1"/>
  <c r="AG1389" i="1"/>
  <c r="AG1390" i="1"/>
  <c r="AG1391" i="1"/>
  <c r="AG1392" i="1"/>
  <c r="AG1393" i="1"/>
  <c r="AG1394" i="1"/>
  <c r="AG1395" i="1"/>
  <c r="AG1396" i="1"/>
  <c r="AG1397" i="1"/>
  <c r="AG1398" i="1"/>
  <c r="AG1399" i="1"/>
  <c r="AG1400" i="1"/>
  <c r="AG1401" i="1"/>
  <c r="AG1402" i="1"/>
  <c r="AG1403" i="1"/>
  <c r="AG1404" i="1"/>
  <c r="AG1405" i="1"/>
  <c r="AG1406" i="1"/>
  <c r="AG1407" i="1"/>
  <c r="AG1408" i="1"/>
  <c r="AG1409" i="1"/>
  <c r="AG1410" i="1"/>
  <c r="AG1411" i="1"/>
  <c r="AG1412" i="1"/>
  <c r="AG1413" i="1"/>
  <c r="AG1414" i="1"/>
  <c r="AG1415" i="1"/>
  <c r="AG1416" i="1"/>
  <c r="AG1417" i="1"/>
  <c r="AG1418" i="1"/>
  <c r="AG1419" i="1"/>
  <c r="AG1420" i="1"/>
  <c r="AG1421" i="1"/>
  <c r="AG1422" i="1"/>
  <c r="AG1423" i="1"/>
  <c r="AG1424" i="1"/>
  <c r="AG1425" i="1"/>
  <c r="AG1426" i="1"/>
  <c r="AG1427" i="1"/>
  <c r="AG1428" i="1"/>
  <c r="AG1429" i="1"/>
  <c r="AG1430" i="1"/>
  <c r="AG1431" i="1"/>
  <c r="AG1432" i="1"/>
  <c r="AG1433" i="1"/>
  <c r="AG1434" i="1"/>
  <c r="AG1435" i="1"/>
  <c r="AG1436" i="1"/>
  <c r="AG1437" i="1"/>
  <c r="AG1438" i="1"/>
  <c r="AG1439" i="1"/>
  <c r="AG1440" i="1"/>
  <c r="AG1441" i="1"/>
  <c r="AG1442" i="1"/>
  <c r="AG1443" i="1"/>
  <c r="AG1444" i="1"/>
  <c r="AG1445" i="1"/>
  <c r="AG1446" i="1"/>
  <c r="AG1447" i="1"/>
  <c r="AG1448" i="1"/>
  <c r="AG1449" i="1"/>
  <c r="AG1450" i="1"/>
  <c r="AG1451" i="1"/>
  <c r="AG1452" i="1"/>
  <c r="AG1453" i="1"/>
  <c r="AG1454" i="1"/>
  <c r="AG1455" i="1"/>
  <c r="AG1456" i="1"/>
  <c r="AG1457" i="1"/>
  <c r="AG1458" i="1"/>
  <c r="AG1459" i="1"/>
  <c r="AG1460" i="1"/>
  <c r="AG1461" i="1"/>
  <c r="AG1462" i="1"/>
  <c r="AG1463" i="1"/>
  <c r="AG1464" i="1"/>
  <c r="AG1465" i="1"/>
  <c r="AG1466" i="1"/>
  <c r="AG1467" i="1"/>
  <c r="AG1468" i="1"/>
  <c r="AG1469" i="1"/>
  <c r="AG1470" i="1"/>
  <c r="AG1471" i="1"/>
  <c r="AG1472" i="1"/>
  <c r="AG1473" i="1"/>
  <c r="AG1474" i="1"/>
  <c r="AG1475" i="1"/>
  <c r="AG1476" i="1"/>
  <c r="AG1477" i="1"/>
  <c r="AG1478" i="1"/>
  <c r="AG1479" i="1"/>
  <c r="AG1480" i="1"/>
  <c r="AG1481" i="1"/>
  <c r="AG1482" i="1"/>
  <c r="AG1483" i="1"/>
  <c r="AG1484" i="1"/>
  <c r="AG1485" i="1"/>
  <c r="AG1486" i="1"/>
  <c r="AG1487" i="1"/>
  <c r="AG1488" i="1"/>
  <c r="AG1489" i="1"/>
  <c r="AG1490" i="1"/>
  <c r="AG1491" i="1"/>
  <c r="AG1492" i="1"/>
  <c r="AG1493" i="1"/>
  <c r="AG1494" i="1"/>
  <c r="AG1495" i="1"/>
  <c r="AG1496" i="1"/>
  <c r="AG1497" i="1"/>
  <c r="AG1498" i="1"/>
  <c r="AG1499" i="1"/>
  <c r="AG1500" i="1"/>
  <c r="AG1501" i="1"/>
  <c r="AG1502" i="1"/>
  <c r="AG1503" i="1"/>
  <c r="AG1504" i="1"/>
  <c r="AG1505" i="1"/>
  <c r="AG1506" i="1"/>
  <c r="AG1507" i="1"/>
  <c r="AG1508" i="1"/>
  <c r="AG1509" i="1"/>
  <c r="AG1510" i="1"/>
  <c r="AG1511" i="1"/>
  <c r="AG1512" i="1"/>
  <c r="AG1513" i="1"/>
  <c r="AG1514" i="1"/>
  <c r="AG1515" i="1"/>
  <c r="AG1516" i="1"/>
  <c r="AG1517" i="1"/>
  <c r="AG1518" i="1"/>
  <c r="AG1519" i="1"/>
  <c r="AG1520" i="1"/>
  <c r="AG1521" i="1"/>
  <c r="AG1522" i="1"/>
  <c r="AG1523" i="1"/>
  <c r="AG1524" i="1"/>
  <c r="AG1525" i="1"/>
  <c r="AG1526" i="1"/>
  <c r="AG1527" i="1"/>
  <c r="AG1528" i="1"/>
  <c r="AG1529" i="1"/>
  <c r="AG1530" i="1"/>
  <c r="AG1531" i="1"/>
  <c r="AG1532" i="1"/>
  <c r="AG1533" i="1"/>
  <c r="AG1534" i="1"/>
  <c r="AG1535" i="1"/>
  <c r="AG1536" i="1"/>
  <c r="AG1537" i="1"/>
  <c r="AG1538" i="1"/>
  <c r="AG1539" i="1"/>
  <c r="AG1540" i="1"/>
  <c r="AG1541" i="1"/>
  <c r="AG1542" i="1"/>
  <c r="AG1543" i="1"/>
  <c r="AG1544" i="1"/>
  <c r="AG1545" i="1"/>
  <c r="AG1546" i="1"/>
  <c r="AG1547" i="1"/>
  <c r="AG1548" i="1"/>
  <c r="AG1549" i="1"/>
  <c r="AG1550" i="1"/>
  <c r="AG1551" i="1"/>
  <c r="AG1552" i="1"/>
  <c r="AG1553" i="1"/>
  <c r="AG1554" i="1"/>
  <c r="AG1555" i="1"/>
  <c r="AG1556" i="1"/>
  <c r="AG1557" i="1"/>
  <c r="AG1558" i="1"/>
  <c r="AG1559" i="1"/>
  <c r="AG1560" i="1"/>
  <c r="AG1561" i="1"/>
  <c r="AG1562" i="1"/>
  <c r="AG1563" i="1"/>
  <c r="AG1564" i="1"/>
  <c r="AG1565" i="1"/>
  <c r="AG1566" i="1"/>
  <c r="AG1567" i="1"/>
  <c r="AG1568" i="1"/>
  <c r="AG1569" i="1"/>
  <c r="AG1570" i="1"/>
  <c r="AG1571" i="1"/>
  <c r="AG1572" i="1"/>
  <c r="AG1573" i="1"/>
  <c r="AG1574" i="1"/>
  <c r="AG1575" i="1"/>
  <c r="AG1576" i="1"/>
  <c r="AG1577" i="1"/>
  <c r="AG1578" i="1"/>
  <c r="AG1579" i="1"/>
  <c r="AG1580" i="1"/>
  <c r="AG1581" i="1"/>
  <c r="AG1582" i="1"/>
  <c r="AG1583" i="1"/>
  <c r="AG1584" i="1"/>
  <c r="AG1585" i="1"/>
  <c r="AG1586" i="1"/>
  <c r="AG1587" i="1"/>
  <c r="AG1588" i="1"/>
  <c r="AG1589" i="1"/>
  <c r="AG1590" i="1"/>
  <c r="AG1591" i="1"/>
  <c r="AG1592" i="1"/>
  <c r="AG1593" i="1"/>
  <c r="AG1594" i="1"/>
  <c r="AG1595" i="1"/>
  <c r="AG1596" i="1"/>
  <c r="AG1597" i="1"/>
  <c r="AG1598" i="1"/>
  <c r="AG1599" i="1"/>
  <c r="AG1600" i="1"/>
  <c r="AG1601" i="1"/>
  <c r="AG1602" i="1"/>
  <c r="AG1603" i="1"/>
  <c r="AG1604" i="1"/>
  <c r="AG1605" i="1"/>
  <c r="AG1606" i="1"/>
  <c r="AG1607" i="1"/>
  <c r="AG1608" i="1"/>
  <c r="AG1609" i="1"/>
  <c r="AG1610" i="1"/>
  <c r="AG1611" i="1"/>
  <c r="AG1612" i="1"/>
  <c r="AG1613" i="1"/>
  <c r="AG1614" i="1"/>
  <c r="AG1615" i="1"/>
  <c r="AG1616" i="1"/>
  <c r="AG1617" i="1"/>
  <c r="AG1618" i="1"/>
  <c r="AG1619" i="1"/>
  <c r="AG1620" i="1"/>
  <c r="AG1621" i="1"/>
  <c r="AG1622" i="1"/>
  <c r="AG1623" i="1"/>
  <c r="AG1624" i="1"/>
  <c r="AG1625" i="1"/>
  <c r="AG1626" i="1"/>
  <c r="AG1627" i="1"/>
  <c r="AG1628" i="1"/>
  <c r="AG1629" i="1"/>
  <c r="AG1630" i="1"/>
  <c r="AG1631" i="1"/>
  <c r="AG1632" i="1"/>
  <c r="AG1633" i="1"/>
  <c r="AG1634" i="1"/>
  <c r="AG1635" i="1"/>
  <c r="AG1636" i="1"/>
  <c r="AG1637" i="1"/>
  <c r="AG1638" i="1"/>
  <c r="AG1639" i="1"/>
  <c r="AG1640" i="1"/>
  <c r="AG1641" i="1"/>
  <c r="AG1642" i="1"/>
  <c r="AG1643" i="1"/>
  <c r="AG1644" i="1"/>
  <c r="AG1645" i="1"/>
  <c r="AG1646" i="1"/>
  <c r="AG1647" i="1"/>
  <c r="AG1648" i="1"/>
  <c r="AG1649" i="1"/>
  <c r="AG1650" i="1"/>
  <c r="AG1651" i="1"/>
  <c r="AG1652" i="1"/>
  <c r="AG1653" i="1"/>
  <c r="AG1654" i="1"/>
  <c r="AG1655" i="1"/>
  <c r="AG1656" i="1"/>
  <c r="AG1657" i="1"/>
  <c r="AG1658" i="1"/>
  <c r="AG1659" i="1"/>
  <c r="AG1660" i="1"/>
  <c r="AG1661" i="1"/>
  <c r="AG1662" i="1"/>
  <c r="AG1663" i="1"/>
  <c r="AG1664" i="1"/>
  <c r="AG1665" i="1"/>
  <c r="AG1666" i="1"/>
  <c r="AG1667" i="1"/>
  <c r="AG1668" i="1"/>
  <c r="AG1669" i="1"/>
  <c r="AG1670" i="1"/>
  <c r="AG1671" i="1"/>
  <c r="AG1672" i="1"/>
  <c r="AG1673" i="1"/>
  <c r="AG1674" i="1"/>
  <c r="AG1675" i="1"/>
  <c r="AG1676" i="1"/>
  <c r="AG1677" i="1"/>
  <c r="AG1678" i="1"/>
  <c r="AG1679" i="1"/>
  <c r="AG1680" i="1"/>
  <c r="AG1681" i="1"/>
  <c r="AG1682" i="1"/>
  <c r="AG1683" i="1"/>
  <c r="AG1684" i="1"/>
  <c r="AG1685" i="1"/>
  <c r="AG1686" i="1"/>
  <c r="AG1687" i="1"/>
  <c r="AG1688" i="1"/>
  <c r="AG1689" i="1"/>
  <c r="AG1690" i="1"/>
  <c r="AG1691" i="1"/>
  <c r="AG1692" i="1"/>
  <c r="AG1693" i="1"/>
  <c r="AG1694" i="1"/>
  <c r="AG1695" i="1"/>
  <c r="AG1696" i="1"/>
  <c r="AG1697" i="1"/>
  <c r="AG1698" i="1"/>
  <c r="AG1699" i="1"/>
  <c r="AG1700" i="1"/>
  <c r="AG1701" i="1"/>
  <c r="AG1702" i="1"/>
  <c r="AG1703" i="1"/>
  <c r="AG1704" i="1"/>
  <c r="AG1705" i="1"/>
  <c r="AG1706" i="1"/>
  <c r="AG1707" i="1"/>
  <c r="AG1708" i="1"/>
  <c r="AG1709" i="1"/>
  <c r="AG1710" i="1"/>
  <c r="AG1711" i="1"/>
  <c r="AG1712" i="1"/>
  <c r="AG1713" i="1"/>
  <c r="AG1714" i="1"/>
  <c r="AG1715" i="1"/>
  <c r="AG1716" i="1"/>
  <c r="AG1717" i="1"/>
  <c r="AG1718" i="1"/>
  <c r="AG1719" i="1"/>
  <c r="AG1720" i="1"/>
  <c r="AG1721" i="1"/>
  <c r="AG1722" i="1"/>
  <c r="AG1723" i="1"/>
  <c r="AG1724" i="1"/>
  <c r="AG1725" i="1"/>
  <c r="AG1726" i="1"/>
  <c r="AG1727" i="1"/>
  <c r="AG1728" i="1"/>
  <c r="AG1729" i="1"/>
  <c r="AG1730" i="1"/>
  <c r="AG1731" i="1"/>
  <c r="AG1732" i="1"/>
  <c r="AG1733" i="1"/>
  <c r="AG1734" i="1"/>
  <c r="AG1735" i="1"/>
  <c r="AG1736" i="1"/>
  <c r="AG1737" i="1"/>
  <c r="AG1738" i="1"/>
  <c r="AG1739" i="1"/>
  <c r="AG1740" i="1"/>
  <c r="AG1741" i="1"/>
  <c r="AG1742" i="1"/>
  <c r="AG1743" i="1"/>
  <c r="AG1744" i="1"/>
  <c r="AG1745" i="1"/>
  <c r="AG1746" i="1"/>
  <c r="AG1747" i="1"/>
  <c r="AG1748" i="1"/>
  <c r="AG1749" i="1"/>
  <c r="AG1750" i="1"/>
  <c r="AG1751" i="1"/>
  <c r="AG1752" i="1"/>
  <c r="AG1753" i="1"/>
  <c r="AG1754" i="1"/>
  <c r="AG1755" i="1"/>
  <c r="AG1756" i="1"/>
  <c r="AG1757" i="1"/>
  <c r="AG1758" i="1"/>
  <c r="AG1759" i="1"/>
  <c r="AG1760" i="1"/>
  <c r="AG1761" i="1"/>
  <c r="AG1762" i="1"/>
  <c r="AG1763" i="1"/>
  <c r="AG1764" i="1"/>
  <c r="AG1765" i="1"/>
  <c r="AG1766" i="1"/>
  <c r="AG1767" i="1"/>
  <c r="AG1768" i="1"/>
  <c r="AG1769" i="1"/>
  <c r="AG1770" i="1"/>
  <c r="AG1771" i="1"/>
  <c r="AG1772" i="1"/>
  <c r="AG1773" i="1"/>
  <c r="AG1774" i="1"/>
  <c r="AG1775" i="1"/>
  <c r="AG1776" i="1"/>
  <c r="AG1777" i="1"/>
  <c r="AG1778" i="1"/>
  <c r="AG1779" i="1"/>
  <c r="AG1780" i="1"/>
  <c r="AG1781" i="1"/>
  <c r="AG1782" i="1"/>
  <c r="AG1783" i="1"/>
  <c r="AG1784" i="1"/>
  <c r="AG1785" i="1"/>
  <c r="AG1786" i="1"/>
  <c r="AG1787" i="1"/>
  <c r="AG1788" i="1"/>
  <c r="AG1789" i="1"/>
  <c r="AG1790" i="1"/>
  <c r="AG1791" i="1"/>
  <c r="AG1792" i="1"/>
  <c r="AG1793" i="1"/>
  <c r="AG1794" i="1"/>
  <c r="AG1795" i="1"/>
  <c r="AG1796" i="1"/>
  <c r="AG1797" i="1"/>
  <c r="AG1798" i="1"/>
  <c r="AG1799" i="1"/>
  <c r="AG1800" i="1"/>
  <c r="AG1801" i="1"/>
  <c r="AG1802" i="1"/>
  <c r="AG1803" i="1"/>
  <c r="AG1804" i="1"/>
  <c r="AG1805" i="1"/>
  <c r="AG1806" i="1"/>
  <c r="AG1807" i="1"/>
  <c r="AG1808" i="1"/>
  <c r="AG1809" i="1"/>
  <c r="AG1810" i="1"/>
  <c r="AG1811" i="1"/>
  <c r="AG1812" i="1"/>
  <c r="AG1813" i="1"/>
  <c r="AG1814" i="1"/>
  <c r="AG1815" i="1"/>
  <c r="AG1816" i="1"/>
  <c r="AG1817" i="1"/>
  <c r="AG1818" i="1"/>
  <c r="AG1819" i="1"/>
  <c r="AG1820" i="1"/>
  <c r="AG1821" i="1"/>
  <c r="AG1822" i="1"/>
  <c r="AG1823" i="1"/>
  <c r="AG1824" i="1"/>
  <c r="AG1825" i="1"/>
  <c r="AG1826" i="1"/>
  <c r="AG1827" i="1"/>
  <c r="AG1828" i="1"/>
  <c r="AG1829" i="1"/>
  <c r="AG1830" i="1"/>
  <c r="AG1831" i="1"/>
  <c r="AG1832" i="1"/>
  <c r="AG1833" i="1"/>
  <c r="AG1834" i="1"/>
  <c r="AG1835" i="1"/>
  <c r="AG1836" i="1"/>
  <c r="AG1837" i="1"/>
  <c r="AG1838" i="1"/>
  <c r="AG1839" i="1"/>
  <c r="AG1840" i="1"/>
  <c r="AG1841" i="1"/>
  <c r="AG1842" i="1"/>
  <c r="AG1843" i="1"/>
  <c r="AG1844" i="1"/>
  <c r="AG1845" i="1"/>
  <c r="AG1846" i="1"/>
  <c r="AG1847" i="1"/>
  <c r="AG1848" i="1"/>
  <c r="AG1849" i="1"/>
  <c r="AG1850" i="1"/>
  <c r="AG1851" i="1"/>
  <c r="AG1852" i="1"/>
  <c r="AG1853" i="1"/>
  <c r="AG1854" i="1"/>
  <c r="AG1855" i="1"/>
  <c r="AG1856" i="1"/>
  <c r="AG1857" i="1"/>
  <c r="AG1858" i="1"/>
  <c r="AG1859" i="1"/>
  <c r="AG1860" i="1"/>
  <c r="AG1861" i="1"/>
  <c r="AG1862" i="1"/>
  <c r="AG1863" i="1"/>
  <c r="AG1864" i="1"/>
  <c r="AG1865" i="1"/>
  <c r="AG1866" i="1"/>
  <c r="AG1867" i="1"/>
  <c r="AG1868" i="1"/>
  <c r="AG1869" i="1"/>
  <c r="AG1870" i="1"/>
  <c r="AG1871" i="1"/>
  <c r="AG1872" i="1"/>
  <c r="AG1873" i="1"/>
  <c r="AG1874" i="1"/>
  <c r="AG1875" i="1"/>
  <c r="AG1876" i="1"/>
  <c r="AG1877" i="1"/>
  <c r="AG1878" i="1"/>
  <c r="AG1879" i="1"/>
  <c r="AG1880" i="1"/>
  <c r="AG1881" i="1"/>
  <c r="AG1882" i="1"/>
  <c r="AG1883" i="1"/>
  <c r="AG1884" i="1"/>
  <c r="AG1885" i="1"/>
  <c r="AG1886" i="1"/>
  <c r="AG1887" i="1"/>
  <c r="AG1888" i="1"/>
  <c r="AG1889" i="1"/>
  <c r="AG1890" i="1"/>
  <c r="AG1891" i="1"/>
  <c r="AG1892" i="1"/>
  <c r="AG1893" i="1"/>
  <c r="AG1894" i="1"/>
  <c r="AG1895" i="1"/>
  <c r="AG1896" i="1"/>
  <c r="AG1897" i="1"/>
  <c r="AG1898" i="1"/>
  <c r="AG1899" i="1"/>
  <c r="AG1900" i="1"/>
  <c r="AG1901" i="1"/>
  <c r="AG1902" i="1"/>
  <c r="AG1903" i="1"/>
  <c r="AG1904" i="1"/>
  <c r="AG1905" i="1"/>
  <c r="AG1906" i="1"/>
  <c r="AG1907" i="1"/>
  <c r="AG1908" i="1"/>
  <c r="AG1909" i="1"/>
  <c r="AG1910" i="1"/>
  <c r="AG1911" i="1"/>
  <c r="AG1912" i="1"/>
  <c r="AG1913" i="1"/>
  <c r="AG1914" i="1"/>
  <c r="AG1915" i="1"/>
  <c r="AG1916" i="1"/>
  <c r="AG1917" i="1"/>
  <c r="AG1918" i="1"/>
  <c r="AG1919" i="1"/>
  <c r="AG1920" i="1"/>
  <c r="AG1921" i="1"/>
  <c r="AG1922" i="1"/>
  <c r="AG1923" i="1"/>
  <c r="AG1924" i="1"/>
  <c r="AG1925" i="1"/>
  <c r="AG1926" i="1"/>
  <c r="AG1927" i="1"/>
  <c r="AG1928" i="1"/>
  <c r="AG1929" i="1"/>
  <c r="AG1930" i="1"/>
  <c r="AG1931" i="1"/>
  <c r="AG1932" i="1"/>
  <c r="AG1933" i="1"/>
  <c r="AG1934" i="1"/>
  <c r="AG1935" i="1"/>
  <c r="AG1936" i="1"/>
  <c r="AG1937" i="1"/>
  <c r="AG1938" i="1"/>
  <c r="AG1939" i="1"/>
  <c r="AG1940" i="1"/>
  <c r="AG1941" i="1"/>
  <c r="AG1942" i="1"/>
  <c r="AG1943" i="1"/>
  <c r="AG1944" i="1"/>
  <c r="AG1945" i="1"/>
  <c r="AG1946" i="1"/>
  <c r="AG1947" i="1"/>
  <c r="AG1948" i="1"/>
  <c r="AG1949" i="1"/>
  <c r="AG1950" i="1"/>
  <c r="AG1951" i="1"/>
  <c r="AG1952" i="1"/>
  <c r="AG1953" i="1"/>
  <c r="AG1954" i="1"/>
</calcChain>
</file>

<file path=xl/sharedStrings.xml><?xml version="1.0" encoding="utf-8"?>
<sst xmlns="http://schemas.openxmlformats.org/spreadsheetml/2006/main" count="12291" uniqueCount="2133">
  <si>
    <t xml:space="preserve">Epipactis helleborine </t>
  </si>
  <si>
    <t xml:space="preserve">Epilobium roseum </t>
  </si>
  <si>
    <t xml:space="preserve">Epilobium parviflorum </t>
  </si>
  <si>
    <t xml:space="preserve">Epilobium palustre </t>
  </si>
  <si>
    <t xml:space="preserve">Epilobium obscurum </t>
  </si>
  <si>
    <t xml:space="preserve">Epilobium brunnescens </t>
  </si>
  <si>
    <t xml:space="preserve">Epilobium montanum </t>
  </si>
  <si>
    <t xml:space="preserve">Epilobium hirsutum </t>
  </si>
  <si>
    <t xml:space="preserve">Epilobium anagallidifolium </t>
  </si>
  <si>
    <t xml:space="preserve">Epilobium alsinifolium </t>
  </si>
  <si>
    <t xml:space="preserve">Epilobium tetragonum subsp. tetragonum </t>
  </si>
  <si>
    <t xml:space="preserve">Epilobium ciliatum </t>
  </si>
  <si>
    <t xml:space="preserve">Hyacinthoides non-scripta </t>
  </si>
  <si>
    <t xml:space="preserve">Empetrum nigrum subsp. nigrum </t>
  </si>
  <si>
    <t xml:space="preserve">Empetrum nigrum subsp. hermaphroditum </t>
  </si>
  <si>
    <t xml:space="preserve">Eleocharis multicaulis </t>
  </si>
  <si>
    <t xml:space="preserve">Echium vulgare </t>
  </si>
  <si>
    <t xml:space="preserve">Dryopteris carthusiana </t>
  </si>
  <si>
    <t xml:space="preserve">Dryopteris filix-mas </t>
  </si>
  <si>
    <t xml:space="preserve">Dryopteris dilatata </t>
  </si>
  <si>
    <t xml:space="preserve">Dryopteris affinis </t>
  </si>
  <si>
    <t xml:space="preserve">Dryopteris aemula </t>
  </si>
  <si>
    <t xml:space="preserve">Drosera rotundifolia </t>
  </si>
  <si>
    <t xml:space="preserve">Digitalis purpurea </t>
  </si>
  <si>
    <t xml:space="preserve">Deschampsia flexuosa </t>
  </si>
  <si>
    <t xml:space="preserve">Deschampsia cespitosa subsp. cespitosa </t>
  </si>
  <si>
    <t xml:space="preserve">Daucus carota </t>
  </si>
  <si>
    <t xml:space="preserve">Daphne mezereum </t>
  </si>
  <si>
    <t>Daphne laureola (s)</t>
  </si>
  <si>
    <t xml:space="preserve">Dactylorhiza purpurella </t>
  </si>
  <si>
    <t xml:space="preserve">Dactylorhiza maculata subsp. ericetorum </t>
  </si>
  <si>
    <t xml:space="preserve">Dactylorhiza incarnata </t>
  </si>
  <si>
    <t xml:space="preserve">Dactylorhiza fuchsii </t>
  </si>
  <si>
    <t xml:space="preserve">Dactylis glomerata </t>
  </si>
  <si>
    <t xml:space="preserve">Cystopteris fragilis </t>
  </si>
  <si>
    <t xml:space="preserve">Cynosurus echinatus </t>
  </si>
  <si>
    <t xml:space="preserve">Cynosurus cristatus </t>
  </si>
  <si>
    <t xml:space="preserve">Cynoglossum officinale </t>
  </si>
  <si>
    <t xml:space="preserve">Cymbalaria muralis </t>
  </si>
  <si>
    <t xml:space="preserve">Cryptogramma crispa </t>
  </si>
  <si>
    <t xml:space="preserve">Cruciata laevipes </t>
  </si>
  <si>
    <t xml:space="preserve">Crepis paludosa </t>
  </si>
  <si>
    <t xml:space="preserve">Crepis capillaris </t>
  </si>
  <si>
    <t>Crataegus monogyna (s)</t>
  </si>
  <si>
    <t xml:space="preserve">Crambe maritima </t>
  </si>
  <si>
    <t xml:space="preserve">Cotoneaster simonsii </t>
  </si>
  <si>
    <t>Corylus avellana (s)</t>
  </si>
  <si>
    <t xml:space="preserve">Ceratocapnos claviculata </t>
  </si>
  <si>
    <t xml:space="preserve">Convolvulus arvensis </t>
  </si>
  <si>
    <t xml:space="preserve">Convallaria majalis </t>
  </si>
  <si>
    <t xml:space="preserve">Conopodium majus </t>
  </si>
  <si>
    <t xml:space="preserve">Colchicum autumnale </t>
  </si>
  <si>
    <t xml:space="preserve">Coeloglossum viride </t>
  </si>
  <si>
    <t xml:space="preserve">Cochlearia officinalis </t>
  </si>
  <si>
    <t xml:space="preserve">Cochlearia pyrenaica </t>
  </si>
  <si>
    <t xml:space="preserve">Clinopodium vulgare </t>
  </si>
  <si>
    <t xml:space="preserve">Clematis vitalba </t>
  </si>
  <si>
    <t xml:space="preserve">Cirsium vulgare </t>
  </si>
  <si>
    <t xml:space="preserve">Cirsium palustre </t>
  </si>
  <si>
    <t xml:space="preserve">Cirsium heterophyllum </t>
  </si>
  <si>
    <t xml:space="preserve">Cirsium eriophorum </t>
  </si>
  <si>
    <t xml:space="preserve">Cirsium arvense </t>
  </si>
  <si>
    <t xml:space="preserve">Circaea lutetiana </t>
  </si>
  <si>
    <t xml:space="preserve">Chrysosplenium oppositifolium </t>
  </si>
  <si>
    <t xml:space="preserve">Chrysosplenium alternifolium </t>
  </si>
  <si>
    <t xml:space="preserve">Leucanthemum vulgare </t>
  </si>
  <si>
    <t xml:space="preserve">Chenopodium polyspermum </t>
  </si>
  <si>
    <t xml:space="preserve">Chenopodium album </t>
  </si>
  <si>
    <t xml:space="preserve">Chelidonium majus </t>
  </si>
  <si>
    <t xml:space="preserve">Chamerion angustifolium </t>
  </si>
  <si>
    <t xml:space="preserve">Chaerophyllum temulum </t>
  </si>
  <si>
    <t xml:space="preserve">Cerastium semidecandrum </t>
  </si>
  <si>
    <t xml:space="preserve">Cerastium fontanum </t>
  </si>
  <si>
    <t xml:space="preserve">Cerastium glomeratum </t>
  </si>
  <si>
    <t xml:space="preserve">Cerastium diffusum </t>
  </si>
  <si>
    <t xml:space="preserve">Cerastium arvense </t>
  </si>
  <si>
    <t xml:space="preserve">Cerastium alpinum </t>
  </si>
  <si>
    <t xml:space="preserve">Centaurium pulchellum </t>
  </si>
  <si>
    <t xml:space="preserve">Centaurium erythraea </t>
  </si>
  <si>
    <t xml:space="preserve">Centaurea scabiosa </t>
  </si>
  <si>
    <t xml:space="preserve">Centaurea nigra </t>
  </si>
  <si>
    <t xml:space="preserve">Centaurea cyanus </t>
  </si>
  <si>
    <t xml:space="preserve">Catapodium rigidum </t>
  </si>
  <si>
    <t>Castanea sativa (c)</t>
  </si>
  <si>
    <t>Carpinus betulus (c)</t>
  </si>
  <si>
    <t xml:space="preserve">Carlina vulgaris </t>
  </si>
  <si>
    <t xml:space="preserve">Carex sylvatica </t>
  </si>
  <si>
    <t xml:space="preserve">Carex strigosa </t>
  </si>
  <si>
    <t xml:space="preserve">Carex spicata </t>
  </si>
  <si>
    <t xml:space="preserve">Carex rostrata </t>
  </si>
  <si>
    <t xml:space="preserve">Carex riparia </t>
  </si>
  <si>
    <t xml:space="preserve">Carex remota </t>
  </si>
  <si>
    <t xml:space="preserve">Carex rariflora </t>
  </si>
  <si>
    <t xml:space="preserve">Carex pulicaris </t>
  </si>
  <si>
    <t xml:space="preserve">Carex pilulifera </t>
  </si>
  <si>
    <t xml:space="preserve">Carex pendula </t>
  </si>
  <si>
    <t xml:space="preserve">Carex magellanica </t>
  </si>
  <si>
    <t xml:space="preserve">Carex paniculata </t>
  </si>
  <si>
    <t xml:space="preserve">Carex panicea </t>
  </si>
  <si>
    <t xml:space="preserve">Carex ovalis </t>
  </si>
  <si>
    <t xml:space="preserve">Carex otrubae </t>
  </si>
  <si>
    <t xml:space="preserve">Carex ornithopoda </t>
  </si>
  <si>
    <t xml:space="preserve">Carex nigra </t>
  </si>
  <si>
    <t xml:space="preserve">Carex muricata </t>
  </si>
  <si>
    <t xml:space="preserve">Carex limosa </t>
  </si>
  <si>
    <t xml:space="preserve">Carex viridula subsp. brachyrrhyncha </t>
  </si>
  <si>
    <t xml:space="preserve">Carex laevigata </t>
  </si>
  <si>
    <t xml:space="preserve">Carex hostiana </t>
  </si>
  <si>
    <t xml:space="preserve">Carex hirta </t>
  </si>
  <si>
    <t xml:space="preserve">Carex flacca </t>
  </si>
  <si>
    <t xml:space="preserve">Carex extensa </t>
  </si>
  <si>
    <t xml:space="preserve">Carex echinata </t>
  </si>
  <si>
    <t xml:space="preserve">Carex disticha </t>
  </si>
  <si>
    <t xml:space="preserve">Carex dioica </t>
  </si>
  <si>
    <t xml:space="preserve">Carex viridula subsp. oedocarpa </t>
  </si>
  <si>
    <t xml:space="preserve">Carex curta </t>
  </si>
  <si>
    <t xml:space="preserve">Carex caryophyllea </t>
  </si>
  <si>
    <t xml:space="preserve">Carex capillaris </t>
  </si>
  <si>
    <t xml:space="preserve">Carex binervis </t>
  </si>
  <si>
    <t xml:space="preserve">Carex bigelowii </t>
  </si>
  <si>
    <t xml:space="preserve">Carex acutiformis </t>
  </si>
  <si>
    <t xml:space="preserve">Carduus nutans </t>
  </si>
  <si>
    <t xml:space="preserve">Carduus crispus subsp. multiflorus </t>
  </si>
  <si>
    <t xml:space="preserve">Cardamine pratensis </t>
  </si>
  <si>
    <t xml:space="preserve">Cardamine hirsuta </t>
  </si>
  <si>
    <t xml:space="preserve">Cardamine flexuosa </t>
  </si>
  <si>
    <t xml:space="preserve">Cardamine amara </t>
  </si>
  <si>
    <t xml:space="preserve">Capsella bursa-pastoris </t>
  </si>
  <si>
    <t xml:space="preserve">Campanula rotundifolia </t>
  </si>
  <si>
    <t xml:space="preserve">Campanula glomerata </t>
  </si>
  <si>
    <t xml:space="preserve">Calystegia sepium </t>
  </si>
  <si>
    <t xml:space="preserve">Caltha palustris </t>
  </si>
  <si>
    <t xml:space="preserve">Calluna vulgaris </t>
  </si>
  <si>
    <t xml:space="preserve">Callitriche hamulata </t>
  </si>
  <si>
    <t xml:space="preserve">Clinopodium ascendens </t>
  </si>
  <si>
    <t xml:space="preserve">Calamagrostis epigejos </t>
  </si>
  <si>
    <t xml:space="preserve">Bryonia dioica </t>
  </si>
  <si>
    <t xml:space="preserve">Bromus hordeaceus subsp. thominei </t>
  </si>
  <si>
    <t xml:space="preserve">Anisantha sterilis </t>
  </si>
  <si>
    <t xml:space="preserve">Bromopsis ramosa </t>
  </si>
  <si>
    <t xml:space="preserve">Bromus racemosus </t>
  </si>
  <si>
    <t xml:space="preserve">Bromus hordeaceus subsp. hordeaceus </t>
  </si>
  <si>
    <t xml:space="preserve">Bromopsis erecta </t>
  </si>
  <si>
    <t xml:space="preserve">Bromus commutatus </t>
  </si>
  <si>
    <t xml:space="preserve">Briza media </t>
  </si>
  <si>
    <t xml:space="preserve">Brassica napus </t>
  </si>
  <si>
    <t xml:space="preserve">Brachypodium sylvaticum </t>
  </si>
  <si>
    <t xml:space="preserve">Brachypodium pinnatum s.l. </t>
  </si>
  <si>
    <t xml:space="preserve">Botrychium lunaria </t>
  </si>
  <si>
    <t xml:space="preserve">Blechnum spicant </t>
  </si>
  <si>
    <t xml:space="preserve">Blackstonia perfoliata </t>
  </si>
  <si>
    <t>Betula pendula x pubescens (B. x aurata) (c)</t>
  </si>
  <si>
    <t>Betula pendula (c)</t>
  </si>
  <si>
    <t>Betula pubescens (c)</t>
  </si>
  <si>
    <t xml:space="preserve">Stachys officinalis </t>
  </si>
  <si>
    <t xml:space="preserve">Bellis perennis </t>
  </si>
  <si>
    <t xml:space="preserve">Barbarea intermedia </t>
  </si>
  <si>
    <t xml:space="preserve">Ballota nigra </t>
  </si>
  <si>
    <t xml:space="preserve">Avena fatua </t>
  </si>
  <si>
    <t xml:space="preserve">Atropa belladonna </t>
  </si>
  <si>
    <t xml:space="preserve">Atriplex prostrata </t>
  </si>
  <si>
    <t xml:space="preserve">Athyrium filix-femina </t>
  </si>
  <si>
    <t xml:space="preserve">Astragalus danicus </t>
  </si>
  <si>
    <t xml:space="preserve">Asperula cynanchica </t>
  </si>
  <si>
    <t xml:space="preserve">Arum maculatum </t>
  </si>
  <si>
    <t xml:space="preserve">Arrhenatherum elatius </t>
  </si>
  <si>
    <t xml:space="preserve">Armeria maritima </t>
  </si>
  <si>
    <t xml:space="preserve">Arenaria serpyllifolia </t>
  </si>
  <si>
    <t xml:space="preserve">Arctostaphylos uva-ursi </t>
  </si>
  <si>
    <t xml:space="preserve">Arctium minus subsp. pubens </t>
  </si>
  <si>
    <t xml:space="preserve">Arctium minus </t>
  </si>
  <si>
    <t xml:space="preserve">Arabis hirsuta </t>
  </si>
  <si>
    <t xml:space="preserve">Apium inundatum </t>
  </si>
  <si>
    <t xml:space="preserve">Aphanes arvensis </t>
  </si>
  <si>
    <t xml:space="preserve">Antirrhinum majus </t>
  </si>
  <si>
    <t xml:space="preserve">Anthyllis vulneraria </t>
  </si>
  <si>
    <t xml:space="preserve">Anthriscus sylvestris </t>
  </si>
  <si>
    <t xml:space="preserve">Anthoxanthum odoratum </t>
  </si>
  <si>
    <t xml:space="preserve">Antennaria dioica </t>
  </si>
  <si>
    <t xml:space="preserve">Angelica sylvestris </t>
  </si>
  <si>
    <t xml:space="preserve">Anemone nemorosa </t>
  </si>
  <si>
    <t xml:space="preserve">Anagallis tenella </t>
  </si>
  <si>
    <t xml:space="preserve">Anagallis arvensis </t>
  </si>
  <si>
    <t xml:space="preserve">Alopecurus pratensis </t>
  </si>
  <si>
    <t xml:space="preserve">Alopecurus geniculatus </t>
  </si>
  <si>
    <t>Alnus glutinosa (c)</t>
  </si>
  <si>
    <t xml:space="preserve">Allium vineale </t>
  </si>
  <si>
    <t xml:space="preserve">Allium ursinum </t>
  </si>
  <si>
    <t xml:space="preserve">Alliaria petiolata </t>
  </si>
  <si>
    <t xml:space="preserve">Alchemilla xanthochlora </t>
  </si>
  <si>
    <t xml:space="preserve">Alchemilla tytthantha </t>
  </si>
  <si>
    <t xml:space="preserve">Alchemilla mollis </t>
  </si>
  <si>
    <t xml:space="preserve">Alchemilla minima </t>
  </si>
  <si>
    <t xml:space="preserve">Alchemilla glabra </t>
  </si>
  <si>
    <t xml:space="preserve">Alchemilla filicaulis </t>
  </si>
  <si>
    <t xml:space="preserve">Alchemilla alpina </t>
  </si>
  <si>
    <t xml:space="preserve">Ajuga reptans </t>
  </si>
  <si>
    <t xml:space="preserve">Aira praecox </t>
  </si>
  <si>
    <t xml:space="preserve">Aira caryophyllea </t>
  </si>
  <si>
    <t xml:space="preserve">Agrostis capillaris </t>
  </si>
  <si>
    <t xml:space="preserve">Agrostis stolonifera </t>
  </si>
  <si>
    <t xml:space="preserve">Agrostis gigantea </t>
  </si>
  <si>
    <t xml:space="preserve">Agrostis canina </t>
  </si>
  <si>
    <t xml:space="preserve">Agrostemma githago </t>
  </si>
  <si>
    <t xml:space="preserve">Elytrigia repens </t>
  </si>
  <si>
    <t xml:space="preserve">Elymus caninus </t>
  </si>
  <si>
    <t xml:space="preserve">Agrimonia procera </t>
  </si>
  <si>
    <t xml:space="preserve">Agrimonia eupatoria </t>
  </si>
  <si>
    <t xml:space="preserve">Aethusa cynapium </t>
  </si>
  <si>
    <t>Aesculus hippocastanum (c)</t>
  </si>
  <si>
    <t xml:space="preserve">Aegopodium podagraria </t>
  </si>
  <si>
    <t xml:space="preserve">Adoxa moschatellina </t>
  </si>
  <si>
    <t xml:space="preserve">Acorus calamus </t>
  </si>
  <si>
    <t xml:space="preserve">Achillea ptarmica </t>
  </si>
  <si>
    <t xml:space="preserve">Achillea millefolium </t>
  </si>
  <si>
    <t>Acer pseudoplatanus (c)</t>
  </si>
  <si>
    <t>Acer campestre (c)</t>
  </si>
  <si>
    <t xml:space="preserve">Litter </t>
  </si>
  <si>
    <t xml:space="preserve">Bryopsida </t>
  </si>
  <si>
    <t>SITECODE</t>
  </si>
  <si>
    <t>MCODE</t>
  </si>
  <si>
    <t>DESC_LATIN</t>
  </si>
  <si>
    <t>YEAR</t>
  </si>
  <si>
    <t>PLOT_ID</t>
  </si>
  <si>
    <t>SPECIES_NO</t>
  </si>
  <si>
    <t>B11</t>
  </si>
  <si>
    <t>DOM_CODE</t>
  </si>
  <si>
    <t>DOM_DESC</t>
  </si>
  <si>
    <t>SLOPEFORM</t>
  </si>
  <si>
    <t>VEG_SPEC</t>
  </si>
  <si>
    <t>SITEABBR</t>
  </si>
  <si>
    <t>C</t>
  </si>
  <si>
    <t>- enter further species here</t>
  </si>
  <si>
    <t>B01</t>
  </si>
  <si>
    <t>AIN</t>
  </si>
  <si>
    <t>S</t>
  </si>
  <si>
    <t xml:space="preserve">Prunus serotina </t>
  </si>
  <si>
    <t>B02</t>
  </si>
  <si>
    <t>BMA</t>
  </si>
  <si>
    <t>I</t>
  </si>
  <si>
    <t>Dicotyledons (broadleaf) seedling</t>
  </si>
  <si>
    <t>B03</t>
  </si>
  <si>
    <t>BBE</t>
  </si>
  <si>
    <t>U</t>
  </si>
  <si>
    <t>Dicotyledons seedling</t>
  </si>
  <si>
    <t>B04</t>
  </si>
  <si>
    <t>COE</t>
  </si>
  <si>
    <t>H</t>
  </si>
  <si>
    <t xml:space="preserve">Cladonia ciliata var. ciliata </t>
  </si>
  <si>
    <t>B05</t>
  </si>
  <si>
    <t>CAR</t>
  </si>
  <si>
    <t>A</t>
  </si>
  <si>
    <t xml:space="preserve">Sphagnum denticulatum s.l. </t>
  </si>
  <si>
    <t>B06</t>
  </si>
  <si>
    <t>ERD</t>
  </si>
  <si>
    <t>E</t>
  </si>
  <si>
    <t xml:space="preserve">Euphrasia </t>
  </si>
  <si>
    <t>B07</t>
  </si>
  <si>
    <t>FOC</t>
  </si>
  <si>
    <t xml:space="preserve">Phytolacca </t>
  </si>
  <si>
    <t>B08</t>
  </si>
  <si>
    <t>CWM</t>
  </si>
  <si>
    <t xml:space="preserve">Pteropsida </t>
  </si>
  <si>
    <t>B09</t>
  </si>
  <si>
    <t>DER</t>
  </si>
  <si>
    <t>Poaceae seedling</t>
  </si>
  <si>
    <t>B10</t>
  </si>
  <si>
    <t>FEN</t>
  </si>
  <si>
    <t>Pinopsida seedling</t>
  </si>
  <si>
    <t>FIN</t>
  </si>
  <si>
    <t>Magnoliopsida seedling</t>
  </si>
  <si>
    <t>B12</t>
  </si>
  <si>
    <t>ING</t>
  </si>
  <si>
    <t xml:space="preserve">Marchantiophyta </t>
  </si>
  <si>
    <t>B13</t>
  </si>
  <si>
    <t>LIN</t>
  </si>
  <si>
    <t xml:space="preserve">Rumex conglomeratus/sanguineus </t>
  </si>
  <si>
    <t>B14</t>
  </si>
  <si>
    <t>LUL</t>
  </si>
  <si>
    <t xml:space="preserve">Splachnum </t>
  </si>
  <si>
    <t>B15</t>
  </si>
  <si>
    <t>MAR</t>
  </si>
  <si>
    <t xml:space="preserve">Barbilophozia </t>
  </si>
  <si>
    <t>B16</t>
  </si>
  <si>
    <t>MON</t>
  </si>
  <si>
    <t xml:space="preserve">Racomitrium elongatum </t>
  </si>
  <si>
    <t>B17</t>
  </si>
  <si>
    <t>NBR</t>
  </si>
  <si>
    <t xml:space="preserve">Cladonia diversa </t>
  </si>
  <si>
    <t>B18</t>
  </si>
  <si>
    <t>NSO</t>
  </si>
  <si>
    <t xml:space="preserve">Calypogeia azurea </t>
  </si>
  <si>
    <t>B19</t>
  </si>
  <si>
    <t>OGO</t>
  </si>
  <si>
    <t xml:space="preserve">Hordeum distichon </t>
  </si>
  <si>
    <t>B20</t>
  </si>
  <si>
    <t>OWH</t>
  </si>
  <si>
    <t xml:space="preserve">Rinodina interpolata </t>
  </si>
  <si>
    <t>B21</t>
  </si>
  <si>
    <t>OXW</t>
  </si>
  <si>
    <t xml:space="preserve">Placynthiella icmalea </t>
  </si>
  <si>
    <t>B22</t>
  </si>
  <si>
    <t>RHO</t>
  </si>
  <si>
    <t>Lichenomphalia hudsoniana (Omphalina)</t>
  </si>
  <si>
    <t>B23</t>
  </si>
  <si>
    <t>SKO</t>
  </si>
  <si>
    <t xml:space="preserve">Dimerella pineti </t>
  </si>
  <si>
    <t>B24</t>
  </si>
  <si>
    <t>STA</t>
  </si>
  <si>
    <t xml:space="preserve">Bryophytes </t>
  </si>
  <si>
    <t>B25</t>
  </si>
  <si>
    <t>STP</t>
  </si>
  <si>
    <t xml:space="preserve">Lichenes </t>
  </si>
  <si>
    <t>B26</t>
  </si>
  <si>
    <t>THU</t>
  </si>
  <si>
    <t xml:space="preserve">Pinus sylvestris subsp. scotica </t>
  </si>
  <si>
    <t>B27</t>
  </si>
  <si>
    <t>TYC</t>
  </si>
  <si>
    <t xml:space="preserve">Silene </t>
  </si>
  <si>
    <t>B28</t>
  </si>
  <si>
    <t>YBE</t>
  </si>
  <si>
    <t xml:space="preserve">Scleropodium </t>
  </si>
  <si>
    <t>B29</t>
  </si>
  <si>
    <t>YAR</t>
  </si>
  <si>
    <t xml:space="preserve">Rubus </t>
  </si>
  <si>
    <t>B30</t>
  </si>
  <si>
    <t>CHI</t>
  </si>
  <si>
    <t xml:space="preserve">Prunus </t>
  </si>
  <si>
    <t>B31</t>
  </si>
  <si>
    <t>CHB</t>
  </si>
  <si>
    <t xml:space="preserve">Populus </t>
  </si>
  <si>
    <t>B32</t>
  </si>
  <si>
    <t>DRS</t>
  </si>
  <si>
    <t xml:space="preserve">Polygala </t>
  </si>
  <si>
    <t>B33</t>
  </si>
  <si>
    <t>DOW</t>
  </si>
  <si>
    <t xml:space="preserve">Plagiomnium </t>
  </si>
  <si>
    <t>B34</t>
  </si>
  <si>
    <t>EPP</t>
  </si>
  <si>
    <t xml:space="preserve">Luzula </t>
  </si>
  <si>
    <t>B35</t>
  </si>
  <si>
    <t>KIE</t>
  </si>
  <si>
    <t xml:space="preserve">Geranium </t>
  </si>
  <si>
    <t>B36</t>
  </si>
  <si>
    <t>DRW</t>
  </si>
  <si>
    <t xml:space="preserve">Hypochaeris </t>
  </si>
  <si>
    <t>B37</t>
  </si>
  <si>
    <t>LUD</t>
  </si>
  <si>
    <t xml:space="preserve">Viola reichenbachiana or Viola riviniana </t>
  </si>
  <si>
    <t>B38</t>
  </si>
  <si>
    <t>MAL</t>
  </si>
  <si>
    <t xml:space="preserve">Peltigera lactucifolia </t>
  </si>
  <si>
    <t>B39</t>
  </si>
  <si>
    <t>SAL</t>
  </si>
  <si>
    <t xml:space="preserve">Ochrolechia pallescens </t>
  </si>
  <si>
    <t>B40</t>
  </si>
  <si>
    <t>LIZ</t>
  </si>
  <si>
    <t xml:space="preserve">Alopecurus </t>
  </si>
  <si>
    <t>Salix aurita (g)</t>
  </si>
  <si>
    <t xml:space="preserve">Eurhynchium </t>
  </si>
  <si>
    <t xml:space="preserve">Cornicularia </t>
  </si>
  <si>
    <t>Sambucus nigra (c)</t>
  </si>
  <si>
    <t>Quercus cerris (s)</t>
  </si>
  <si>
    <t xml:space="preserve">Cratoneuron </t>
  </si>
  <si>
    <t>Salix cinerea (c)</t>
  </si>
  <si>
    <t>Viburnum lantana (g)</t>
  </si>
  <si>
    <t xml:space="preserve">Leontodon </t>
  </si>
  <si>
    <t xml:space="preserve">Cerastium </t>
  </si>
  <si>
    <t>Pinus seedling</t>
  </si>
  <si>
    <t xml:space="preserve">Sagina </t>
  </si>
  <si>
    <t xml:space="preserve">Rorippa </t>
  </si>
  <si>
    <t xml:space="preserve">Polygonum </t>
  </si>
  <si>
    <t xml:space="preserve">Campylopus </t>
  </si>
  <si>
    <t xml:space="preserve">Polytrichastrum longisetum </t>
  </si>
  <si>
    <t xml:space="preserve">Plasteurhynchium meridionale </t>
  </si>
  <si>
    <t xml:space="preserve">Thuja plicata </t>
  </si>
  <si>
    <t xml:space="preserve">Taraxacum fulvum </t>
  </si>
  <si>
    <t xml:space="preserve">Taraxacum brachyglossum </t>
  </si>
  <si>
    <t xml:space="preserve">Saxifraga spathularis x umbrosa (S. x urbium) </t>
  </si>
  <si>
    <t xml:space="preserve">Rubus spectabilis </t>
  </si>
  <si>
    <t xml:space="preserve">Gaultheria mucronata </t>
  </si>
  <si>
    <t xml:space="preserve">Lysichiton americanus </t>
  </si>
  <si>
    <t xml:space="preserve">Bromus </t>
  </si>
  <si>
    <t xml:space="preserve">Helictotrichon </t>
  </si>
  <si>
    <t xml:space="preserve">Pilosella officinarum (hieracium) </t>
  </si>
  <si>
    <t xml:space="preserve">Gaultheria shallon </t>
  </si>
  <si>
    <t xml:space="preserve">Galium constrictum </t>
  </si>
  <si>
    <t xml:space="preserve">Galega officinalis </t>
  </si>
  <si>
    <t xml:space="preserve">Euphrasia stricta </t>
  </si>
  <si>
    <t xml:space="preserve">Euphrasia rivularis </t>
  </si>
  <si>
    <t xml:space="preserve">Cymbalaria pallida </t>
  </si>
  <si>
    <t xml:space="preserve">Bromus pseudosecalinus </t>
  </si>
  <si>
    <t xml:space="preserve">Anthemis tinctoria </t>
  </si>
  <si>
    <t xml:space="preserve">Alnus incana </t>
  </si>
  <si>
    <t xml:space="preserve">Abies grandis </t>
  </si>
  <si>
    <t xml:space="preserve">Abies alba </t>
  </si>
  <si>
    <t xml:space="preserve">Poaceae </t>
  </si>
  <si>
    <t xml:space="preserve">Diploschistes muscorum </t>
  </si>
  <si>
    <t xml:space="preserve">Sonchus </t>
  </si>
  <si>
    <t xml:space="preserve">Thuidium </t>
  </si>
  <si>
    <t xml:space="preserve">Dermatocarpon luridum </t>
  </si>
  <si>
    <t xml:space="preserve">Viola riviniana x rupestris (V. x burnatii) </t>
  </si>
  <si>
    <t xml:space="preserve">Betula pubescens subsp. tortuosa </t>
  </si>
  <si>
    <t xml:space="preserve">Senecio </t>
  </si>
  <si>
    <t xml:space="preserve">Peltigera membranacea </t>
  </si>
  <si>
    <t xml:space="preserve">Lophocolea </t>
  </si>
  <si>
    <t>Cephalozia bicuspidata  var. lammersiana</t>
  </si>
  <si>
    <t xml:space="preserve">Hypnum andoi </t>
  </si>
  <si>
    <t xml:space="preserve">Hypnum cupressiforme var. lacunosum </t>
  </si>
  <si>
    <t xml:space="preserve">Hypnum cupressiforme var. cupressiforme </t>
  </si>
  <si>
    <t xml:space="preserve">Kindbergia praelonga var. stokesii </t>
  </si>
  <si>
    <t>Algae(group not known) mat</t>
  </si>
  <si>
    <t xml:space="preserve">Thymus pulegioides </t>
  </si>
  <si>
    <t xml:space="preserve">Thesium humifusum </t>
  </si>
  <si>
    <t xml:space="preserve">Teucrium scordium </t>
  </si>
  <si>
    <t xml:space="preserve">Sequoia sempervirens </t>
  </si>
  <si>
    <t>Ribes rubrum (g)</t>
  </si>
  <si>
    <t xml:space="preserve">Rhinanthus </t>
  </si>
  <si>
    <t>Pseudotsuga menziesii (g)</t>
  </si>
  <si>
    <t xml:space="preserve">Polygala calcarea </t>
  </si>
  <si>
    <t>Pinus nigra (s)</t>
  </si>
  <si>
    <t>Picea (c)</t>
  </si>
  <si>
    <t>Picea abies (g)</t>
  </si>
  <si>
    <t>Picea abies (s)</t>
  </si>
  <si>
    <t xml:space="preserve">Dactylorhiza </t>
  </si>
  <si>
    <t xml:space="preserve">Luzula forsteri </t>
  </si>
  <si>
    <t>Larix (g)</t>
  </si>
  <si>
    <t xml:space="preserve">Geranium rotundifolium </t>
  </si>
  <si>
    <t>Euonymus europaeus (g)</t>
  </si>
  <si>
    <t>Salix purpurea (g)</t>
  </si>
  <si>
    <t xml:space="preserve">Placynthiella uliginosa </t>
  </si>
  <si>
    <t xml:space="preserve">Fossombronia mittenii </t>
  </si>
  <si>
    <t>Picea sitchensis (c)</t>
  </si>
  <si>
    <t xml:space="preserve">Drepanocladus </t>
  </si>
  <si>
    <t xml:space="preserve">Asplenium onopteris </t>
  </si>
  <si>
    <t xml:space="preserve">Cladonia rei </t>
  </si>
  <si>
    <t xml:space="preserve">Solidago canadensis </t>
  </si>
  <si>
    <t xml:space="preserve">Trapeliopsis granulosa </t>
  </si>
  <si>
    <t xml:space="preserve">Frullania </t>
  </si>
  <si>
    <t xml:space="preserve">Fissidens </t>
  </si>
  <si>
    <t xml:space="preserve">Agrostis curtisii </t>
  </si>
  <si>
    <t xml:space="preserve">Bacidia bagliettoana </t>
  </si>
  <si>
    <t xml:space="preserve">Weissia </t>
  </si>
  <si>
    <t xml:space="preserve">Diploschistes scruposus </t>
  </si>
  <si>
    <t>Picea sitchensis (g)</t>
  </si>
  <si>
    <t xml:space="preserve">Brachythecium </t>
  </si>
  <si>
    <t xml:space="preserve">Thamnolia vermicularis </t>
  </si>
  <si>
    <t>Cytisus scoparius (g)</t>
  </si>
  <si>
    <t xml:space="preserve">Pellia cf. epiphylla </t>
  </si>
  <si>
    <t xml:space="preserve">Pellia cf. endiviifolia </t>
  </si>
  <si>
    <t xml:space="preserve">Omphalina </t>
  </si>
  <si>
    <t xml:space="preserve">Ochrolechia frigida </t>
  </si>
  <si>
    <t>Lichenomphalia hudsoniana (Coriscium viride)</t>
  </si>
  <si>
    <t xml:space="preserve">Cladonia chlorophaea agg. </t>
  </si>
  <si>
    <t xml:space="preserve">Calypogeia cf. muelleriana </t>
  </si>
  <si>
    <t>Populus tremula (g)</t>
  </si>
  <si>
    <t>Viola seedling</t>
  </si>
  <si>
    <t>Viburnum lantana (s)</t>
  </si>
  <si>
    <t>Veronica seedling</t>
  </si>
  <si>
    <t>Ulmus procera (g)</t>
  </si>
  <si>
    <t>Ulmus procera (s)</t>
  </si>
  <si>
    <t xml:space="preserve">Tsuga heterophylla </t>
  </si>
  <si>
    <t xml:space="preserve">Triticum aestivum </t>
  </si>
  <si>
    <t>Tilia platyphyllos (c)</t>
  </si>
  <si>
    <t>Cornus sanguinea (g)</t>
  </si>
  <si>
    <t xml:space="preserve">Taraxacum sect. Ruderalia </t>
  </si>
  <si>
    <t xml:space="preserve">Splachnum sphaericum </t>
  </si>
  <si>
    <t xml:space="preserve">Jungermannia </t>
  </si>
  <si>
    <t>Solanum dulcamara (s)</t>
  </si>
  <si>
    <t xml:space="preserve">Sphagnum inundatum </t>
  </si>
  <si>
    <t xml:space="preserve">Scapania </t>
  </si>
  <si>
    <t>Salix viminalis (s)</t>
  </si>
  <si>
    <t>Salix aurita x cinerea (S. x multinervis) (s)</t>
  </si>
  <si>
    <t xml:space="preserve">Rosa micrantha </t>
  </si>
  <si>
    <t xml:space="preserve">Riccia </t>
  </si>
  <si>
    <t>Rhododendron ponticum (g)</t>
  </si>
  <si>
    <t xml:space="preserve">Rhinanthus minor subsp. borealis </t>
  </si>
  <si>
    <t xml:space="preserve">Racomitrium affine </t>
  </si>
  <si>
    <t xml:space="preserve">Racomitrium </t>
  </si>
  <si>
    <t>Quercus seedling</t>
  </si>
  <si>
    <t>Pseudotsuga menziesii (c)</t>
  </si>
  <si>
    <t>Prunus spinosa (c)</t>
  </si>
  <si>
    <t>Populus tremula (s)</t>
  </si>
  <si>
    <t xml:space="preserve">Polytrichum </t>
  </si>
  <si>
    <t xml:space="preserve">Polygonum arenastrum </t>
  </si>
  <si>
    <t xml:space="preserve">Pohlia camptotrachela </t>
  </si>
  <si>
    <t xml:space="preserve">Pohlia </t>
  </si>
  <si>
    <t xml:space="preserve">Plagiothecium </t>
  </si>
  <si>
    <t xml:space="preserve">Plagiochila asplenioides </t>
  </si>
  <si>
    <t>Pinus nigra (c)</t>
  </si>
  <si>
    <t xml:space="preserve">Peltigera </t>
  </si>
  <si>
    <t xml:space="preserve">Pellia </t>
  </si>
  <si>
    <t xml:space="preserve">Parentucellia viscosa </t>
  </si>
  <si>
    <t xml:space="preserve">Mnium </t>
  </si>
  <si>
    <t xml:space="preserve">Marsupella </t>
  </si>
  <si>
    <t xml:space="preserve">Luzula campestris/multiflora </t>
  </si>
  <si>
    <t xml:space="preserve">Lophozia </t>
  </si>
  <si>
    <t>Ligustrum vulgare (g)</t>
  </si>
  <si>
    <t>Larix decidua x kaempferi (L. x marschlinsii) (s)</t>
  </si>
  <si>
    <t>Larix decidua x kaempferi (L. x marschlinsii) (c)</t>
  </si>
  <si>
    <t>Larix kaempferi (s)</t>
  </si>
  <si>
    <t>Larix kaempferi (c)</t>
  </si>
  <si>
    <t xml:space="preserve">Lamium </t>
  </si>
  <si>
    <t xml:space="preserve">Hypnum </t>
  </si>
  <si>
    <t xml:space="preserve">Hypericum </t>
  </si>
  <si>
    <t xml:space="preserve">Pilosella peleteriana </t>
  </si>
  <si>
    <t xml:space="preserve">Gentianella </t>
  </si>
  <si>
    <t xml:space="preserve">Galium pumilum </t>
  </si>
  <si>
    <t xml:space="preserve">Euphorbia amygdaloides </t>
  </si>
  <si>
    <t xml:space="preserve">Eriophorum gracile </t>
  </si>
  <si>
    <t xml:space="preserve">Epilobium </t>
  </si>
  <si>
    <t xml:space="preserve">Dicranum </t>
  </si>
  <si>
    <t xml:space="preserve">Cladonia cervicornis </t>
  </si>
  <si>
    <t xml:space="preserve">Cladonia carneola </t>
  </si>
  <si>
    <t xml:space="preserve">Cirsium </t>
  </si>
  <si>
    <t>Castanea sativa (g)</t>
  </si>
  <si>
    <t xml:space="preserve">Calypogeia </t>
  </si>
  <si>
    <t xml:space="preserve">Bryum </t>
  </si>
  <si>
    <t>Betula seedling</t>
  </si>
  <si>
    <t xml:space="preserve">Barbula </t>
  </si>
  <si>
    <t xml:space="preserve">Arctium minus agg. </t>
  </si>
  <si>
    <t xml:space="preserve">Alectoria </t>
  </si>
  <si>
    <t>Acer seedling</t>
  </si>
  <si>
    <t xml:space="preserve">Euphrasia scottica </t>
  </si>
  <si>
    <t xml:space="preserve">Euphrasia nemorosa </t>
  </si>
  <si>
    <t xml:space="preserve">Euphrasia confusa </t>
  </si>
  <si>
    <t xml:space="preserve">Agrostis </t>
  </si>
  <si>
    <t xml:space="preserve">Arctium lappa </t>
  </si>
  <si>
    <t>Rubus idaeus (g)</t>
  </si>
  <si>
    <t>Rubus fruticosus agg. (g)</t>
  </si>
  <si>
    <t>Picea abies (c)</t>
  </si>
  <si>
    <t>Corylus avellana (c)</t>
  </si>
  <si>
    <t>Rosa canina s.str. (g)</t>
  </si>
  <si>
    <t>Acer platanoides (c)</t>
  </si>
  <si>
    <t>Prunus padus (c)</t>
  </si>
  <si>
    <t>Malus sylvestris s.l. (c)</t>
  </si>
  <si>
    <t>Crataegus monogyna (c)</t>
  </si>
  <si>
    <t>Lathyrus seedling</t>
  </si>
  <si>
    <t>Vicia seedling</t>
  </si>
  <si>
    <t>Rosa seedling</t>
  </si>
  <si>
    <t>Castanea sativa (s)</t>
  </si>
  <si>
    <t>Rhododendron ponticum (c)</t>
  </si>
  <si>
    <t>Salix cinerea subsp. oleifolia (c)</t>
  </si>
  <si>
    <t>Salix caprea (c)</t>
  </si>
  <si>
    <t>Ilex aquifolium (c)</t>
  </si>
  <si>
    <t xml:space="preserve">Sphagnum </t>
  </si>
  <si>
    <t>Ranunculus seedling</t>
  </si>
  <si>
    <t>Salix cinerea (g)</t>
  </si>
  <si>
    <t xml:space="preserve">Saxifraga spathularis </t>
  </si>
  <si>
    <t>Myosotis seedling</t>
  </si>
  <si>
    <t xml:space="preserve">Poa </t>
  </si>
  <si>
    <t xml:space="preserve">Filamentous algae </t>
  </si>
  <si>
    <t>Cochlearia seedling</t>
  </si>
  <si>
    <t>Rumex seedling</t>
  </si>
  <si>
    <t>Salix seedling</t>
  </si>
  <si>
    <t xml:space="preserve">Galium </t>
  </si>
  <si>
    <t xml:space="preserve">Cirsium dissectum </t>
  </si>
  <si>
    <t>Trifolium seedling</t>
  </si>
  <si>
    <t xml:space="preserve">Vicia sativa </t>
  </si>
  <si>
    <t>Carex seedling</t>
  </si>
  <si>
    <t xml:space="preserve">Alchemilla filicaulis subsp. vestita </t>
  </si>
  <si>
    <t>Stellaria seedling</t>
  </si>
  <si>
    <t xml:space="preserve">Cephaloziella </t>
  </si>
  <si>
    <t xml:space="preserve">Dryopteris </t>
  </si>
  <si>
    <t xml:space="preserve">Agrostis vinealis </t>
  </si>
  <si>
    <t xml:space="preserve">Sphagnum denticulatum </t>
  </si>
  <si>
    <t>Salix cinerea subsp. oleifolia (s)</t>
  </si>
  <si>
    <t xml:space="preserve">Pseudevernia furfuracea </t>
  </si>
  <si>
    <t xml:space="preserve">Parmelia </t>
  </si>
  <si>
    <t xml:space="preserve">Hypnum jutlandicum </t>
  </si>
  <si>
    <t xml:space="preserve">Cladonia </t>
  </si>
  <si>
    <t xml:space="preserve">Crepis </t>
  </si>
  <si>
    <t xml:space="preserve">Crataegus laevigata </t>
  </si>
  <si>
    <t xml:space="preserve">Cirsium acaule </t>
  </si>
  <si>
    <t xml:space="preserve">Chamaecyparis lawsoniana </t>
  </si>
  <si>
    <t>Carpinus betulus (g)</t>
  </si>
  <si>
    <t xml:space="preserve">Hypnum cupressiforme var. resupinatum </t>
  </si>
  <si>
    <t xml:space="preserve">Carex viridula subsp. brachyrrhyncha var. scotica </t>
  </si>
  <si>
    <t xml:space="preserve">Carex filiformis </t>
  </si>
  <si>
    <t xml:space="preserve">Cardamine </t>
  </si>
  <si>
    <t xml:space="preserve">Campanula rapunculoides </t>
  </si>
  <si>
    <t xml:space="preserve">Asparagus officinalis subsp. prostratus </t>
  </si>
  <si>
    <t>Acer platanoides (g)</t>
  </si>
  <si>
    <t xml:space="preserve">Aconitum napellus </t>
  </si>
  <si>
    <t>Lonicera periclymenum (s)</t>
  </si>
  <si>
    <t>Lonicera periclymenum (c)</t>
  </si>
  <si>
    <t>Hedera helix (s)</t>
  </si>
  <si>
    <t>Hedera helix (c)</t>
  </si>
  <si>
    <t>Ulmus glabra (g)</t>
  </si>
  <si>
    <t>Ulmus glabra (s)</t>
  </si>
  <si>
    <t>Ulex europaeus (g)</t>
  </si>
  <si>
    <t>Tilia cordata x platyphyllos (T. x europaea) (g)</t>
  </si>
  <si>
    <t>Taxus baccata (g)</t>
  </si>
  <si>
    <t>Taxus baccata (s)</t>
  </si>
  <si>
    <t>Sorbus aucuparia (g)</t>
  </si>
  <si>
    <t>Sambucus nigra (g)</t>
  </si>
  <si>
    <t>Salix caprea (g)</t>
  </si>
  <si>
    <t>Quercus robur (g)</t>
  </si>
  <si>
    <t>Quercus robur (s)</t>
  </si>
  <si>
    <t>Quercus petraea (g)</t>
  </si>
  <si>
    <t>Quercus petraea (s)</t>
  </si>
  <si>
    <t>Prunus spinosa (g)</t>
  </si>
  <si>
    <t>Prunus padus (g)</t>
  </si>
  <si>
    <t>Prunus avium (g)</t>
  </si>
  <si>
    <t>Prunus avium (s)</t>
  </si>
  <si>
    <t>Pinus sylvestris (g)</t>
  </si>
  <si>
    <t>Pinus sylvestris (s)</t>
  </si>
  <si>
    <t>Larix decidua (g)</t>
  </si>
  <si>
    <t>Larix decidua (s)</t>
  </si>
  <si>
    <t>Ilex aquifolium (g)</t>
  </si>
  <si>
    <t>Fraxinus excelsior (g)</t>
  </si>
  <si>
    <t>Fraxinus excelsior (s)</t>
  </si>
  <si>
    <t>Fagus sylvatica (g)</t>
  </si>
  <si>
    <t>Fagus sylvatica (s)</t>
  </si>
  <si>
    <t>Crataegus monogyna (g)</t>
  </si>
  <si>
    <t>Corylus avellana (g)</t>
  </si>
  <si>
    <t>Betula pendula (g)</t>
  </si>
  <si>
    <t>Betula pendula (s)</t>
  </si>
  <si>
    <t>Betula pubescens (g)</t>
  </si>
  <si>
    <t>Betula pubescens (s)</t>
  </si>
  <si>
    <t>Alnus glutinosa (g)</t>
  </si>
  <si>
    <t>Alnus glutinosa (s)</t>
  </si>
  <si>
    <t>Acer pseudoplatanus (g)</t>
  </si>
  <si>
    <t>Acer pseudoplatanus (s)</t>
  </si>
  <si>
    <t>Acer campestre (g)</t>
  </si>
  <si>
    <t>Acer campestre (s)</t>
  </si>
  <si>
    <t>Sorbus aucuparia (s)</t>
  </si>
  <si>
    <t xml:space="preserve">Stereocaulon vesuvianum </t>
  </si>
  <si>
    <t xml:space="preserve">Stereocaulon evolutum </t>
  </si>
  <si>
    <t xml:space="preserve">Sphaerophorus globosus </t>
  </si>
  <si>
    <t xml:space="preserve">Sphaerophorus fragilis </t>
  </si>
  <si>
    <t xml:space="preserve">Solorina saccata </t>
  </si>
  <si>
    <t xml:space="preserve">Ramalina fastigiata </t>
  </si>
  <si>
    <t xml:space="preserve">Peltigera rufescens </t>
  </si>
  <si>
    <t xml:space="preserve">Peltigera polydactyla </t>
  </si>
  <si>
    <t xml:space="preserve">Peltigera canina </t>
  </si>
  <si>
    <t xml:space="preserve">Peltigera britannica </t>
  </si>
  <si>
    <t xml:space="preserve">Parmelia saxatilis </t>
  </si>
  <si>
    <t xml:space="preserve">Parmelia omphalodes </t>
  </si>
  <si>
    <t xml:space="preserve">Parmelia laevigata </t>
  </si>
  <si>
    <t xml:space="preserve">Hypogymnia physodes </t>
  </si>
  <si>
    <t xml:space="preserve">Coelocaulon muricatum </t>
  </si>
  <si>
    <t xml:space="preserve">Coelocaulon aculeatum </t>
  </si>
  <si>
    <t xml:space="preserve">Collema tenax </t>
  </si>
  <si>
    <t xml:space="preserve">Cladonia uncialis </t>
  </si>
  <si>
    <t xml:space="preserve">Cladonia ciliata var. tenuis </t>
  </si>
  <si>
    <t xml:space="preserve">Cladonia subulata </t>
  </si>
  <si>
    <t xml:space="preserve">Cladonia subrangiformis </t>
  </si>
  <si>
    <t xml:space="preserve">Cladonia subcervicornis </t>
  </si>
  <si>
    <t xml:space="preserve">Cladonia squamosa </t>
  </si>
  <si>
    <t xml:space="preserve">Cladonia scabriuscula </t>
  </si>
  <si>
    <t xml:space="preserve">Cladonia rangiformis </t>
  </si>
  <si>
    <t xml:space="preserve">Cladonia rangiferina </t>
  </si>
  <si>
    <t xml:space="preserve">Cladonia pyxidata </t>
  </si>
  <si>
    <t xml:space="preserve">Cladonia polydactyla </t>
  </si>
  <si>
    <t xml:space="preserve">Cladonia pocillum </t>
  </si>
  <si>
    <t xml:space="preserve">Cladonia ochrochlora </t>
  </si>
  <si>
    <t xml:space="preserve">Cladonia macilenta </t>
  </si>
  <si>
    <t xml:space="preserve">Cladonia luteoalba </t>
  </si>
  <si>
    <t xml:space="preserve">Cladonia fragilissima </t>
  </si>
  <si>
    <t xml:space="preserve">Cladonia portentosa </t>
  </si>
  <si>
    <t xml:space="preserve">Cladonia gracilis </t>
  </si>
  <si>
    <t xml:space="preserve">Cladonia glauca </t>
  </si>
  <si>
    <t xml:space="preserve">Cladonia furcata </t>
  </si>
  <si>
    <t xml:space="preserve">Cladonia floerkeana </t>
  </si>
  <si>
    <t xml:space="preserve">Cladonia fimbriata </t>
  </si>
  <si>
    <t xml:space="preserve">Cladonia digitata </t>
  </si>
  <si>
    <t xml:space="preserve">Cladonia metacorallifera </t>
  </si>
  <si>
    <t xml:space="preserve">Cladonia deformis </t>
  </si>
  <si>
    <t xml:space="preserve">Cladonia crispata </t>
  </si>
  <si>
    <t xml:space="preserve">Cladonia coniocraea </t>
  </si>
  <si>
    <t xml:space="preserve">Cladonia coccifera </t>
  </si>
  <si>
    <t xml:space="preserve">Cladonia chlorophaea </t>
  </si>
  <si>
    <t xml:space="preserve">Cladonia bellidiflora </t>
  </si>
  <si>
    <t xml:space="preserve">Cladonia arbuscula </t>
  </si>
  <si>
    <t xml:space="preserve">Cetraria nivalis </t>
  </si>
  <si>
    <t xml:space="preserve">Cetraria islandica </t>
  </si>
  <si>
    <t xml:space="preserve">Platismatia glauca </t>
  </si>
  <si>
    <t xml:space="preserve">Pseudephebe pubescens </t>
  </si>
  <si>
    <t xml:space="preserve">Alectoria nigricans </t>
  </si>
  <si>
    <t xml:space="preserve">Tritomaria quinquedentata </t>
  </si>
  <si>
    <t xml:space="preserve">Trichocolea tomentella </t>
  </si>
  <si>
    <t xml:space="preserve">Jungermannia atrovirens </t>
  </si>
  <si>
    <t xml:space="preserve">Jungermannia pumila </t>
  </si>
  <si>
    <t xml:space="preserve">Jungermannia exsertifolia </t>
  </si>
  <si>
    <t xml:space="preserve">Scapania undulata </t>
  </si>
  <si>
    <t xml:space="preserve">Scapania uliginosa </t>
  </si>
  <si>
    <t xml:space="preserve">Scapania nemorea </t>
  </si>
  <si>
    <t xml:space="preserve">Scapania irrigua </t>
  </si>
  <si>
    <t xml:space="preserve">Scapania gracilis </t>
  </si>
  <si>
    <t xml:space="preserve">Scapania degenii </t>
  </si>
  <si>
    <t xml:space="preserve">Saccogyna viticulosa </t>
  </si>
  <si>
    <t xml:space="preserve">Riccardia chamedryfolia </t>
  </si>
  <si>
    <t xml:space="preserve">Aneura pinguis </t>
  </si>
  <si>
    <t xml:space="preserve">Riccardia multifida </t>
  </si>
  <si>
    <t xml:space="preserve">Ptilidium ciliare </t>
  </si>
  <si>
    <t xml:space="preserve">Preissia quadrata </t>
  </si>
  <si>
    <t xml:space="preserve">Porella platyphylla </t>
  </si>
  <si>
    <t xml:space="preserve">Pleurozia purpurea </t>
  </si>
  <si>
    <t xml:space="preserve">Plagiochila spinulosa s.l. </t>
  </si>
  <si>
    <t xml:space="preserve">Plagiochila porelloides </t>
  </si>
  <si>
    <t xml:space="preserve">Pellia neesiana </t>
  </si>
  <si>
    <t xml:space="preserve">Pellia epiphylla </t>
  </si>
  <si>
    <t xml:space="preserve">Pellia endiviifolia </t>
  </si>
  <si>
    <t xml:space="preserve">Odontoschisma sphagni </t>
  </si>
  <si>
    <t xml:space="preserve">Nardia scalaris </t>
  </si>
  <si>
    <t xml:space="preserve">Nardia compressa </t>
  </si>
  <si>
    <t xml:space="preserve">Mylia taylorii </t>
  </si>
  <si>
    <t xml:space="preserve">Leptoscyphus cuneifolius </t>
  </si>
  <si>
    <t xml:space="preserve">Mylia anomala </t>
  </si>
  <si>
    <t xml:space="preserve">Metzgeria furcata </t>
  </si>
  <si>
    <t xml:space="preserve">Marsupella sprucei </t>
  </si>
  <si>
    <t xml:space="preserve">Marsupella emarginata </t>
  </si>
  <si>
    <t xml:space="preserve">Marchantia polymorpha </t>
  </si>
  <si>
    <t xml:space="preserve">Lunularia cruciata </t>
  </si>
  <si>
    <t xml:space="preserve">Lophozia ventricosa </t>
  </si>
  <si>
    <t xml:space="preserve">Lophozia bicrenata </t>
  </si>
  <si>
    <t xml:space="preserve">Lophozia sudetica </t>
  </si>
  <si>
    <t xml:space="preserve">Lophocolea heterophylla </t>
  </si>
  <si>
    <t xml:space="preserve">Lophocolea bidentata (cuspidata) </t>
  </si>
  <si>
    <t xml:space="preserve">Lophocolea bidentata </t>
  </si>
  <si>
    <t xml:space="preserve">Kurzia pauciflora </t>
  </si>
  <si>
    <t xml:space="preserve">Lepidozia reptans </t>
  </si>
  <si>
    <t xml:space="preserve">Lepidozia pearsonii </t>
  </si>
  <si>
    <t xml:space="preserve">Hygrobiella laxifolia </t>
  </si>
  <si>
    <t xml:space="preserve">Gymnomitrion obtusum </t>
  </si>
  <si>
    <t xml:space="preserve">Gymnomitrion crenulatum </t>
  </si>
  <si>
    <t xml:space="preserve">Gymnocolea inflata </t>
  </si>
  <si>
    <t xml:space="preserve">Frullania tamarisci </t>
  </si>
  <si>
    <t xml:space="preserve">Frullania dilatata </t>
  </si>
  <si>
    <t xml:space="preserve">Diplophyllum albicans </t>
  </si>
  <si>
    <t xml:space="preserve">Conocephalum conicum s.l. </t>
  </si>
  <si>
    <t xml:space="preserve">Cladopodiella fluitans </t>
  </si>
  <si>
    <t xml:space="preserve">Cephaloziella divaricata </t>
  </si>
  <si>
    <t xml:space="preserve">Cephaloziella massalongi </t>
  </si>
  <si>
    <t xml:space="preserve">Cephaloziella hampeana </t>
  </si>
  <si>
    <t xml:space="preserve">Cephalozia lunulifolia </t>
  </si>
  <si>
    <t xml:space="preserve">Cephalozia connivens </t>
  </si>
  <si>
    <t xml:space="preserve">Cephalozia bicuspidata </t>
  </si>
  <si>
    <t xml:space="preserve">Calypogeia azurea (trichomanis) </t>
  </si>
  <si>
    <t xml:space="preserve">Calypogeia sphagnicola </t>
  </si>
  <si>
    <t xml:space="preserve">Calypogeia muelleriana </t>
  </si>
  <si>
    <t xml:space="preserve">Calypogeia fissa </t>
  </si>
  <si>
    <t xml:space="preserve">Calypogeia arguta </t>
  </si>
  <si>
    <t xml:space="preserve">Bazzania tricrenata </t>
  </si>
  <si>
    <t xml:space="preserve">Barbilophozia lycopodioides </t>
  </si>
  <si>
    <t xml:space="preserve">Barbilophozia hatcheri </t>
  </si>
  <si>
    <t xml:space="preserve">Barbilophozia floerkei </t>
  </si>
  <si>
    <t xml:space="preserve">Barbilophozia barbata </t>
  </si>
  <si>
    <t xml:space="preserve">Barbilophozia atlantica </t>
  </si>
  <si>
    <t xml:space="preserve">Anthelia juratzkana </t>
  </si>
  <si>
    <t xml:space="preserve">Anthelia julacea </t>
  </si>
  <si>
    <t xml:space="preserve">Anastrophyllum donnianum </t>
  </si>
  <si>
    <t xml:space="preserve">Anastrepta orcadensis </t>
  </si>
  <si>
    <t xml:space="preserve">Weissia brachycarpa </t>
  </si>
  <si>
    <t xml:space="preserve">Seligeria carniolica </t>
  </si>
  <si>
    <t xml:space="preserve">Tortula cuneifolia </t>
  </si>
  <si>
    <t xml:space="preserve">Tortella tortuosa </t>
  </si>
  <si>
    <t xml:space="preserve">Thuidium tamariscinum </t>
  </si>
  <si>
    <t xml:space="preserve">Abietinella abietina </t>
  </si>
  <si>
    <t xml:space="preserve">Thamnobryum alopecurum </t>
  </si>
  <si>
    <t xml:space="preserve">Tetraphis pellucida </t>
  </si>
  <si>
    <t xml:space="preserve">Sphagnum tenellum </t>
  </si>
  <si>
    <t xml:space="preserve">Sphagnum squarrosum </t>
  </si>
  <si>
    <t xml:space="preserve">Sphagnum russowii </t>
  </si>
  <si>
    <t xml:space="preserve">Sphagnum recurvum s.l. </t>
  </si>
  <si>
    <t xml:space="preserve">Sphagnum quinquefarium </t>
  </si>
  <si>
    <t xml:space="preserve">Sphagnum subnitens </t>
  </si>
  <si>
    <t xml:space="preserve">Sphagnum papillosum </t>
  </si>
  <si>
    <t xml:space="preserve">Sphagnum palustre </t>
  </si>
  <si>
    <t xml:space="preserve">Sphagnum magellanicum </t>
  </si>
  <si>
    <t xml:space="preserve">Sphagnum girgensohnii </t>
  </si>
  <si>
    <t xml:space="preserve">Sphagnum fimbriatum </t>
  </si>
  <si>
    <t xml:space="preserve">Sphagnum cuspidatum </t>
  </si>
  <si>
    <t xml:space="preserve">Sphagnum compactum </t>
  </si>
  <si>
    <t xml:space="preserve">Sphagnum capillifolium </t>
  </si>
  <si>
    <t xml:space="preserve">Seligeria recurvata </t>
  </si>
  <si>
    <t xml:space="preserve">Scleropodium cespitans </t>
  </si>
  <si>
    <t xml:space="preserve">Rhytidium rugosum </t>
  </si>
  <si>
    <t xml:space="preserve">Rhytidiadelphus triquetrus </t>
  </si>
  <si>
    <t xml:space="preserve">Rhytidiadelphus squarrosus </t>
  </si>
  <si>
    <t xml:space="preserve">Rhytidiadelphus loreus </t>
  </si>
  <si>
    <t xml:space="preserve">Oxyrrhynchium pumilum </t>
  </si>
  <si>
    <t xml:space="preserve">Rhodobryum roseum </t>
  </si>
  <si>
    <t xml:space="preserve">Racomitrium lanuginosum </t>
  </si>
  <si>
    <t xml:space="preserve">Racomitrium heterostichum s.l. </t>
  </si>
  <si>
    <t xml:space="preserve">Racomitrium fasciculare </t>
  </si>
  <si>
    <t xml:space="preserve">Racomitrium canescens s.l. </t>
  </si>
  <si>
    <t xml:space="preserve">Racomitrium aquaticum </t>
  </si>
  <si>
    <t xml:space="preserve">Racomitrium aciculare </t>
  </si>
  <si>
    <t xml:space="preserve">Ptilium crista-castrensis </t>
  </si>
  <si>
    <t xml:space="preserve">Pseudoscleropodium purum </t>
  </si>
  <si>
    <t xml:space="preserve">Tortula truncata </t>
  </si>
  <si>
    <t xml:space="preserve">Pogonatum urnigerum </t>
  </si>
  <si>
    <t xml:space="preserve">Polytrichum piliferum </t>
  </si>
  <si>
    <t xml:space="preserve">Polytrichum juniperinum </t>
  </si>
  <si>
    <t xml:space="preserve">Polytrichastrum formosum </t>
  </si>
  <si>
    <t xml:space="preserve">Polytrichum commune </t>
  </si>
  <si>
    <t xml:space="preserve">Polytrichastrum alpinum </t>
  </si>
  <si>
    <t xml:space="preserve">Polytrichum strictum </t>
  </si>
  <si>
    <t xml:space="preserve">Pogonatum aloides </t>
  </si>
  <si>
    <t xml:space="preserve">Pohlia wahlenbergii </t>
  </si>
  <si>
    <t xml:space="preserve">Pohlia nutans </t>
  </si>
  <si>
    <t xml:space="preserve">Pohlia melanodon </t>
  </si>
  <si>
    <t xml:space="preserve">Pleurozium schreberi </t>
  </si>
  <si>
    <t xml:space="preserve">Pleurochaete squarrosa </t>
  </si>
  <si>
    <t xml:space="preserve">Plagiothecium undulatum </t>
  </si>
  <si>
    <t xml:space="preserve">Plagiothecium succulentum </t>
  </si>
  <si>
    <t xml:space="preserve">Plagiothecium nemorale </t>
  </si>
  <si>
    <t xml:space="preserve">Plagiothecium denticulatum </t>
  </si>
  <si>
    <t xml:space="preserve">Philonotis fontana </t>
  </si>
  <si>
    <t xml:space="preserve">Phascum cuspidatum </t>
  </si>
  <si>
    <t xml:space="preserve">Orthodontium lineare </t>
  </si>
  <si>
    <t xml:space="preserve">Oligotrichum hercynicum </t>
  </si>
  <si>
    <t xml:space="preserve">Neckera crispa </t>
  </si>
  <si>
    <t xml:space="preserve">Neckera complanata </t>
  </si>
  <si>
    <t xml:space="preserve">Plagiomnium undulatum </t>
  </si>
  <si>
    <t xml:space="preserve">Mnium spinosum </t>
  </si>
  <si>
    <t xml:space="preserve">Plagiomnium elatum </t>
  </si>
  <si>
    <t xml:space="preserve">Rhizomnium punctatum </t>
  </si>
  <si>
    <t xml:space="preserve">Rhizomnium pseudopunctatum </t>
  </si>
  <si>
    <t xml:space="preserve">Plagiomnium rostratum </t>
  </si>
  <si>
    <t xml:space="preserve">Mnium hornum </t>
  </si>
  <si>
    <t xml:space="preserve">Plagiomnium cuspidatum </t>
  </si>
  <si>
    <t xml:space="preserve">Plagiomnium affine </t>
  </si>
  <si>
    <t xml:space="preserve">Leucobryum glaucum </t>
  </si>
  <si>
    <t xml:space="preserve">Leptodontium flexifolium </t>
  </si>
  <si>
    <t xml:space="preserve">Isothecium alopecuroides </t>
  </si>
  <si>
    <t xml:space="preserve">Isothecium myosuroides </t>
  </si>
  <si>
    <t xml:space="preserve">Pseudotaxiphyllum elegans </t>
  </si>
  <si>
    <t xml:space="preserve">Taxiphyllum wissgrillii </t>
  </si>
  <si>
    <t xml:space="preserve">Hypnum cupressiforme </t>
  </si>
  <si>
    <t xml:space="preserve">Hypnum bambergeri </t>
  </si>
  <si>
    <t xml:space="preserve">Hyocomium armoricum </t>
  </si>
  <si>
    <t xml:space="preserve">Hylocomium splendens </t>
  </si>
  <si>
    <t xml:space="preserve">Hygrohypnum ochraceum </t>
  </si>
  <si>
    <t xml:space="preserve">Hygrohypnum luridum </t>
  </si>
  <si>
    <t xml:space="preserve">Heterocladium heteropterum </t>
  </si>
  <si>
    <t xml:space="preserve">Schistidium strictum </t>
  </si>
  <si>
    <t xml:space="preserve">Grimmia donniana </t>
  </si>
  <si>
    <t xml:space="preserve">Funaria hygrometrica </t>
  </si>
  <si>
    <t xml:space="preserve">Fissidens viridulus </t>
  </si>
  <si>
    <t xml:space="preserve">Fissidens taxifolius </t>
  </si>
  <si>
    <t xml:space="preserve">Fissidens osmundoides </t>
  </si>
  <si>
    <t xml:space="preserve">Fissidens incurvus </t>
  </si>
  <si>
    <t xml:space="preserve">Fissidens dubius </t>
  </si>
  <si>
    <t xml:space="preserve">Fissidens celticus </t>
  </si>
  <si>
    <t xml:space="preserve">Fissidens bryoides var. bryoides </t>
  </si>
  <si>
    <t xml:space="preserve">Fissidens adianthoides </t>
  </si>
  <si>
    <t xml:space="preserve">Oxyrrhynchium hians </t>
  </si>
  <si>
    <t xml:space="preserve">Eurhynchium striatum </t>
  </si>
  <si>
    <t xml:space="preserve">Kindbergia praelonga </t>
  </si>
  <si>
    <t xml:space="preserve">Rhynchostegium confertum </t>
  </si>
  <si>
    <t xml:space="preserve">Ephemerum sessile </t>
  </si>
  <si>
    <t xml:space="preserve">Entodon concinnus </t>
  </si>
  <si>
    <t xml:space="preserve">Drepanocladus sendtneri </t>
  </si>
  <si>
    <t xml:space="preserve">Scorpidium revolvens s.l. </t>
  </si>
  <si>
    <t xml:space="preserve">Warnstorfia fluitans </t>
  </si>
  <si>
    <t xml:space="preserve">Ditrichum heteromallum </t>
  </si>
  <si>
    <t xml:space="preserve">Ditrichum flexicaule s.l. </t>
  </si>
  <si>
    <t xml:space="preserve">Dicranum scottianum </t>
  </si>
  <si>
    <t xml:space="preserve">Dicranum scoparium </t>
  </si>
  <si>
    <t xml:space="preserve">Dicranum polysetum </t>
  </si>
  <si>
    <t xml:space="preserve">Dicranum majus </t>
  </si>
  <si>
    <t xml:space="preserve">Dicranum fuscescens </t>
  </si>
  <si>
    <t xml:space="preserve">Dicranum bonjeanii </t>
  </si>
  <si>
    <t xml:space="preserve">Dicranoweisia cirrata </t>
  </si>
  <si>
    <t xml:space="preserve">Dicranodontium denudatum </t>
  </si>
  <si>
    <t xml:space="preserve">Dicranella varia </t>
  </si>
  <si>
    <t xml:space="preserve">Dicranella schreberiana </t>
  </si>
  <si>
    <t xml:space="preserve">Dichodontium palustre </t>
  </si>
  <si>
    <t xml:space="preserve">Dicranella heteromalla </t>
  </si>
  <si>
    <t xml:space="preserve">Tortula cernua </t>
  </si>
  <si>
    <t xml:space="preserve">Ctenidium molluscum </t>
  </si>
  <si>
    <t xml:space="preserve">Cratoneuron filicinum </t>
  </si>
  <si>
    <t xml:space="preserve">Palustriella commutata s.l. </t>
  </si>
  <si>
    <t xml:space="preserve">Climacium dendroides </t>
  </si>
  <si>
    <t xml:space="preserve">Cirriphyllum piliferum </t>
  </si>
  <si>
    <t xml:space="preserve">Cirriphyllum crassinervium </t>
  </si>
  <si>
    <t xml:space="preserve">Ceratodon purpureus </t>
  </si>
  <si>
    <t xml:space="preserve">Catoscopium nigritum </t>
  </si>
  <si>
    <t xml:space="preserve">Campylopus pyriformis </t>
  </si>
  <si>
    <t xml:space="preserve">Campylopus introflexus </t>
  </si>
  <si>
    <t xml:space="preserve">Campylopus fragilis </t>
  </si>
  <si>
    <t xml:space="preserve">Campylopus flexuosus </t>
  </si>
  <si>
    <t xml:space="preserve">Campylopus atrovirens </t>
  </si>
  <si>
    <t xml:space="preserve">Campylium stellatum s.l. </t>
  </si>
  <si>
    <t xml:space="preserve">Campyliadelphus chrysophyllus </t>
  </si>
  <si>
    <t xml:space="preserve">Homalothecium sericeum </t>
  </si>
  <si>
    <t xml:space="preserve">Homalothecium lutescens </t>
  </si>
  <si>
    <t xml:space="preserve">Bryum rubens </t>
  </si>
  <si>
    <t xml:space="preserve">Bryum pseudotriquetrum </t>
  </si>
  <si>
    <t xml:space="preserve">Bryum pallescens </t>
  </si>
  <si>
    <t xml:space="preserve">Bryum pallens </t>
  </si>
  <si>
    <t xml:space="preserve">Bryum capillare </t>
  </si>
  <si>
    <t xml:space="preserve">Bryum alpinum </t>
  </si>
  <si>
    <t xml:space="preserve">Breutelia chrysocoma </t>
  </si>
  <si>
    <t xml:space="preserve">Brachytheciastrum velutinum </t>
  </si>
  <si>
    <t xml:space="preserve">Brachythecium rutabulum </t>
  </si>
  <si>
    <t xml:space="preserve">Brachythecium rivulare </t>
  </si>
  <si>
    <t xml:space="preserve">Sciuro-hypnum plumosum </t>
  </si>
  <si>
    <t xml:space="preserve">Brachythecium albicans </t>
  </si>
  <si>
    <t xml:space="preserve">Blindia acuta </t>
  </si>
  <si>
    <t xml:space="preserve">Barbula unguiculata </t>
  </si>
  <si>
    <t xml:space="preserve">Bryoerythrophyllum ferruginascens </t>
  </si>
  <si>
    <t xml:space="preserve">Barbula convoluta </t>
  </si>
  <si>
    <t xml:space="preserve">Aulacomnium palustre </t>
  </si>
  <si>
    <t xml:space="preserve">Aulacomnium androgynum </t>
  </si>
  <si>
    <t xml:space="preserve">Atrichum undulatum </t>
  </si>
  <si>
    <t xml:space="preserve">Anomobryum julaceum s.l. </t>
  </si>
  <si>
    <t xml:space="preserve">Andreaea rupestris </t>
  </si>
  <si>
    <t xml:space="preserve">Andreaea rothii </t>
  </si>
  <si>
    <t xml:space="preserve">Andreaea alpina </t>
  </si>
  <si>
    <t xml:space="preserve">Amphidium mougeotii </t>
  </si>
  <si>
    <t xml:space="preserve">Hygroamblystegium varium </t>
  </si>
  <si>
    <t xml:space="preserve">Amblystegium serpens </t>
  </si>
  <si>
    <t xml:space="preserve">Amblystegium confervoides </t>
  </si>
  <si>
    <t xml:space="preserve">Straminergon stramineum </t>
  </si>
  <si>
    <t xml:space="preserve">Sarmentypnum sarmentosum </t>
  </si>
  <si>
    <t xml:space="preserve">Calliergon giganteum </t>
  </si>
  <si>
    <t xml:space="preserve">Calliergonella cuspidata </t>
  </si>
  <si>
    <t xml:space="preserve">Calliergon cordifolium </t>
  </si>
  <si>
    <t xml:space="preserve">Wahlenbergia hederacea </t>
  </si>
  <si>
    <t xml:space="preserve">Viola rupestris </t>
  </si>
  <si>
    <t xml:space="preserve">Viola riviniana </t>
  </si>
  <si>
    <t xml:space="preserve">Viola palustris </t>
  </si>
  <si>
    <t xml:space="preserve">Viola odorata </t>
  </si>
  <si>
    <t xml:space="preserve">Viola lutea </t>
  </si>
  <si>
    <t xml:space="preserve">Viola hirta </t>
  </si>
  <si>
    <t xml:space="preserve">Viola canina </t>
  </si>
  <si>
    <t xml:space="preserve">Vicia tetrasperma </t>
  </si>
  <si>
    <t xml:space="preserve">Vicia sepium </t>
  </si>
  <si>
    <t xml:space="preserve">Vicia lutea </t>
  </si>
  <si>
    <t xml:space="preserve">Vicia hirsuta </t>
  </si>
  <si>
    <t xml:space="preserve">Vicia cracca </t>
  </si>
  <si>
    <t xml:space="preserve">Vicia sativa subsp. nigra </t>
  </si>
  <si>
    <t>Viburnum opulus (s)</t>
  </si>
  <si>
    <t xml:space="preserve">Veronica serpyllifolia subsp. humifusa </t>
  </si>
  <si>
    <t xml:space="preserve">Veronica serpyllifolia subsp. serpyllifolia </t>
  </si>
  <si>
    <t xml:space="preserve">Veronica scutellata </t>
  </si>
  <si>
    <t xml:space="preserve">Veronica persica </t>
  </si>
  <si>
    <t xml:space="preserve">Veronica officinalis </t>
  </si>
  <si>
    <t xml:space="preserve">Veronica montana </t>
  </si>
  <si>
    <t xml:space="preserve">Veronica hederifolia </t>
  </si>
  <si>
    <t xml:space="preserve">Veronica fruticans </t>
  </si>
  <si>
    <t xml:space="preserve">Veronica filiformis </t>
  </si>
  <si>
    <t xml:space="preserve">Veronica chamaedrys </t>
  </si>
  <si>
    <t xml:space="preserve">Veronica catenata </t>
  </si>
  <si>
    <t xml:space="preserve">Veronica beccabunga </t>
  </si>
  <si>
    <t xml:space="preserve">Veronica arvensis </t>
  </si>
  <si>
    <t xml:space="preserve">Veronica agrestis </t>
  </si>
  <si>
    <t xml:space="preserve">Verbascum thapsus </t>
  </si>
  <si>
    <t xml:space="preserve">Valerianella locusta </t>
  </si>
  <si>
    <t xml:space="preserve">Valeriana officinalis </t>
  </si>
  <si>
    <t xml:space="preserve">Valeriana dioica </t>
  </si>
  <si>
    <t xml:space="preserve">Vaccinium vitis-idaea </t>
  </si>
  <si>
    <t xml:space="preserve">Vaccinium uliginosum </t>
  </si>
  <si>
    <t xml:space="preserve">Vaccinium oxycoccos </t>
  </si>
  <si>
    <t xml:space="preserve">Vaccinium myrtillus </t>
  </si>
  <si>
    <t xml:space="preserve">Utricularia vulgaris s.l. </t>
  </si>
  <si>
    <t xml:space="preserve">Urtica urens </t>
  </si>
  <si>
    <t xml:space="preserve">Urtica dioica </t>
  </si>
  <si>
    <t xml:space="preserve">Ulmus procera </t>
  </si>
  <si>
    <t>Ulmus glabra (c)</t>
  </si>
  <si>
    <t xml:space="preserve">Ulex gallii </t>
  </si>
  <si>
    <t>Ulex europaeus (s)</t>
  </si>
  <si>
    <t xml:space="preserve">Typha latifolia </t>
  </si>
  <si>
    <t xml:space="preserve">Trollius europaeus </t>
  </si>
  <si>
    <t xml:space="preserve">Trisetum flavescens </t>
  </si>
  <si>
    <t xml:space="preserve">Triglochin palustre </t>
  </si>
  <si>
    <t xml:space="preserve">Triglochin maritimum </t>
  </si>
  <si>
    <t xml:space="preserve">Trifolium repens </t>
  </si>
  <si>
    <t xml:space="preserve">Trifolium pratense </t>
  </si>
  <si>
    <t xml:space="preserve">Trifolium medium </t>
  </si>
  <si>
    <t xml:space="preserve">Trifolium dubium </t>
  </si>
  <si>
    <t xml:space="preserve">Trifolium campestre </t>
  </si>
  <si>
    <t xml:space="preserve">Trientalis europaea </t>
  </si>
  <si>
    <t xml:space="preserve">Tragopogon pratensis </t>
  </si>
  <si>
    <t xml:space="preserve">Torilis japonica </t>
  </si>
  <si>
    <t>Tilia cordata x platyphyllos (T. x europaea) (c)</t>
  </si>
  <si>
    <t xml:space="preserve">Thymus polytrichus </t>
  </si>
  <si>
    <t xml:space="preserve">Phegopteris connectilis </t>
  </si>
  <si>
    <t xml:space="preserve">Oreopteris limbosperma </t>
  </si>
  <si>
    <t xml:space="preserve">Gymnocarpium dryopteris </t>
  </si>
  <si>
    <t>Cornus sanguinea (s)</t>
  </si>
  <si>
    <t xml:space="preserve">Thalictrum alpinum </t>
  </si>
  <si>
    <t xml:space="preserve">Teucrium scorodonia </t>
  </si>
  <si>
    <t>Taxus baccata (c)</t>
  </si>
  <si>
    <t xml:space="preserve">Tamus communis </t>
  </si>
  <si>
    <t xml:space="preserve">Succisa pratensis </t>
  </si>
  <si>
    <t xml:space="preserve">Stellaria palustris </t>
  </si>
  <si>
    <t xml:space="preserve">Stellaria media </t>
  </si>
  <si>
    <t xml:space="preserve">Stellaria holostea </t>
  </si>
  <si>
    <t xml:space="preserve">Stellaria graminea </t>
  </si>
  <si>
    <t xml:space="preserve">Stellaria uliginosa </t>
  </si>
  <si>
    <t xml:space="preserve">Stachys sylvatica </t>
  </si>
  <si>
    <t xml:space="preserve">Stachys palustris </t>
  </si>
  <si>
    <t xml:space="preserve">Stachys arvensis </t>
  </si>
  <si>
    <t xml:space="preserve">Spergula arvensis </t>
  </si>
  <si>
    <t>Sorbus aucuparia (c)</t>
  </si>
  <si>
    <t>Sorbus aria (c)</t>
  </si>
  <si>
    <t xml:space="preserve">Sonchus oleraceus </t>
  </si>
  <si>
    <t xml:space="preserve">Sonchus asper </t>
  </si>
  <si>
    <t xml:space="preserve">Sonchus arvensis </t>
  </si>
  <si>
    <t xml:space="preserve">Solidago virgaurea </t>
  </si>
  <si>
    <t>Solanum dulcamara (g)</t>
  </si>
  <si>
    <t xml:space="preserve">Silene vulgaris </t>
  </si>
  <si>
    <t xml:space="preserve">Silene dioica </t>
  </si>
  <si>
    <t xml:space="preserve">Silene dioica x latifolia (S. x hampeana) </t>
  </si>
  <si>
    <t xml:space="preserve">Silene latifolia </t>
  </si>
  <si>
    <t xml:space="preserve">Danthonia decumbens </t>
  </si>
  <si>
    <t xml:space="preserve">Sherardia arvensis </t>
  </si>
  <si>
    <t xml:space="preserve">Sesleria caerulea </t>
  </si>
  <si>
    <t xml:space="preserve">Senecio vulgaris </t>
  </si>
  <si>
    <t xml:space="preserve">Senecio sylvaticus </t>
  </si>
  <si>
    <t xml:space="preserve">Senecio jacobaea </t>
  </si>
  <si>
    <t xml:space="preserve">Senecio erucifolius </t>
  </si>
  <si>
    <t xml:space="preserve">Selaginella selaginoides </t>
  </si>
  <si>
    <t xml:space="preserve">Sedum villosum </t>
  </si>
  <si>
    <t xml:space="preserve">Sedum anglicum </t>
  </si>
  <si>
    <t xml:space="preserve">Sedum acre </t>
  </si>
  <si>
    <t xml:space="preserve">Scutellaria minor </t>
  </si>
  <si>
    <t xml:space="preserve">Scrophularia nodosa </t>
  </si>
  <si>
    <t xml:space="preserve">Isolepis setacea </t>
  </si>
  <si>
    <t xml:space="preserve">Trichophorum cespitosum </t>
  </si>
  <si>
    <t xml:space="preserve">Isolepis cernua </t>
  </si>
  <si>
    <t xml:space="preserve">Scabiosa columbaria </t>
  </si>
  <si>
    <t xml:space="preserve">Saxifraga stellaris </t>
  </si>
  <si>
    <t xml:space="preserve">Saxifraga oppositifolia </t>
  </si>
  <si>
    <t xml:space="preserve">Saxifraga hypnoides </t>
  </si>
  <si>
    <t xml:space="preserve">Saxifraga hirculus </t>
  </si>
  <si>
    <t xml:space="preserve">Saxifraga granulata </t>
  </si>
  <si>
    <t xml:space="preserve">Saponaria officinalis </t>
  </si>
  <si>
    <t xml:space="preserve">Sanicula europaea </t>
  </si>
  <si>
    <t xml:space="preserve">Sanguisorba officinalis </t>
  </si>
  <si>
    <t>Sambucus nigra (s)</t>
  </si>
  <si>
    <t>Salix viminalis (c)</t>
  </si>
  <si>
    <t xml:space="preserve">Salix repens </t>
  </si>
  <si>
    <t xml:space="preserve">Salix myrsinites </t>
  </si>
  <si>
    <t xml:space="preserve">Salix herbacea </t>
  </si>
  <si>
    <t>Salix cinerea (s)</t>
  </si>
  <si>
    <t>Salix caprea (s)</t>
  </si>
  <si>
    <t>Salix aurita (s)</t>
  </si>
  <si>
    <t xml:space="preserve">Sagina subulata </t>
  </si>
  <si>
    <t xml:space="preserve">Sagina procumbens </t>
  </si>
  <si>
    <t xml:space="preserve">Sagina nodosa </t>
  </si>
  <si>
    <t xml:space="preserve">Sagina apetala subsp. apetala </t>
  </si>
  <si>
    <t xml:space="preserve">Ruscus aculeatus </t>
  </si>
  <si>
    <t xml:space="preserve">Rumex sanguineus </t>
  </si>
  <si>
    <t xml:space="preserve">Rumex obtusifolius </t>
  </si>
  <si>
    <t xml:space="preserve">Rumex crispus </t>
  </si>
  <si>
    <t xml:space="preserve">Rumex conglomeratus </t>
  </si>
  <si>
    <t xml:space="preserve">Rumex acetosella </t>
  </si>
  <si>
    <t xml:space="preserve">Rumex acetosa </t>
  </si>
  <si>
    <t xml:space="preserve">Rubus saxatilis </t>
  </si>
  <si>
    <t xml:space="preserve">Rubus idaeus </t>
  </si>
  <si>
    <t xml:space="preserve">Rubus fruticosus agg. </t>
  </si>
  <si>
    <t xml:space="preserve">Rubus chamaemorus </t>
  </si>
  <si>
    <t xml:space="preserve">Rubus caesius </t>
  </si>
  <si>
    <t xml:space="preserve">Rosa canina agg. </t>
  </si>
  <si>
    <t xml:space="preserve">Rosa arvensis </t>
  </si>
  <si>
    <t xml:space="preserve">Rorippa nasturtium-aquaticum </t>
  </si>
  <si>
    <t xml:space="preserve">Ribes uva-crispa </t>
  </si>
  <si>
    <t>Ribes rubrum (s)</t>
  </si>
  <si>
    <t xml:space="preserve">Ribes nigrum </t>
  </si>
  <si>
    <t xml:space="preserve">Rhynchospora alba </t>
  </si>
  <si>
    <t>Rhododendron ponticum (s)</t>
  </si>
  <si>
    <t xml:space="preserve">Rhinanthus minor </t>
  </si>
  <si>
    <t xml:space="preserve">Rhamnus cathartica </t>
  </si>
  <si>
    <t xml:space="preserve">Ranunculus sardous </t>
  </si>
  <si>
    <t xml:space="preserve">Ranunculus reptans </t>
  </si>
  <si>
    <t xml:space="preserve">Ranunculus repens </t>
  </si>
  <si>
    <t xml:space="preserve">Ranunculus parviflorus </t>
  </si>
  <si>
    <t xml:space="preserve">Ranunculus flammula </t>
  </si>
  <si>
    <t xml:space="preserve">Ranunculus ficaria </t>
  </si>
  <si>
    <t xml:space="preserve">Ranunculus bulbosus </t>
  </si>
  <si>
    <t xml:space="preserve">Ranunculus arvensis </t>
  </si>
  <si>
    <t xml:space="preserve">Ranunculus acris </t>
  </si>
  <si>
    <t>Quercus robur (c)</t>
  </si>
  <si>
    <t>Quercus petraea (c)</t>
  </si>
  <si>
    <t>Quercus cerris (c)</t>
  </si>
  <si>
    <t xml:space="preserve">Pulicaria dysenterica </t>
  </si>
  <si>
    <t xml:space="preserve">Pteridium aquilinum </t>
  </si>
  <si>
    <t>Prunus spinosa (s)</t>
  </si>
  <si>
    <t>Prunus padus (s)</t>
  </si>
  <si>
    <t xml:space="preserve">Prunus laurocerasus </t>
  </si>
  <si>
    <t>Prunus avium (c)</t>
  </si>
  <si>
    <t xml:space="preserve">Prunella vulgaris </t>
  </si>
  <si>
    <t xml:space="preserve">Primula vulgaris </t>
  </si>
  <si>
    <t xml:space="preserve">Primula veris </t>
  </si>
  <si>
    <t xml:space="preserve">Primula farinosa </t>
  </si>
  <si>
    <t xml:space="preserve">Sanguisorba minor </t>
  </si>
  <si>
    <t xml:space="preserve">Potentilla sterilis </t>
  </si>
  <si>
    <t xml:space="preserve">Potentilla reptans </t>
  </si>
  <si>
    <t xml:space="preserve">Potentilla palustris </t>
  </si>
  <si>
    <t xml:space="preserve">Potentilla erecta </t>
  </si>
  <si>
    <t xml:space="preserve">Potentilla anserina </t>
  </si>
  <si>
    <t xml:space="preserve">Potamogeton polygonifolius </t>
  </si>
  <si>
    <t>Populus tremula (c)</t>
  </si>
  <si>
    <t xml:space="preserve">Populus nigra s.l. </t>
  </si>
  <si>
    <t>Populus alba x tremula (P. x canescens) (c)</t>
  </si>
  <si>
    <t xml:space="preserve">Polypodium vulgare </t>
  </si>
  <si>
    <t xml:space="preserve">Polypodium cambricum </t>
  </si>
  <si>
    <t xml:space="preserve">Persicaria vivipara </t>
  </si>
  <si>
    <t xml:space="preserve">Persicaria wallichii </t>
  </si>
  <si>
    <t xml:space="preserve">Persicaria maculosa </t>
  </si>
  <si>
    <t xml:space="preserve">Persicaria lapathifolia </t>
  </si>
  <si>
    <t xml:space="preserve">Persicaria hydropiper </t>
  </si>
  <si>
    <t xml:space="preserve">Fallopia convolvulus </t>
  </si>
  <si>
    <t xml:space="preserve">Polygonum aviculare </t>
  </si>
  <si>
    <t xml:space="preserve">Polygala vulgaris </t>
  </si>
  <si>
    <t xml:space="preserve">Polygala serpyllifolia </t>
  </si>
  <si>
    <t xml:space="preserve">Poa trivialis </t>
  </si>
  <si>
    <t xml:space="preserve">Poa humilis </t>
  </si>
  <si>
    <t xml:space="preserve">Poa pratensis s.str. </t>
  </si>
  <si>
    <t xml:space="preserve">Poa palustris </t>
  </si>
  <si>
    <t xml:space="preserve">Poa nemoralis </t>
  </si>
  <si>
    <t xml:space="preserve">Poa compressa </t>
  </si>
  <si>
    <t xml:space="preserve">Poa chaixii </t>
  </si>
  <si>
    <t xml:space="preserve">Poa annua </t>
  </si>
  <si>
    <t xml:space="preserve">Poa angustifolia </t>
  </si>
  <si>
    <t xml:space="preserve">Plantago media </t>
  </si>
  <si>
    <t xml:space="preserve">Plantago maritima </t>
  </si>
  <si>
    <t xml:space="preserve">Plantago major </t>
  </si>
  <si>
    <t xml:space="preserve">Plantago lanceolata </t>
  </si>
  <si>
    <t>Pinus sylvestris (c)</t>
  </si>
  <si>
    <t xml:space="preserve">Pinguicula vulgaris </t>
  </si>
  <si>
    <t xml:space="preserve">Pinguicula lusitanica </t>
  </si>
  <si>
    <t xml:space="preserve">Pimpinella saxifraga </t>
  </si>
  <si>
    <t xml:space="preserve">Pilosella officinarum agg </t>
  </si>
  <si>
    <t xml:space="preserve">Picris hieracioides </t>
  </si>
  <si>
    <t xml:space="preserve">Phyllitis scolopendrium </t>
  </si>
  <si>
    <t xml:space="preserve">Phragmites australis </t>
  </si>
  <si>
    <t xml:space="preserve">Phleum pratense </t>
  </si>
  <si>
    <t xml:space="preserve">Phleum bertolonii </t>
  </si>
  <si>
    <t xml:space="preserve">Phalaris canariensis </t>
  </si>
  <si>
    <t xml:space="preserve">Phalaris arundinacea </t>
  </si>
  <si>
    <t xml:space="preserve">Pedicularis sylvatica </t>
  </si>
  <si>
    <t xml:space="preserve">Pedicularis palustris </t>
  </si>
  <si>
    <t xml:space="preserve">Pastinaca sativa </t>
  </si>
  <si>
    <t xml:space="preserve">Parnassia palustris </t>
  </si>
  <si>
    <t xml:space="preserve">Oxalis acetosella </t>
  </si>
  <si>
    <t xml:space="preserve">Osmunda regalis </t>
  </si>
  <si>
    <t xml:space="preserve">Ornithogalum umbellatum </t>
  </si>
  <si>
    <t xml:space="preserve">Ophioglossum vulgatum </t>
  </si>
  <si>
    <t xml:space="preserve">Ononis repens </t>
  </si>
  <si>
    <t xml:space="preserve">Oenanthe crocata </t>
  </si>
  <si>
    <t xml:space="preserve">Odontites vernus </t>
  </si>
  <si>
    <t xml:space="preserve">Nuphar pumila </t>
  </si>
  <si>
    <t xml:space="preserve">Narthecium ossifragum </t>
  </si>
  <si>
    <t xml:space="preserve">Nardus stricta </t>
  </si>
  <si>
    <t xml:space="preserve">Myrica gale </t>
  </si>
  <si>
    <t xml:space="preserve">Myosotis sylvatica </t>
  </si>
  <si>
    <t xml:space="preserve">Myosotis secunda </t>
  </si>
  <si>
    <t xml:space="preserve">Myosotis scorpioides </t>
  </si>
  <si>
    <t xml:space="preserve">Myosotis ramosissima </t>
  </si>
  <si>
    <t xml:space="preserve">Myosotis discolor </t>
  </si>
  <si>
    <t xml:space="preserve">Myosotis laxa </t>
  </si>
  <si>
    <t xml:space="preserve">Myosotis stolonifera </t>
  </si>
  <si>
    <t xml:space="preserve">Myosotis arvensis </t>
  </si>
  <si>
    <t xml:space="preserve">Mycelis muralis </t>
  </si>
  <si>
    <t xml:space="preserve">Claytonia sibirica </t>
  </si>
  <si>
    <t xml:space="preserve">Montia fontana </t>
  </si>
  <si>
    <t xml:space="preserve">Molinia caerulea </t>
  </si>
  <si>
    <t xml:space="preserve">Moehringia trinervia </t>
  </si>
  <si>
    <t xml:space="preserve">Minuartia verna </t>
  </si>
  <si>
    <t xml:space="preserve">Milium effusum </t>
  </si>
  <si>
    <t xml:space="preserve">Mercurialis perennis </t>
  </si>
  <si>
    <t xml:space="preserve">Mercurialis annua </t>
  </si>
  <si>
    <t xml:space="preserve">Mentha arvensis </t>
  </si>
  <si>
    <t xml:space="preserve">Mentha aquatica </t>
  </si>
  <si>
    <t xml:space="preserve">Melica uniflora </t>
  </si>
  <si>
    <t xml:space="preserve">Melampyrum pratense </t>
  </si>
  <si>
    <t xml:space="preserve">Medicago lupulina </t>
  </si>
  <si>
    <t xml:space="preserve">Matricaria recutita </t>
  </si>
  <si>
    <t xml:space="preserve">Matricaria discoidea </t>
  </si>
  <si>
    <t xml:space="preserve">Lythrum salicaria </t>
  </si>
  <si>
    <t xml:space="preserve">Lysimachia vulgaris </t>
  </si>
  <si>
    <t xml:space="preserve">Lysimachia nummularia </t>
  </si>
  <si>
    <t xml:space="preserve">Lysimachia nemorum </t>
  </si>
  <si>
    <t xml:space="preserve">Huperzia selago </t>
  </si>
  <si>
    <t xml:space="preserve">Lycopodium clavatum </t>
  </si>
  <si>
    <t xml:space="preserve">Lycopodium annotinum </t>
  </si>
  <si>
    <t xml:space="preserve">Diphasiastrum alpinum </t>
  </si>
  <si>
    <t xml:space="preserve">Lychnis flos-cuculi </t>
  </si>
  <si>
    <t xml:space="preserve">Luzula sylvatica </t>
  </si>
  <si>
    <t xml:space="preserve">Luzula spicata </t>
  </si>
  <si>
    <t xml:space="preserve">Luzula pilosa </t>
  </si>
  <si>
    <t xml:space="preserve">Luzula multiflora </t>
  </si>
  <si>
    <t xml:space="preserve">Luzula luzuloides </t>
  </si>
  <si>
    <t xml:space="preserve">Luzula campestris </t>
  </si>
  <si>
    <t xml:space="preserve">Lotus pedunculatus </t>
  </si>
  <si>
    <t xml:space="preserve">Lotus glaber </t>
  </si>
  <si>
    <t xml:space="preserve">Lotus corniculatus </t>
  </si>
  <si>
    <t>Lonicera periclymenum (g)</t>
  </si>
  <si>
    <t xml:space="preserve">Lolium temulentum </t>
  </si>
  <si>
    <t xml:space="preserve">Lolium perenne </t>
  </si>
  <si>
    <t xml:space="preserve">Lolium multiflorum </t>
  </si>
  <si>
    <t xml:space="preserve">Loiseleuria procumbens </t>
  </si>
  <si>
    <t xml:space="preserve">Listera ovata </t>
  </si>
  <si>
    <t xml:space="preserve">Listera cordata </t>
  </si>
  <si>
    <t xml:space="preserve">Linum catharticum </t>
  </si>
  <si>
    <t xml:space="preserve">Linaria vulgaris </t>
  </si>
  <si>
    <t>Ligustrum vulgare (s)</t>
  </si>
  <si>
    <t xml:space="preserve">Lepidium heterophyllum </t>
  </si>
  <si>
    <t xml:space="preserve">Leontodon saxatilis </t>
  </si>
  <si>
    <t xml:space="preserve">Leontodon hispidus </t>
  </si>
  <si>
    <t xml:space="preserve">Leontodon autumnalis </t>
  </si>
  <si>
    <t xml:space="preserve">Lemna minor </t>
  </si>
  <si>
    <t xml:space="preserve">Lathyrus pratensis </t>
  </si>
  <si>
    <t xml:space="preserve">Lathyrus linifolius </t>
  </si>
  <si>
    <t>Larix decidua (c)</t>
  </si>
  <si>
    <t xml:space="preserve">Lapsana communis </t>
  </si>
  <si>
    <t xml:space="preserve">Lamium purpureum </t>
  </si>
  <si>
    <t xml:space="preserve">Lamium album </t>
  </si>
  <si>
    <t xml:space="preserve">Koeleria macrantha </t>
  </si>
  <si>
    <t xml:space="preserve">Lagurus ovatus </t>
  </si>
  <si>
    <t xml:space="preserve">Kobresia simpliciuscula </t>
  </si>
  <si>
    <t xml:space="preserve">Knautia arvensis </t>
  </si>
  <si>
    <t xml:space="preserve">Juniperus communis subsp. nana </t>
  </si>
  <si>
    <t xml:space="preserve">Juniperus communis subsp. communis </t>
  </si>
  <si>
    <t xml:space="preserve">Juncus triglumis </t>
  </si>
  <si>
    <t xml:space="preserve">Juncus trifidus </t>
  </si>
  <si>
    <t xml:space="preserve">Juncus squarrosus </t>
  </si>
  <si>
    <t xml:space="preserve">Juncus inflexus </t>
  </si>
  <si>
    <t xml:space="preserve">Juncus effusus </t>
  </si>
  <si>
    <t xml:space="preserve">Juncus conglomeratus </t>
  </si>
  <si>
    <t xml:space="preserve">Juncus bulbosus </t>
  </si>
  <si>
    <t xml:space="preserve">Juncus bufonius </t>
  </si>
  <si>
    <t xml:space="preserve">Juncus articulatus </t>
  </si>
  <si>
    <t xml:space="preserve">Juncus acutus </t>
  </si>
  <si>
    <t xml:space="preserve">Juncus acutiflorus </t>
  </si>
  <si>
    <t xml:space="preserve">Iris pseudacorus </t>
  </si>
  <si>
    <t xml:space="preserve">Inula conyzae </t>
  </si>
  <si>
    <t xml:space="preserve">Impatiens glandulifera </t>
  </si>
  <si>
    <t>Ilex aquifolium (s)</t>
  </si>
  <si>
    <t xml:space="preserve">Hypochaeris radicata </t>
  </si>
  <si>
    <t xml:space="preserve">Hypericum tetrapterum </t>
  </si>
  <si>
    <t xml:space="preserve">Hypericum pulchrum </t>
  </si>
  <si>
    <t xml:space="preserve">Hypericum perforatum </t>
  </si>
  <si>
    <t xml:space="preserve">Hypericum montanum </t>
  </si>
  <si>
    <t xml:space="preserve">Hypericum maculatum </t>
  </si>
  <si>
    <t xml:space="preserve">Hypericum humifusum </t>
  </si>
  <si>
    <t xml:space="preserve">Hypericum hirsutum </t>
  </si>
  <si>
    <t xml:space="preserve">Hypericum calycinum </t>
  </si>
  <si>
    <t xml:space="preserve">Hypericum androsaemum </t>
  </si>
  <si>
    <t xml:space="preserve">Hydrocotyle vulgaris </t>
  </si>
  <si>
    <t xml:space="preserve">Humulus lupulus </t>
  </si>
  <si>
    <t xml:space="preserve">Hordeum secalinum </t>
  </si>
  <si>
    <t xml:space="preserve">Hordeum murinum </t>
  </si>
  <si>
    <t xml:space="preserve">Holcus mollis </t>
  </si>
  <si>
    <t xml:space="preserve">Holcus lanatus </t>
  </si>
  <si>
    <t xml:space="preserve">Hippuris vulgaris </t>
  </si>
  <si>
    <t xml:space="preserve">Hippocrepis comosa </t>
  </si>
  <si>
    <t xml:space="preserve">Hieracium </t>
  </si>
  <si>
    <t xml:space="preserve">Heracleum sphondylium </t>
  </si>
  <si>
    <t xml:space="preserve">Helictotrichon pubescens </t>
  </si>
  <si>
    <t xml:space="preserve">Helictotrichon pratense </t>
  </si>
  <si>
    <t xml:space="preserve">Helianthemum nummularium </t>
  </si>
  <si>
    <t>Hedera helix (g)</t>
  </si>
  <si>
    <t xml:space="preserve">Gymnadenia conopsea </t>
  </si>
  <si>
    <t xml:space="preserve">Gnaphalium uliginosum </t>
  </si>
  <si>
    <t xml:space="preserve">Glyceria notata </t>
  </si>
  <si>
    <t xml:space="preserve">Glyceria fluitans </t>
  </si>
  <si>
    <t xml:space="preserve">Glyceria declinata </t>
  </si>
  <si>
    <t xml:space="preserve">Glechoma hederacea </t>
  </si>
  <si>
    <t xml:space="preserve">Geum urbanum </t>
  </si>
  <si>
    <t xml:space="preserve">Geum rivale </t>
  </si>
  <si>
    <t xml:space="preserve">Geranium sylvaticum </t>
  </si>
  <si>
    <t xml:space="preserve">Geranium robertianum </t>
  </si>
  <si>
    <t xml:space="preserve">Geranium pyrenaicum </t>
  </si>
  <si>
    <t xml:space="preserve">Geranium molle </t>
  </si>
  <si>
    <t xml:space="preserve">Geranium dissectum </t>
  </si>
  <si>
    <t xml:space="preserve">Gentianella amarella </t>
  </si>
  <si>
    <t xml:space="preserve">Gentiana verna </t>
  </si>
  <si>
    <t xml:space="preserve">Gentiana pneumonanthe </t>
  </si>
  <si>
    <t xml:space="preserve">Genista tinctoria </t>
  </si>
  <si>
    <t xml:space="preserve">Genista anglica </t>
  </si>
  <si>
    <t xml:space="preserve">Galium verum </t>
  </si>
  <si>
    <t xml:space="preserve">Galium uliginosum </t>
  </si>
  <si>
    <t xml:space="preserve">Galium sterneri </t>
  </si>
  <si>
    <t xml:space="preserve">Galium saxatile </t>
  </si>
  <si>
    <t xml:space="preserve">Galium palustre </t>
  </si>
  <si>
    <t xml:space="preserve">Galium odoratum </t>
  </si>
  <si>
    <t xml:space="preserve">Galium mollugo </t>
  </si>
  <si>
    <t xml:space="preserve">Galium aparine </t>
  </si>
  <si>
    <t xml:space="preserve">Galeopsis tetrahit </t>
  </si>
  <si>
    <t xml:space="preserve">Galeopsis speciosa </t>
  </si>
  <si>
    <t xml:space="preserve">Lamiastrum galeobdolon </t>
  </si>
  <si>
    <t xml:space="preserve">Galanthus nivalis </t>
  </si>
  <si>
    <t>Fraxinus excelsior (c)</t>
  </si>
  <si>
    <t xml:space="preserve">Frangula alnus </t>
  </si>
  <si>
    <t xml:space="preserve">Fragaria vesca </t>
  </si>
  <si>
    <t xml:space="preserve">Filipendula vulgaris </t>
  </si>
  <si>
    <t xml:space="preserve">Filipendula ulmaria </t>
  </si>
  <si>
    <t xml:space="preserve">Festuca ovina or Festuca rubra </t>
  </si>
  <si>
    <t xml:space="preserve">Festuca vivipara </t>
  </si>
  <si>
    <t xml:space="preserve">Festuca filiformis </t>
  </si>
  <si>
    <t xml:space="preserve">Festuca rubra </t>
  </si>
  <si>
    <t xml:space="preserve">Festuca pratensis </t>
  </si>
  <si>
    <t xml:space="preserve">Festuca ovina </t>
  </si>
  <si>
    <t xml:space="preserve">Festuca gigantea </t>
  </si>
  <si>
    <t xml:space="preserve">Festuca arundinacea </t>
  </si>
  <si>
    <t>Fagus sylvatica (c)</t>
  </si>
  <si>
    <t xml:space="preserve">Euphrasia officinalis agg. </t>
  </si>
  <si>
    <t xml:space="preserve">Eupatorium cannabinum </t>
  </si>
  <si>
    <t>Euonymus europaeus (s)</t>
  </si>
  <si>
    <t xml:space="preserve">Erophila verna s.l. </t>
  </si>
  <si>
    <t xml:space="preserve">Erodium maritimum </t>
  </si>
  <si>
    <t xml:space="preserve">Eriophorum vaginatum </t>
  </si>
  <si>
    <t xml:space="preserve">Eriophorum angustifolium </t>
  </si>
  <si>
    <t xml:space="preserve">Erigeron acer </t>
  </si>
  <si>
    <t xml:space="preserve">Erica tetralix </t>
  </si>
  <si>
    <t xml:space="preserve">Erica cinerea </t>
  </si>
  <si>
    <t xml:space="preserve">Equisetum telmateia </t>
  </si>
  <si>
    <t xml:space="preserve">Equisetum sylvaticum </t>
  </si>
  <si>
    <t xml:space="preserve">Equisetum pratense </t>
  </si>
  <si>
    <t xml:space="preserve">Equisetum palustre </t>
  </si>
  <si>
    <t xml:space="preserve">Equisetum fluviatile </t>
  </si>
  <si>
    <t xml:space="preserve">Equisetum arvense </t>
  </si>
  <si>
    <t>BAP_PRIORITY</t>
  </si>
  <si>
    <t>BAP_BROAD</t>
  </si>
  <si>
    <t>NVCCLASS</t>
  </si>
  <si>
    <t>SLOPEFORM_CODE</t>
  </si>
  <si>
    <t>ASPECT</t>
  </si>
  <si>
    <t>SLOPE</t>
  </si>
  <si>
    <t>LANDUSE_CODE</t>
  </si>
  <si>
    <t>SURVEYOR</t>
  </si>
  <si>
    <t>WOODLAND_SUBCELL_Y</t>
  </si>
  <si>
    <t>WOODLAND_SUBCELL_X</t>
  </si>
  <si>
    <t>WOODLAND_SUBCELL_ID</t>
  </si>
  <si>
    <t>NUM_STEMS</t>
  </si>
  <si>
    <t>STEM_ID</t>
  </si>
  <si>
    <t>TREE_ID</t>
  </si>
  <si>
    <t>EASTINGS</t>
  </si>
  <si>
    <t>NORTHINGS</t>
  </si>
  <si>
    <t>FREQUENCY</t>
  </si>
  <si>
    <t>STRAT</t>
  </si>
  <si>
    <t>Acid Grassland</t>
  </si>
  <si>
    <t>CODE TYPE</t>
  </si>
  <si>
    <t>All Data</t>
  </si>
  <si>
    <t>Quality Assurance - Vegetation data</t>
  </si>
  <si>
    <t>All Survey Data</t>
  </si>
  <si>
    <t>Vegetation Survey Data - Human disturbance</t>
  </si>
  <si>
    <t>Vegetation Survey Data - General</t>
  </si>
  <si>
    <t>Vegetation Survey Data - Grazing evidence</t>
  </si>
  <si>
    <t>Vegetation Survey Data - Other disturbance</t>
  </si>
  <si>
    <t>Vegetation Survey Data - Cell feature</t>
  </si>
  <si>
    <t>Vegetation Survey Data - Disturbance (Woodland)</t>
  </si>
  <si>
    <t>Vegetation Survey Data - Path feature</t>
  </si>
  <si>
    <t>Rivers and Streams</t>
  </si>
  <si>
    <t>Rivers</t>
  </si>
  <si>
    <t>Standing Open Waters and Canals</t>
  </si>
  <si>
    <t>Oligotrophic and Dystrophic Lakes</t>
  </si>
  <si>
    <t>Arable and Horticultural</t>
  </si>
  <si>
    <t>Ponds</t>
  </si>
  <si>
    <t>Boundary and Linear Features</t>
  </si>
  <si>
    <t>Mesotrophic Lakes</t>
  </si>
  <si>
    <t>Broadleaved, Mixed and Yew Woodland</t>
  </si>
  <si>
    <t>Eutrophic Standing Waters</t>
  </si>
  <si>
    <t>Coniferous Woodland</t>
  </si>
  <si>
    <t>Aquifer Fed Naturally Fluctuating Water Bodies</t>
  </si>
  <si>
    <t>Arable Field Margins</t>
  </si>
  <si>
    <t>Calcareous Grassland</t>
  </si>
  <si>
    <t>Hedgerows</t>
  </si>
  <si>
    <t>Neutral Grassland</t>
  </si>
  <si>
    <t>Traditional Orchards</t>
  </si>
  <si>
    <t>Improved Grassland</t>
  </si>
  <si>
    <t>Wood-Pasture and Parkland</t>
  </si>
  <si>
    <t>Dwarf Shrub Heath</t>
  </si>
  <si>
    <t>Upland Oakwood</t>
  </si>
  <si>
    <t>Fen, Marsh and Swamp</t>
  </si>
  <si>
    <t>Lowland Beech and Yew Woodland</t>
  </si>
  <si>
    <t>Bogs</t>
  </si>
  <si>
    <t>Upland Mixed Ashwoods</t>
  </si>
  <si>
    <t>Montane Habitats</t>
  </si>
  <si>
    <t>Wet Woodland</t>
  </si>
  <si>
    <t>Inland Rock</t>
  </si>
  <si>
    <t>Lowland Mixed Deciduous Woodland</t>
  </si>
  <si>
    <t>Supralittoral Rock</t>
  </si>
  <si>
    <t>Upland Birchwoods</t>
  </si>
  <si>
    <t>Supralittoral Sediment</t>
  </si>
  <si>
    <t>Native Pine Woodlands</t>
  </si>
  <si>
    <t>Littoral Rock</t>
  </si>
  <si>
    <t>Lowland Dry Acid Grassland</t>
  </si>
  <si>
    <t>Littoral Sediment</t>
  </si>
  <si>
    <t>Lowland Calcareous Grassland</t>
  </si>
  <si>
    <t>Sublittoral Rock</t>
  </si>
  <si>
    <t>Upland Calcareous Grassland</t>
  </si>
  <si>
    <t>Sublittoral Sediment</t>
  </si>
  <si>
    <t>Lowland Meadows</t>
  </si>
  <si>
    <t>Upland Hay Meadows</t>
  </si>
  <si>
    <t>Coastal and Floodplain Grazing Marsh</t>
  </si>
  <si>
    <t>Lowland Heathland</t>
  </si>
  <si>
    <t>Upland Heathland</t>
  </si>
  <si>
    <t>Upland Flushes, Fens and Swamps</t>
  </si>
  <si>
    <t>Purple Moor Grass and Rush Pastures</t>
  </si>
  <si>
    <t>Lowland Fens</t>
  </si>
  <si>
    <t>Reedbeds</t>
  </si>
  <si>
    <t>Lowland Raised Bog</t>
  </si>
  <si>
    <t>Blanket Bog</t>
  </si>
  <si>
    <t>Mountain Heaths and Willow Scrub</t>
  </si>
  <si>
    <t>Inland Rock Outcrop and Scree Habitats</t>
  </si>
  <si>
    <t>Calaminarian Grasslands</t>
  </si>
  <si>
    <t>Open Mosaic Habitats on Previously Developed Land</t>
  </si>
  <si>
    <t>Limestone Pavements</t>
  </si>
  <si>
    <t>Maritime Cliff and Slopes</t>
  </si>
  <si>
    <t>Coastal Vegetated Shingle</t>
  </si>
  <si>
    <t>Machair</t>
  </si>
  <si>
    <t>Intertidal Chalk</t>
  </si>
  <si>
    <t>Intertidal Underboulder Communities</t>
  </si>
  <si>
    <t>Coastal Saltmarsh</t>
  </si>
  <si>
    <t>Intertidal Mudflats</t>
  </si>
  <si>
    <t>Seagrass Beds</t>
  </si>
  <si>
    <t>Sheltered Muddy Gravels</t>
  </si>
  <si>
    <t>Peat and Clay Exposures with Piddocks</t>
  </si>
  <si>
    <t>Subtidal Chalk</t>
  </si>
  <si>
    <t>Tide-swept Channels</t>
  </si>
  <si>
    <t>Fragile Sponge and Anthozoan Communities on Subtidal Rocky Habitats</t>
  </si>
  <si>
    <t>Esuarine Rocky Habitats</t>
  </si>
  <si>
    <t>Seamount Communities</t>
  </si>
  <si>
    <t>Carbonate Mounds</t>
  </si>
  <si>
    <t>Cold-Water Coral Reefs</t>
  </si>
  <si>
    <t>Deep-Sea Sponge Communities</t>
  </si>
  <si>
    <t>Subtidal Sands and Gravels</t>
  </si>
  <si>
    <t>Horse Mussel Beds</t>
  </si>
  <si>
    <t>Mud Habitats in Deep Water</t>
  </si>
  <si>
    <t>File Shell Beds</t>
  </si>
  <si>
    <t>Maerl Beds</t>
  </si>
  <si>
    <t>Serpulid Reefs</t>
  </si>
  <si>
    <t>Blue Mussel Beds on Sediment</t>
  </si>
  <si>
    <t>Saline Lagoons</t>
  </si>
  <si>
    <t>QA601</t>
  </si>
  <si>
    <t>QA603</t>
  </si>
  <si>
    <t>QA606</t>
  </si>
  <si>
    <t>Data Issue - Vegetation data</t>
  </si>
  <si>
    <t>Coastal Sand Dunes</t>
  </si>
  <si>
    <t>Not a priority habitat</t>
  </si>
  <si>
    <t>Not a priority habitat - Upland Acid Grassland</t>
  </si>
  <si>
    <t>Not a priority habitat - Rough Grassland</t>
  </si>
  <si>
    <t>Not a priority habitat - Other</t>
  </si>
  <si>
    <t>SCODE1</t>
  </si>
  <si>
    <t>SCODE2</t>
  </si>
  <si>
    <t>SCODE3</t>
  </si>
  <si>
    <t>DATA _ENTRY_COMMENTS</t>
  </si>
  <si>
    <t>DATA_ISSUE</t>
  </si>
  <si>
    <t>DATA_ENTRY_COMMENTS</t>
  </si>
  <si>
    <r>
      <t>Sabellaria spinulosa</t>
    </r>
    <r>
      <rPr>
        <sz val="8"/>
        <color indexed="8"/>
        <rFont val="Arial"/>
        <family val="2"/>
      </rPr>
      <t xml:space="preserve"> Reefs</t>
    </r>
  </si>
  <si>
    <t>DPK</t>
  </si>
  <si>
    <t>B41</t>
  </si>
  <si>
    <t>WAL</t>
  </si>
  <si>
    <t>B42</t>
  </si>
  <si>
    <t>MOT</t>
  </si>
  <si>
    <t>B43</t>
  </si>
  <si>
    <t>WYR</t>
  </si>
  <si>
    <t>B44</t>
  </si>
  <si>
    <t>WDW</t>
  </si>
  <si>
    <t>B45</t>
  </si>
  <si>
    <t>BBR</t>
  </si>
  <si>
    <t>B46</t>
  </si>
  <si>
    <t>ENS</t>
  </si>
  <si>
    <t>B47</t>
  </si>
  <si>
    <t>MAY</t>
  </si>
  <si>
    <t>B48</t>
  </si>
  <si>
    <t>B49</t>
  </si>
  <si>
    <t>CRF</t>
  </si>
  <si>
    <t>B50</t>
  </si>
  <si>
    <t>DI800</t>
  </si>
  <si>
    <t>DI804</t>
  </si>
  <si>
    <t>QA788</t>
  </si>
  <si>
    <t>DI911</t>
  </si>
  <si>
    <t>QA900</t>
  </si>
  <si>
    <t>QA902</t>
  </si>
  <si>
    <t>QA903</t>
  </si>
  <si>
    <t>FINAL_QA</t>
  </si>
  <si>
    <t>DATA_ISSUE1</t>
  </si>
  <si>
    <t>DATA_ISSUE2</t>
  </si>
  <si>
    <t>DATA_ISSUE3</t>
  </si>
  <si>
    <t>Checked data - Vegetation data</t>
  </si>
  <si>
    <t>RWM</t>
  </si>
  <si>
    <t>No sample/reading taken - equipment out of action/unable to visit equipment</t>
  </si>
  <si>
    <t>Sample lost or inadvertently discarded</t>
  </si>
  <si>
    <t>Partial loss of sample</t>
  </si>
  <si>
    <t>Bonfire in vicinity during sampling period</t>
  </si>
  <si>
    <t>Heather burning in vicinity during sampling period</t>
  </si>
  <si>
    <t>Forest fire in vicinity during sampling period</t>
  </si>
  <si>
    <t>Straw burning in vicinity during sampling period</t>
  </si>
  <si>
    <t>Crop spraying in vicinity during sampling period</t>
  </si>
  <si>
    <t>Construction work in vicinity during sampling period</t>
  </si>
  <si>
    <t>Liming in vicinity during sampling period</t>
  </si>
  <si>
    <t>Change of land use in vicinity</t>
  </si>
  <si>
    <t>Plot/transect section not surveyed</t>
  </si>
  <si>
    <t>Trampling during sampling period</t>
  </si>
  <si>
    <t>Plot not accurately relocated</t>
  </si>
  <si>
    <t>Evidence of disease in plot/transect section</t>
  </si>
  <si>
    <t>Significant disturbance in plot/transect section</t>
  </si>
  <si>
    <t>Cell not surveyed due to obstruction</t>
  </si>
  <si>
    <t>Flooding of survey area</t>
  </si>
  <si>
    <t>Mowing of survey area</t>
  </si>
  <si>
    <t>Muck/slurry/slag application</t>
  </si>
  <si>
    <t>Application of chemicals (details should be supplied)</t>
  </si>
  <si>
    <t>Grazing by sheep</t>
  </si>
  <si>
    <t>Grazing by cattle</t>
  </si>
  <si>
    <t>Grazing/browsing by deer</t>
  </si>
  <si>
    <t>Grazing - other</t>
  </si>
  <si>
    <t>Woodland Management: Coppicing</t>
  </si>
  <si>
    <t>Woodland Management: Thinning</t>
  </si>
  <si>
    <t>Woodland Management: Clear Felling</t>
  </si>
  <si>
    <t>Woodland Management: Brashing</t>
  </si>
  <si>
    <t>Wind-throw</t>
  </si>
  <si>
    <t>Animal path present</t>
  </si>
  <si>
    <t>Forest ride present</t>
  </si>
  <si>
    <t>Human path present</t>
  </si>
  <si>
    <t>Path present (unspecified)</t>
  </si>
  <si>
    <t>Rolling of survey area</t>
  </si>
  <si>
    <t>Adverse weather conditions affected sampling/recording</t>
  </si>
  <si>
    <t>Biting insects affected sampling/recording</t>
  </si>
  <si>
    <t>Failing light affected sampling/recording</t>
  </si>
  <si>
    <t>Anthill present</t>
  </si>
  <si>
    <t>Rabbit scrape present</t>
  </si>
  <si>
    <t>Mole-hill present</t>
  </si>
  <si>
    <t>Approximate or estimated count</t>
  </si>
  <si>
    <t>Tree dead</t>
  </si>
  <si>
    <t>Stem dead</t>
  </si>
  <si>
    <t>Taxon identified with high confidence</t>
  </si>
  <si>
    <t>Taxon identified with medium confidence</t>
  </si>
  <si>
    <t>Taxon identified with low confidence</t>
  </si>
  <si>
    <t>Free-text information is associated with this data record</t>
  </si>
  <si>
    <t>Quadrat feature - fallen dead wood</t>
  </si>
  <si>
    <t>Quadrat feature - other</t>
  </si>
  <si>
    <t>Abundance: % cover modified / inferred</t>
  </si>
  <si>
    <t>Abundance: cell data modified / inferred</t>
  </si>
  <si>
    <t>Abundance: % cover and cell presence modified / inferred</t>
  </si>
  <si>
    <t>Abundance: uncertain match with taxon</t>
  </si>
  <si>
    <t>Taxon: confirmed post survey by surveyor</t>
  </si>
  <si>
    <t>Taxon: confirmed post survey by sample</t>
  </si>
  <si>
    <t>Taxon: confirmed post survey by checking protocol</t>
  </si>
  <si>
    <t>Taxon confirmed to genus only</t>
  </si>
  <si>
    <t>Taxon: added post-survey from sample return</t>
  </si>
  <si>
    <t>Taxon presence recorded as 'dead'</t>
  </si>
  <si>
    <t>Taxon unconfirmed/unknown: unreliable for analysis</t>
  </si>
  <si>
    <t>Abundance: data unreliable for analysis</t>
  </si>
  <si>
    <t>Other: data line unreliable for analysis</t>
  </si>
  <si>
    <t>Last day of survey only recorded</t>
  </si>
  <si>
    <t>Plot data: modified / inferred</t>
  </si>
  <si>
    <t>Plot data: slope form modified / inferred</t>
  </si>
  <si>
    <t>Plot data: slope form does not comply with survey methodology</t>
  </si>
  <si>
    <t>Uncommon species for site/likely errors: needs checking</t>
  </si>
  <si>
    <t>Abundance: % cover missing</t>
  </si>
  <si>
    <t>Abundance: cell data missing</t>
  </si>
  <si>
    <t>Abundance: % cover and cell data missing</t>
  </si>
  <si>
    <t>Abundance: unclear/uncertain tick, cross or % cover</t>
  </si>
  <si>
    <t>Abundance: two or more records share cell/% cover data</t>
  </si>
  <si>
    <t>Abundance: Cell data / %cover does not comply with survey methodology</t>
  </si>
  <si>
    <t>Taxon: name unreadable/incorrect</t>
  </si>
  <si>
    <t>Taxon: '?' after species' name</t>
  </si>
  <si>
    <t>Taxon: labelled as 'sample'  but no sample returned/supplied</t>
  </si>
  <si>
    <t>Taxon/Abundance: species recorded more than once on field form</t>
  </si>
  <si>
    <t>Sample returned: more than one sample in bag</t>
  </si>
  <si>
    <t>Tree species: stage recorded on field form as seedling</t>
  </si>
  <si>
    <t>Tree species: stage not recorded on field form, assumed in ground layer</t>
  </si>
  <si>
    <t>Taxon: not specified if seedling</t>
  </si>
  <si>
    <t>Plot data: some data not recorded/missing</t>
  </si>
  <si>
    <t>Plot data: other issue</t>
  </si>
  <si>
    <t>Data issue: vegetation height does not comply with survey methodology</t>
  </si>
  <si>
    <t>Data issue: vegetation height not clear</t>
  </si>
  <si>
    <t>Data issue: tree measurements appear incorrect</t>
  </si>
  <si>
    <t>No information available - data lost.</t>
  </si>
  <si>
    <t>QA999</t>
  </si>
  <si>
    <t>Ley grassland</t>
  </si>
  <si>
    <t>Permanent or long-term grassland</t>
  </si>
  <si>
    <t>Rough grazing</t>
  </si>
  <si>
    <t>Cereals</t>
  </si>
  <si>
    <t>Green crops</t>
  </si>
  <si>
    <t>Root crops</t>
  </si>
  <si>
    <t>Horticultural crops</t>
  </si>
  <si>
    <t>Fallow</t>
  </si>
  <si>
    <t>Other crops</t>
  </si>
  <si>
    <t>Orchard</t>
  </si>
  <si>
    <t>Deciduous woodland</t>
  </si>
  <si>
    <t>Coniferous woodland</t>
  </si>
  <si>
    <t>Scrub</t>
  </si>
  <si>
    <t>Lowland heath</t>
  </si>
  <si>
    <t>Heather moor</t>
  </si>
  <si>
    <t>Semi-natural grassland</t>
  </si>
  <si>
    <t>Saltmarsh</t>
  </si>
  <si>
    <t>Fen, moor or bog</t>
  </si>
  <si>
    <t>Montane vegetation</t>
  </si>
  <si>
    <t>Public park</t>
  </si>
  <si>
    <t>Golf course</t>
  </si>
  <si>
    <t>Other</t>
  </si>
  <si>
    <t>canopy dominant</t>
  </si>
  <si>
    <t>subdominant</t>
  </si>
  <si>
    <t>intermediate</t>
  </si>
  <si>
    <t>suppressed</t>
  </si>
  <si>
    <t>shrub layer</t>
  </si>
  <si>
    <t>sapling</t>
  </si>
  <si>
    <t>seedling</t>
  </si>
  <si>
    <t>Convex</t>
  </si>
  <si>
    <t>Straight (rectilinear)</t>
  </si>
  <si>
    <t>Concave</t>
  </si>
  <si>
    <t>Ainsdale</t>
  </si>
  <si>
    <t>Bure Marshes</t>
  </si>
  <si>
    <t>Burnham Beeches</t>
  </si>
  <si>
    <t>Coedydd Aber</t>
  </si>
  <si>
    <t>Cors Caron</t>
  </si>
  <si>
    <t>Cors Erddreiniog</t>
  </si>
  <si>
    <t>Cors Fochno</t>
  </si>
  <si>
    <t>Cwm Cadlan</t>
  </si>
  <si>
    <t>Derbyshire Dales</t>
  </si>
  <si>
    <t>Fenn's, Whixall and Bettisfield Mosses</t>
  </si>
  <si>
    <t>Finglandrigg Woods</t>
  </si>
  <si>
    <t>Ingleborough</t>
  </si>
  <si>
    <t>Lindisfarne</t>
  </si>
  <si>
    <t>Lullington Heath</t>
  </si>
  <si>
    <t>Martin Down</t>
  </si>
  <si>
    <t>Monks Wood</t>
  </si>
  <si>
    <t>Newborough</t>
  </si>
  <si>
    <t>North Solent</t>
  </si>
  <si>
    <t>Ogof Ffynnon Ddu</t>
  </si>
  <si>
    <t>Old Winchester Hill</t>
  </si>
  <si>
    <t>Oxwich</t>
  </si>
  <si>
    <t>Rhos Llawr Cwrt</t>
  </si>
  <si>
    <t>Skomer</t>
  </si>
  <si>
    <t>Stackpole</t>
  </si>
  <si>
    <t>Stiperstones</t>
  </si>
  <si>
    <t>Thursley</t>
  </si>
  <si>
    <t>Ty Canol</t>
  </si>
  <si>
    <t>Y Berwyn</t>
  </si>
  <si>
    <t>East Dartmoor Woods &amp; Heaths</t>
  </si>
  <si>
    <t>Chippenham Fen</t>
  </si>
  <si>
    <t>Chobham Common</t>
  </si>
  <si>
    <t>Dersingham Bog</t>
  </si>
  <si>
    <t>Downton Gorge</t>
  </si>
  <si>
    <t>Epping Forest</t>
  </si>
  <si>
    <t>Kielderhead</t>
  </si>
  <si>
    <t>Lower Derwent Valley</t>
  </si>
  <si>
    <t>Ludham-Potter Heigham</t>
  </si>
  <si>
    <t>Malham Tarn</t>
  </si>
  <si>
    <t>Saltfleetby-Theddlethorpe Dunes</t>
  </si>
  <si>
    <t>The Lizard</t>
  </si>
  <si>
    <t>Dark Peak</t>
  </si>
  <si>
    <t>North Walney</t>
  </si>
  <si>
    <t>Mottey Meadows</t>
  </si>
  <si>
    <t xml:space="preserve">Wyre Forest </t>
  </si>
  <si>
    <t>Woodwalton Fen</t>
  </si>
  <si>
    <t>Braunton Burrows</t>
  </si>
  <si>
    <t>Ennerdale &amp; Scoat Fell</t>
  </si>
  <si>
    <t>May Moss</t>
  </si>
  <si>
    <t>Roudsea Wood and Mosses</t>
  </si>
  <si>
    <t>Cross Fell</t>
  </si>
  <si>
    <r>
      <t>Sabellaria alveolata</t>
    </r>
    <r>
      <rPr>
        <sz val="8"/>
        <color indexed="8"/>
        <rFont val="Arial"/>
        <family val="2"/>
      </rPr>
      <t xml:space="preserve"> Reefs</t>
    </r>
  </si>
  <si>
    <t>DI801</t>
  </si>
  <si>
    <t>DI802</t>
  </si>
  <si>
    <t>DI803</t>
  </si>
  <si>
    <t>DI805</t>
  </si>
  <si>
    <t>DI806</t>
  </si>
  <si>
    <t>DI807</t>
  </si>
  <si>
    <t>DI808</t>
  </si>
  <si>
    <t>DI809</t>
  </si>
  <si>
    <t>DI810</t>
  </si>
  <si>
    <t>DI813</t>
  </si>
  <si>
    <t>DI814</t>
  </si>
  <si>
    <t>DI815</t>
  </si>
  <si>
    <t>DI900</t>
  </si>
  <si>
    <t>DI990</t>
  </si>
  <si>
    <t>DI910</t>
  </si>
  <si>
    <t>DI912</t>
  </si>
  <si>
    <t>QA600</t>
  </si>
  <si>
    <t>QA602</t>
  </si>
  <si>
    <t>QA604</t>
  </si>
  <si>
    <t>QA605</t>
  </si>
  <si>
    <t>QA607</t>
  </si>
  <si>
    <t>QA608</t>
  </si>
  <si>
    <t>QA610</t>
  </si>
  <si>
    <t>QA766</t>
  </si>
  <si>
    <t>QA777</t>
  </si>
  <si>
    <t>QA901</t>
  </si>
  <si>
    <t>SDATE</t>
  </si>
  <si>
    <t>BNG_GRID_REF</t>
  </si>
  <si>
    <t>ALTITUDE</t>
  </si>
  <si>
    <t>PERCENT_COVER</t>
  </si>
  <si>
    <t>FEATURE</t>
  </si>
  <si>
    <t>VEG_HEIGHT</t>
  </si>
  <si>
    <t>BEARING_OF_STEM_FROM_CENTRE_OF_RANDOM_CELL</t>
  </si>
  <si>
    <t>DISTANCE_OF_STEM_FROM_CENTRE_OF_RANDOM_CELL</t>
  </si>
  <si>
    <t>CELL_1</t>
  </si>
  <si>
    <t>CELL_2</t>
  </si>
  <si>
    <t>CELL_3</t>
  </si>
  <si>
    <t>CELL_4</t>
  </si>
  <si>
    <t>CELL_5</t>
  </si>
  <si>
    <t>CELL_6</t>
  </si>
  <si>
    <t>CELL_7</t>
  </si>
  <si>
    <t>CELL_8</t>
  </si>
  <si>
    <t>CELL_9</t>
  </si>
  <si>
    <t>CELL_10</t>
  </si>
  <si>
    <t>CELL_11</t>
  </si>
  <si>
    <t>CELL_12</t>
  </si>
  <si>
    <t>CELL_13</t>
  </si>
  <si>
    <t>CELL_14</t>
  </si>
  <si>
    <t>CELL_15</t>
  </si>
  <si>
    <t>CELL_16</t>
  </si>
  <si>
    <t>CELL_17</t>
  </si>
  <si>
    <t>CELL_18</t>
  </si>
  <si>
    <t>CELL_19</t>
  </si>
  <si>
    <t>CELL_20</t>
  </si>
  <si>
    <t>CELL_21</t>
  </si>
  <si>
    <t>CELL_22</t>
  </si>
  <si>
    <t>CELL_23</t>
  </si>
  <si>
    <t>CELL_24</t>
  </si>
  <si>
    <t>CELL_25</t>
  </si>
  <si>
    <t>Sheet</t>
  </si>
  <si>
    <t>Field</t>
  </si>
  <si>
    <t>Unit</t>
  </si>
  <si>
    <t>Whole Plot Data</t>
  </si>
  <si>
    <t>Metres</t>
  </si>
  <si>
    <t>DIAMETER</t>
  </si>
  <si>
    <t>HEIGHT</t>
  </si>
  <si>
    <t>DISTANCE</t>
  </si>
  <si>
    <t>SURVEYOR_HEIGHT</t>
  </si>
  <si>
    <t>ANGLE</t>
  </si>
  <si>
    <t>Degrees</t>
  </si>
  <si>
    <t>Centimetres</t>
  </si>
  <si>
    <t>LOCATION_REMARK</t>
  </si>
  <si>
    <t>LANDUSE_TYPE</t>
  </si>
  <si>
    <t>SITE</t>
  </si>
  <si>
    <t>DESCRIPTION</t>
  </si>
  <si>
    <t>CODE</t>
  </si>
  <si>
    <t>CODE_TYPE</t>
  </si>
  <si>
    <t>QA_CODE</t>
  </si>
  <si>
    <t>Litter</t>
  </si>
  <si>
    <t>Bare Rock</t>
  </si>
  <si>
    <t>Bare Soil</t>
  </si>
  <si>
    <t>Deadwood</t>
  </si>
  <si>
    <t>Open water</t>
  </si>
  <si>
    <t>Vegetation height</t>
  </si>
  <si>
    <t>Site</t>
  </si>
  <si>
    <t>Year</t>
  </si>
  <si>
    <t>Creator</t>
  </si>
  <si>
    <t>Additional Information</t>
  </si>
  <si>
    <t>Ground Features</t>
  </si>
  <si>
    <t>Tree Measurement</t>
  </si>
  <si>
    <t>Change log:</t>
  </si>
  <si>
    <t>Document created</t>
  </si>
  <si>
    <t>Units for measurements can be found below:</t>
  </si>
  <si>
    <t>Survey Notes:</t>
  </si>
  <si>
    <t>QA_CODE1</t>
  </si>
  <si>
    <t>QA_CODE2</t>
  </si>
  <si>
    <t>QA_CODE3</t>
  </si>
  <si>
    <t>CELL_ID</t>
  </si>
  <si>
    <t>GIRTH</t>
  </si>
  <si>
    <t>Organisation</t>
  </si>
  <si>
    <t>NVC_FIRST</t>
  </si>
  <si>
    <t>NVC_SECOND</t>
  </si>
  <si>
    <t>NVC_THIRD</t>
  </si>
  <si>
    <t>LIGHT</t>
  </si>
  <si>
    <t>WETNESS</t>
  </si>
  <si>
    <t>PH</t>
  </si>
  <si>
    <t>FERTILITY</t>
  </si>
  <si>
    <t>VC</t>
  </si>
  <si>
    <t>NNR Site Boundary (Heathland)</t>
  </si>
  <si>
    <t>VW</t>
  </si>
  <si>
    <t>SU9026340144</t>
  </si>
  <si>
    <t>Lowland Mire &amp; Fens</t>
  </si>
  <si>
    <t>Slope, aspect &amp; slopeform not recorded. Query target habitat.</t>
  </si>
  <si>
    <t>New plot for 2015.  Query target habitat.</t>
  </si>
  <si>
    <t>New Plot</t>
  </si>
  <si>
    <t>Cladonia ramulosa</t>
  </si>
  <si>
    <t>Trichophorum germanicum</t>
  </si>
  <si>
    <t>Cladonia grayi</t>
  </si>
  <si>
    <t>Melanelia subaurifera</t>
  </si>
  <si>
    <t>Lecanora symmicta</t>
  </si>
  <si>
    <t>Ulex minor</t>
  </si>
  <si>
    <t>Hypotrachyna revoluta</t>
  </si>
  <si>
    <t>Evernia prunastri</t>
  </si>
  <si>
    <t>Drosera intermedia</t>
  </si>
  <si>
    <t>Cuscuta epithymum</t>
  </si>
  <si>
    <t>Usnea sp.</t>
  </si>
  <si>
    <t>Lycopodiella inundata</t>
  </si>
  <si>
    <t>Scutula epicladonia</t>
  </si>
  <si>
    <t>recorded twice - other line deleted</t>
  </si>
  <si>
    <t>2 species recorded by expert in sample bag - unclear which species the cell data belong to. Sphag papillosum recorded next to sample name though so assigned to this &amp; S. tenellum added as separate line.</t>
  </si>
  <si>
    <t>Pine stage not recorded on field form</t>
  </si>
  <si>
    <t>moss &amp; lichen id but no liverwort in bag - dubious record - assigned as Cladonia as P. junip already recorded.</t>
  </si>
  <si>
    <t>merged with Moss A</t>
  </si>
  <si>
    <t>cladonia ramulosa id from expert but not in database. Species id twice. Other line deleted as data frequency and abundance lower.</t>
  </si>
  <si>
    <t>Sheet crossed out with 'not attempted' so species not recorded in any cell</t>
  </si>
  <si>
    <t>Shares data with Sphagnum papillosum, unclear data for cell presence and % cover. ID confirmed from sample bag but issue remains</t>
  </si>
  <si>
    <t>Shares data with Sphagnum palustre, unclear data for cell presence and % cover.  ID confirmed from sample bag but issue remains</t>
  </si>
  <si>
    <t>? Against plot no.</t>
  </si>
  <si>
    <t xml:space="preserve"> Sample ID by expert. ? Against plot no.</t>
  </si>
  <si>
    <t>Expert ID as C. ramulosa - not C. portentosa. Recorded twice. Cell data merged. ? Against plot no.</t>
  </si>
  <si>
    <t>Confirmed by expert from sample ? Against plot no.</t>
  </si>
  <si>
    <t>some uncertainty due to poor sample</t>
  </si>
  <si>
    <t>recorded on field sheet as a seedling</t>
  </si>
  <si>
    <t>Possible mix up over sample bags. Uncertainty over abundance data.</t>
  </si>
  <si>
    <t>merged cell data with other record only.</t>
  </si>
  <si>
    <t>expert ID = C. ramulosa. Cell data merged with other record only.</t>
  </si>
  <si>
    <t>Some uncertainty over species ? After name</t>
  </si>
  <si>
    <t>recorded as seedling on field sheet</t>
  </si>
  <si>
    <t>ID as C. grayi by expert but not In database.</t>
  </si>
  <si>
    <t>genus given as cephlozia by specialist not species. - Add in species?</t>
  </si>
  <si>
    <t>no match with sample, but could be the hypnum jutlandicum specimen labelled as 'group 4'?</t>
  </si>
  <si>
    <t>dots included in many cells, but presence has not been iputted into spreadsheet unless a clear tick has been recorded on the datasheet.</t>
  </si>
  <si>
    <t xml:space="preserve">confirmed by specilaist </t>
  </si>
  <si>
    <t>?after species name, but should be a sample for ID - sample ID as C. ramulosa - but recorded twice (lichen B also) - merge adundance data (only cell data merged.)</t>
  </si>
  <si>
    <t>Hopefully sample taken? - ID returned as filamentous algae</t>
  </si>
  <si>
    <t>merge data with lichen C - same species. Cell data only merged.</t>
  </si>
  <si>
    <t>merge data with lichen D - same species Cell data only merged.</t>
  </si>
  <si>
    <t>Species uncertain, recorded as Campylopus inflexus on datasheet.</t>
  </si>
  <si>
    <t>species recorded twice - this as sample. Cell data merged.</t>
  </si>
  <si>
    <t>species recorded more than once.  Cell data and  % cover merged.</t>
  </si>
  <si>
    <t>no match in sample spreadsheet but S. subnitens added here- possible error in abundance data.</t>
  </si>
  <si>
    <t>? After species name. Expert ID = C. ramulosa.</t>
  </si>
  <si>
    <t>Question mark after species name</t>
  </si>
  <si>
    <t>not clear if 15% cover, but most likely</t>
  </si>
  <si>
    <t>Some uncertainty over species ? After name. Other record from sample deleted as no data associated with it.</t>
  </si>
  <si>
    <t>recorded as Quercus hybrid</t>
  </si>
  <si>
    <t>ID  confirmed by expert (Lichen A), but 2 other species also recorded - these need to be added in</t>
  </si>
  <si>
    <t>? after species name, unclear if sampled? Sample confirmed as C. ramulosa &amp; c. portentosa. Issues over cell data.</t>
  </si>
  <si>
    <t>possible sample taken 'Lichen C' was crossed out.</t>
  </si>
  <si>
    <t>Bare soil</t>
  </si>
  <si>
    <t>Bare peat</t>
  </si>
  <si>
    <t>Bare earth</t>
  </si>
  <si>
    <t>Bare rock</t>
  </si>
  <si>
    <t>Cladonia strepsilis</t>
  </si>
  <si>
    <t>NO CELL DATA. ? Against plot no.</t>
  </si>
  <si>
    <t>recorded as 'stone' - changed to bare rock.</t>
  </si>
  <si>
    <t>cells 11, 12 &amp; 16 note 'stone'</t>
  </si>
  <si>
    <t>dead</t>
  </si>
  <si>
    <t>Betula pubscens hybrid</t>
  </si>
  <si>
    <t>Betula pendula hybrid</t>
  </si>
  <si>
    <t>Betula sp.</t>
  </si>
  <si>
    <t>Tree</t>
  </si>
  <si>
    <t>D</t>
  </si>
  <si>
    <t>LTMN@ Access to Evidence Catalogue</t>
  </si>
  <si>
    <t>Question mark over plot number</t>
  </si>
  <si>
    <t xml:space="preserve">B26 </t>
  </si>
  <si>
    <t>Aspect not recorded.</t>
  </si>
  <si>
    <t>N/A</t>
  </si>
  <si>
    <t>Slope, aspect &amp; slopeform not recorded. Query target habitat. Altitude incorrect. BAP_BROAD not recorded.</t>
  </si>
  <si>
    <t>Added "N/A" to aspect (no slope). Altitude not recorded. BAP_BROAD not recorded.</t>
  </si>
  <si>
    <t>BAP_BROAD not recorded.</t>
  </si>
  <si>
    <t>New plot for 2015.  Query target habitat. Added "N/A" to aspect (no slope). BAP_BROAD not recorded.</t>
  </si>
  <si>
    <t>Aspect not recorded.  Query target habitat. BAP_PRIORITY not recorded.</t>
  </si>
  <si>
    <t>Aspect not recorded. BAP_PRIORITY not recorded.</t>
  </si>
  <si>
    <t xml:space="preserve"> BAP_PRIORITY not recorded.</t>
  </si>
  <si>
    <r>
      <t xml:space="preserve">Aspect not recorded. </t>
    </r>
    <r>
      <rPr>
        <b/>
        <sz val="8"/>
        <color theme="1"/>
        <rFont val="Arial"/>
        <family val="2"/>
      </rPr>
      <t xml:space="preserve"> </t>
    </r>
    <r>
      <rPr>
        <sz val="8"/>
        <color theme="1"/>
        <rFont val="Arial"/>
        <family val="2"/>
      </rPr>
      <t>BAP_PRIORITY not recorded.</t>
    </r>
  </si>
  <si>
    <t>New plot for 2015.  Query target habitat.  BAP_PRIORITY not recorded.</t>
  </si>
  <si>
    <t>Sheet crossed out with 'not attempted' so species not recorded in any cell? After species name - assumed Moss A id = B. rutabulum</t>
  </si>
  <si>
    <t>Sheet crossed out with 'not attempted' so species not recorded in any cell? After species name - assumed Moss A id = H. jutlandicum</t>
  </si>
  <si>
    <t>no sample. Idenitified to genus only.</t>
  </si>
  <si>
    <t xml:space="preserve"> Idenitified to genus only. No sample. Orchid sp. (Marsh?)</t>
  </si>
  <si>
    <t>Idenitified to genus only. Possible mix up over sample bags - not a moss. Uncertainty over abundance data.</t>
  </si>
  <si>
    <t xml:space="preserve"> Idenitified to genus only.</t>
  </si>
  <si>
    <t>Idenitified to genus only.</t>
  </si>
  <si>
    <t>only cover data recorded on field sheet.  Idenitified to genus only.</t>
  </si>
  <si>
    <t xml:space="preserve">no sample.  Idenitified to genus only. </t>
  </si>
  <si>
    <t>recorded as seedling on field sheet.  Idenitified to genus only.</t>
  </si>
  <si>
    <r>
      <t>Pinus</t>
    </r>
    <r>
      <rPr>
        <sz val="8"/>
        <color theme="1"/>
        <rFont val="Arial"/>
        <family val="2"/>
      </rPr>
      <t xml:space="preserve"> seedling</t>
    </r>
  </si>
  <si>
    <t>dots included in many cells, but presence has not been inputted into spreadsheet unless a clear tick has been recorded on the datasheet. Idenitified to genus only.</t>
  </si>
  <si>
    <r>
      <t xml:space="preserve">Pinus </t>
    </r>
    <r>
      <rPr>
        <sz val="8"/>
        <color theme="1"/>
        <rFont val="Arial"/>
        <family val="2"/>
      </rPr>
      <t>seedling</t>
    </r>
  </si>
  <si>
    <t>not recorded on field sheet. No PERCENT_COVER recorded.</t>
  </si>
  <si>
    <t>additional species from sample bag list - no name match from field survey sheet. No PERCENT_COVER recorded.</t>
  </si>
  <si>
    <t>Lichen B sample. No PERCENT_COVER recorded.</t>
  </si>
  <si>
    <t>Need to ask Rob as surveyor of plot re Brachythecium rutabulum, or wait for sample id.  Idenitified to genus only. No PERCENT_COVER recorded.</t>
  </si>
  <si>
    <t>ID confirmed by specialist but possible confusion over samples for this plot - cell data merged. No PERCENT_COVER recorded.</t>
  </si>
  <si>
    <t>no match on field sheet, abundance attributed to cell 1. No PERCENT_COVER recorded.</t>
  </si>
  <si>
    <t>No PERCENT_COVER recorded.</t>
  </si>
  <si>
    <t>found growing on lichen J - parasitic species. Lichen J not included in sample bag spreadsheet, but in an email. Frequency not recorded.</t>
  </si>
  <si>
    <t>PERCENT_COVER not recorded.</t>
  </si>
  <si>
    <t>Changed "3" in cell 3 to 1.</t>
  </si>
  <si>
    <t>DISTANCE_OF_STEM_FROM_CENTRE_OF_RANDOM_CELL category added after this survey took place.</t>
  </si>
  <si>
    <t>Year "2015" not recorded, added later.  Tree ID not recorded, so copied from stem ID later.</t>
  </si>
  <si>
    <t>Tree dead. Girth, diameter, distance and angle not recorded. Year "2015" not recorded, added later.  Tree ID not recorded, so copied from stem ID later.</t>
  </si>
  <si>
    <t>"Tree" not recognised DOM_CODE.</t>
  </si>
  <si>
    <t>DOM_CODE not recorded.</t>
  </si>
  <si>
    <t>Bryophytes</t>
  </si>
  <si>
    <t>Ferns &amp; Horsetails</t>
  </si>
  <si>
    <t>Herbs</t>
  </si>
  <si>
    <t>Lichens</t>
  </si>
  <si>
    <t>Trees &amp; shrubs</t>
  </si>
  <si>
    <t>Algae</t>
  </si>
  <si>
    <t>Filamentous algae</t>
  </si>
  <si>
    <t>PLOT NOT SURVEYED THIS YEAR</t>
  </si>
  <si>
    <t xml:space="preserve">Idenitified to genus only. </t>
  </si>
  <si>
    <t>Unidenitifed</t>
  </si>
  <si>
    <t>Recorded as "Cladonia Golf Fimbriata". No sample.</t>
  </si>
  <si>
    <t>Long Term Monitoring Network Vegetation Survey</t>
  </si>
  <si>
    <t xml:space="preserve">All methodologies for the data collection, processing and quality assurance can be found here: </t>
  </si>
  <si>
    <t>VEGETATION HEIGHT not measured on a cell by cell basis</t>
  </si>
  <si>
    <t>Fungi</t>
  </si>
  <si>
    <t>rabbit poo.</t>
  </si>
  <si>
    <t>Scrubbing up with birch (B. pendula.</t>
  </si>
  <si>
    <t>rabbit droppings</t>
  </si>
  <si>
    <t>rabbit</t>
  </si>
  <si>
    <t>very few rabbit droppings;burnt wood</t>
  </si>
  <si>
    <t>n/a</t>
  </si>
  <si>
    <t>some rabbit droppings. some signs of browsing</t>
  </si>
  <si>
    <t>PLOT NOT SURVEYED THIS YEAR.</t>
  </si>
  <si>
    <r>
      <t xml:space="preserve">Betula pendula </t>
    </r>
    <r>
      <rPr>
        <sz val="8"/>
        <color theme="1"/>
        <rFont val="Arial"/>
        <family val="2"/>
      </rPr>
      <t>(c, g &amp; s)</t>
    </r>
  </si>
  <si>
    <r>
      <t xml:space="preserve">Betula pendula </t>
    </r>
    <r>
      <rPr>
        <sz val="8"/>
        <color theme="1"/>
        <rFont val="Arial"/>
        <family val="2"/>
      </rPr>
      <t>hybrid</t>
    </r>
  </si>
  <si>
    <r>
      <t xml:space="preserve">Betula pubescens </t>
    </r>
    <r>
      <rPr>
        <sz val="8"/>
        <color theme="1"/>
        <rFont val="Arial"/>
        <family val="2"/>
      </rPr>
      <t>(c &amp; g)</t>
    </r>
  </si>
  <si>
    <r>
      <t>Betula pubscens</t>
    </r>
    <r>
      <rPr>
        <sz val="8"/>
        <color theme="1"/>
        <rFont val="Arial"/>
        <family val="2"/>
      </rPr>
      <t xml:space="preserve"> hybrid</t>
    </r>
  </si>
  <si>
    <r>
      <t xml:space="preserve">Ilex aquifolium </t>
    </r>
    <r>
      <rPr>
        <sz val="8"/>
        <color theme="1"/>
        <rFont val="Arial"/>
        <family val="2"/>
      </rPr>
      <t>(c &amp; g)</t>
    </r>
  </si>
  <si>
    <r>
      <t xml:space="preserve">Pinus sylvestris </t>
    </r>
    <r>
      <rPr>
        <sz val="8"/>
        <color theme="1"/>
        <rFont val="Arial"/>
        <family val="2"/>
      </rPr>
      <t>(c &amp; g)</t>
    </r>
  </si>
  <si>
    <r>
      <t xml:space="preserve">Quercus robur </t>
    </r>
    <r>
      <rPr>
        <sz val="8"/>
        <color theme="1"/>
        <rFont val="Arial"/>
        <family val="2"/>
      </rPr>
      <t>(c, g &amp; s)</t>
    </r>
  </si>
  <si>
    <r>
      <t xml:space="preserve">Quercus </t>
    </r>
    <r>
      <rPr>
        <sz val="8"/>
        <color theme="1"/>
        <rFont val="Arial"/>
        <family val="2"/>
      </rPr>
      <t>seedling</t>
    </r>
  </si>
  <si>
    <r>
      <t xml:space="preserve">Sorbus aucuparia </t>
    </r>
    <r>
      <rPr>
        <sz val="8"/>
        <color theme="1"/>
        <rFont val="Arial"/>
        <family val="2"/>
      </rPr>
      <t>(c &amp; g)</t>
    </r>
  </si>
  <si>
    <r>
      <t xml:space="preserve">Ulex europaeus </t>
    </r>
    <r>
      <rPr>
        <sz val="8"/>
        <color theme="1"/>
        <rFont val="Arial"/>
        <family val="2"/>
      </rPr>
      <t>(g &amp; s)</t>
    </r>
  </si>
  <si>
    <t>Checked and QA'd</t>
  </si>
  <si>
    <t xml:space="preserve">Vegetation heights added </t>
  </si>
  <si>
    <t xml:space="preserve">Plots 3, 8, 11, 12, 14, 37, 38, 53, 59 had been renamed plots 76-84 on the Whole Plot Data tab only.  Returned them to original names. </t>
  </si>
  <si>
    <t>SU9042041359</t>
  </si>
  <si>
    <t>SU9092940855</t>
  </si>
  <si>
    <t>SU9039641506</t>
  </si>
  <si>
    <t>SU9050041240</t>
  </si>
  <si>
    <t>SU9133540037</t>
  </si>
  <si>
    <t>SU9147541051</t>
  </si>
  <si>
    <t>SU9134940470</t>
  </si>
  <si>
    <t>SU9007540775</t>
  </si>
  <si>
    <t>SU9001740297</t>
  </si>
  <si>
    <t>SU9026840824</t>
  </si>
  <si>
    <t>SU9065641298</t>
  </si>
  <si>
    <t>SU8986540737</t>
  </si>
  <si>
    <t>SU9047740979</t>
  </si>
  <si>
    <t>SU9019041470</t>
  </si>
  <si>
    <t>SU9086539855</t>
  </si>
  <si>
    <t>SU9104540096</t>
  </si>
  <si>
    <t>SU9074139985</t>
  </si>
  <si>
    <t>SU9059741428</t>
  </si>
  <si>
    <t>SU9012040065</t>
  </si>
  <si>
    <t>SU9047340157</t>
  </si>
  <si>
    <t>SU9033041312</t>
  </si>
  <si>
    <t>SU9146940904</t>
  </si>
  <si>
    <t>SU9105040348</t>
  </si>
  <si>
    <t>SU9020740239</t>
  </si>
  <si>
    <t>SU9055439947</t>
  </si>
  <si>
    <t>SU8987941189</t>
  </si>
  <si>
    <t>SU9096440401</t>
  </si>
  <si>
    <t>SU9037140399</t>
  </si>
  <si>
    <t>SU9074740306</t>
  </si>
  <si>
    <t>SU9057941561</t>
  </si>
  <si>
    <t>SU9055640377</t>
  </si>
  <si>
    <t>SU9042840606</t>
  </si>
  <si>
    <t>SU9017941331</t>
  </si>
  <si>
    <t>SU9103840500</t>
  </si>
  <si>
    <t>SU9082940860</t>
  </si>
  <si>
    <t>SU8987441096</t>
  </si>
  <si>
    <t>SU9016940850</t>
  </si>
  <si>
    <t>SU8998840714</t>
  </si>
  <si>
    <t>SU9051040875</t>
  </si>
  <si>
    <t>SU9070540086</t>
  </si>
  <si>
    <t>SU9090040122</t>
  </si>
  <si>
    <t>SU9092840528</t>
  </si>
  <si>
    <t>SU9121439967</t>
  </si>
  <si>
    <t>SU9118940715</t>
  </si>
  <si>
    <t>SU9019940840</t>
  </si>
  <si>
    <t>SU9022240831</t>
  </si>
  <si>
    <t>SU9023640813</t>
  </si>
  <si>
    <t>SU9030740798</t>
  </si>
  <si>
    <t>SU9031740878</t>
  </si>
  <si>
    <t>FIELD_SHEET_NOTES</t>
  </si>
  <si>
    <t xml:space="preserve">Aspect not recorded, BAP_BROAD not recorded. </t>
  </si>
  <si>
    <t xml:space="preserve">Frequency indicated in cell 1 </t>
  </si>
  <si>
    <t xml:space="preserve">? Against plot no.  </t>
  </si>
  <si>
    <t xml:space="preserve">? Against plot no. </t>
  </si>
  <si>
    <t>? by species name. Expert check of data: species that usually occurs on more calcareous sites or dunes.'</t>
  </si>
  <si>
    <t xml:space="preserve"> 2 species in sample ? Against plot no.</t>
  </si>
  <si>
    <t xml:space="preserve">2 species recorded. Both species should be added in, but cell data unclear. </t>
  </si>
  <si>
    <t>2 species recorded. Both species should be added in, but cell data unclear. Shares data with C. grayi. Cell data meged with other records of C. ramulosa too.</t>
  </si>
  <si>
    <t>additional species to E. prunastri. No PERCENT_COVER recorded.</t>
  </si>
  <si>
    <t>Changed from T. cespitosum following checks by expert 'deer-grass should be Trichophorum germanicum</t>
  </si>
  <si>
    <t>confirmed by specilaist but may be also need to merge with sample below? - data not merged due to higher abundance here &amp; cell presence already recorded.</t>
  </si>
  <si>
    <t xml:space="preserve">Unclear if cell 6 has presence - partially rubbed out. </t>
  </si>
  <si>
    <t>ID confirmed by specialist for moss D but entered as separate line. No PERCENT_COVER recorded.</t>
  </si>
  <si>
    <t xml:space="preserve"> ? Next to species name.  Idenitified to genus only.</t>
  </si>
  <si>
    <t>Cladonia cervicornis subsp verticillata</t>
  </si>
  <si>
    <t xml:space="preserve">Tree dead </t>
  </si>
  <si>
    <t/>
  </si>
  <si>
    <t>Grasses, Sedges &amp; Rushes</t>
  </si>
  <si>
    <r>
      <t xml:space="preserve">Second survey on this site. Plots surveyed: 49, of which 3 woodland. Species richness: 102. </t>
    </r>
    <r>
      <rPr>
        <i/>
        <sz val="10"/>
        <color theme="1"/>
        <rFont val="Arial"/>
        <family val="2"/>
      </rPr>
      <t>Cladonia strepsilis</t>
    </r>
    <r>
      <rPr>
        <sz val="10"/>
        <color theme="1"/>
        <rFont val="Arial"/>
        <family val="2"/>
      </rPr>
      <t xml:space="preserve"> also identified on site, but not within a plot. Screened for sensitive species and one line of data removed from the Species Template - please contact Natural England if you need the removed data.</t>
    </r>
  </si>
  <si>
    <t>COMPETITION</t>
  </si>
  <si>
    <t>STRESS</t>
  </si>
  <si>
    <t>RUDERALS</t>
  </si>
  <si>
    <t>H8a:34.88</t>
  </si>
  <si>
    <t>H2:33.29</t>
  </si>
  <si>
    <t>H2b:31.14</t>
  </si>
  <si>
    <t>H2a:46.68</t>
  </si>
  <si>
    <t>H2:45.10</t>
  </si>
  <si>
    <t>W18a:44.76</t>
  </si>
  <si>
    <t>M21:70.57</t>
  </si>
  <si>
    <t>M21b:65.73</t>
  </si>
  <si>
    <t>M21a:64.62</t>
  </si>
  <si>
    <t>H2:49.04</t>
  </si>
  <si>
    <t>H2a:48.55</t>
  </si>
  <si>
    <t>H2b:44.76</t>
  </si>
  <si>
    <t>H2a:46.45</t>
  </si>
  <si>
    <t>H2:42.91</t>
  </si>
  <si>
    <t>H8a:38.46</t>
  </si>
  <si>
    <t>H2a:34.31</t>
  </si>
  <si>
    <t>H1b:32.30</t>
  </si>
  <si>
    <t>H2:31.50</t>
  </si>
  <si>
    <t>U20b:53.91</t>
  </si>
  <si>
    <t>U20c:47.00</t>
  </si>
  <si>
    <t>H1c:46.97</t>
  </si>
  <si>
    <t>H1e:26.18</t>
  </si>
  <si>
    <t>H1:25.24</t>
  </si>
  <si>
    <t>H11c:24.92</t>
  </si>
  <si>
    <t>W4:21.43</t>
  </si>
  <si>
    <t>W16a:20.12</t>
  </si>
  <si>
    <t>W10d:20.00</t>
  </si>
  <si>
    <t>M21:47.22</t>
  </si>
  <si>
    <t>M21b:45.85</t>
  </si>
  <si>
    <t>M16a:43.96</t>
  </si>
  <si>
    <t>H2c:54.76</t>
  </si>
  <si>
    <t>H2:51.22</t>
  </si>
  <si>
    <t>H2a:50.91</t>
  </si>
  <si>
    <t>H2a:55.19</t>
  </si>
  <si>
    <t>H2c:52.91</t>
  </si>
  <si>
    <t>H2:50.00</t>
  </si>
  <si>
    <t>M21:66.21</t>
  </si>
  <si>
    <t>M21b:66.20</t>
  </si>
  <si>
    <t>M21a:57.04</t>
  </si>
  <si>
    <t>H9d:31.13</t>
  </si>
  <si>
    <t>H12a:29.76</t>
  </si>
  <si>
    <t>H2b:29.08</t>
  </si>
  <si>
    <t>H2a:44.02</t>
  </si>
  <si>
    <t>H2:41.48</t>
  </si>
  <si>
    <t>H2b:36.40</t>
  </si>
  <si>
    <t>H2a:50.27</t>
  </si>
  <si>
    <t>H2:46.99</t>
  </si>
  <si>
    <t>H2b:42.97</t>
  </si>
  <si>
    <t>H2a:33.99</t>
  </si>
  <si>
    <t>H2:31.36</t>
  </si>
  <si>
    <t>H8a:30.64</t>
  </si>
  <si>
    <t>M21:67.50</t>
  </si>
  <si>
    <t>M21b:63.56</t>
  </si>
  <si>
    <t>M21a:63.41</t>
  </si>
  <si>
    <t>H1e:24.27</t>
  </si>
  <si>
    <t>H1b:22.32</t>
  </si>
  <si>
    <t>H1:21.37</t>
  </si>
  <si>
    <t>H2c:47.85</t>
  </si>
  <si>
    <t>H2a:44.38</t>
  </si>
  <si>
    <t>H2:43.78</t>
  </si>
  <si>
    <t>H2a:33.12</t>
  </si>
  <si>
    <t>H2:32.63</t>
  </si>
  <si>
    <t>H8a:29.81</t>
  </si>
  <si>
    <t>M15c:30.09</t>
  </si>
  <si>
    <t>H2c:29.50</t>
  </si>
  <si>
    <t>H4:26.97</t>
  </si>
  <si>
    <t>H2a:28.11</t>
  </si>
  <si>
    <t>H1b:24.59</t>
  </si>
  <si>
    <t>H2:24.27</t>
  </si>
  <si>
    <t>H2a:34.99</t>
  </si>
  <si>
    <t>H1b:32.56</t>
  </si>
  <si>
    <t>H2:32.00</t>
  </si>
  <si>
    <t>H2:58.75</t>
  </si>
  <si>
    <t>H2a:57.79</t>
  </si>
  <si>
    <t>H2b:57.46</t>
  </si>
  <si>
    <t>H12a:35.19</t>
  </si>
  <si>
    <t>W18a:31.03</t>
  </si>
  <si>
    <t>U2b:30.35</t>
  </si>
  <si>
    <t>H2a:38.50</t>
  </si>
  <si>
    <t>H2:36.04</t>
  </si>
  <si>
    <t>H3b:33.93</t>
  </si>
  <si>
    <t>H2a:43.10</t>
  </si>
  <si>
    <t>H2c:37.09</t>
  </si>
  <si>
    <t>H2:36.84</t>
  </si>
  <si>
    <t>H2c:38.22</t>
  </si>
  <si>
    <t>H2a:37.90</t>
  </si>
  <si>
    <t>H2:37.79</t>
  </si>
  <si>
    <t>M16a:43.06</t>
  </si>
  <si>
    <t>M16:42.55</t>
  </si>
  <si>
    <t>M16c:35.62</t>
  </si>
  <si>
    <t>H2c:45.74</t>
  </si>
  <si>
    <t>H2:42.22</t>
  </si>
  <si>
    <t>H3a:41.44</t>
  </si>
  <si>
    <t>H2:49.92</t>
  </si>
  <si>
    <t>H2b:48.30</t>
  </si>
  <si>
    <t>H2a:47.78</t>
  </si>
  <si>
    <t>M21b:60.56</t>
  </si>
  <si>
    <t>M21:55.64</t>
  </si>
  <si>
    <t>M15a:50.72</t>
  </si>
  <si>
    <t>H2a:41.99</t>
  </si>
  <si>
    <t>H2:39.22</t>
  </si>
  <si>
    <t>H3b:36.70</t>
  </si>
  <si>
    <t>H2a:49.69</t>
  </si>
  <si>
    <t>H2:46.03</t>
  </si>
  <si>
    <t>H3b:40.40</t>
  </si>
  <si>
    <t>H2a:45.98</t>
  </si>
  <si>
    <t>H2:44.21</t>
  </si>
  <si>
    <t>H2c:43.28</t>
  </si>
  <si>
    <t>M21:55.51</t>
  </si>
  <si>
    <t>M16a:52.68</t>
  </si>
  <si>
    <t>M21b:51.09</t>
  </si>
  <si>
    <t>H2a:40.76</t>
  </si>
  <si>
    <t>H2:37.69</t>
  </si>
  <si>
    <t>H2c:35.76</t>
  </si>
  <si>
    <t>H2a:46.06</t>
  </si>
  <si>
    <t>H2:44.54</t>
  </si>
  <si>
    <t>H3a:39.34</t>
  </si>
  <si>
    <t>H2:46.58</t>
  </si>
  <si>
    <t>H2c:46.05</t>
  </si>
  <si>
    <t>H2a:45.05</t>
  </si>
  <si>
    <t>H2a:49.72</t>
  </si>
  <si>
    <t>H2:46.36</t>
  </si>
  <si>
    <t>H2b:42.25</t>
  </si>
  <si>
    <t>H2a:41.16</t>
  </si>
  <si>
    <t>H2:40.04</t>
  </si>
  <si>
    <t>H3b:37.25</t>
  </si>
  <si>
    <t>H2a:43.96</t>
  </si>
  <si>
    <t>H2c:40.24</t>
  </si>
  <si>
    <t>H2:39.93</t>
  </si>
  <si>
    <t>H2a:41.24</t>
  </si>
  <si>
    <t>H2:40.17</t>
  </si>
  <si>
    <t>H1:39.04</t>
  </si>
  <si>
    <t>M15:44.79</t>
  </si>
  <si>
    <t>M16a:44.10</t>
  </si>
  <si>
    <t>W4c:43.72</t>
  </si>
  <si>
    <t>M21:54.47</t>
  </si>
  <si>
    <t>M21b:52.82</t>
  </si>
  <si>
    <t>M21a:50.57</t>
  </si>
  <si>
    <t>M16a:38.82</t>
  </si>
  <si>
    <t>M15:35.91</t>
  </si>
  <si>
    <t>M6a:35.17</t>
  </si>
  <si>
    <t>H2a:45.23</t>
  </si>
  <si>
    <t>H2:43.73</t>
  </si>
  <si>
    <t>H2c:43.36</t>
  </si>
  <si>
    <t>M21:50.12</t>
  </si>
  <si>
    <t>M16a:49.40</t>
  </si>
  <si>
    <t>M21a:45.49</t>
  </si>
  <si>
    <t>bracken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</si>
</sst>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dd/mm/yyyy;@"/>
  </numFmts>
  <fonts count="25" x14ac:knownFonts="1">
    <font>
      <sz val="12"/>
      <color theme="1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name val="MS Sans Serif"/>
      <family val="2"/>
    </font>
    <font>
      <sz val="8"/>
      <color indexed="8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i/>
      <sz val="8"/>
      <color rgb="FFFF0000"/>
      <name val="Arial"/>
      <family val="2"/>
    </font>
    <font>
      <b/>
      <sz val="8"/>
      <color indexed="8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  <font>
      <sz val="8"/>
      <name val="MS Sans Serif"/>
      <family val="2"/>
    </font>
    <font>
      <b/>
      <sz val="8"/>
      <name val="MS Sans Serif"/>
      <family val="2"/>
    </font>
    <font>
      <sz val="8"/>
      <color rgb="FF000000"/>
      <name val="Arial"/>
      <family val="2"/>
    </font>
    <font>
      <i/>
      <sz val="8"/>
      <color rgb="FF000000"/>
      <name val="Arial"/>
      <family val="2"/>
    </font>
    <font>
      <sz val="8"/>
      <color rgb="FFFF0000"/>
      <name val="Arial"/>
      <family val="2"/>
    </font>
    <font>
      <i/>
      <sz val="8"/>
      <color theme="1"/>
      <name val="Arial"/>
      <family val="2"/>
    </font>
    <font>
      <b/>
      <sz val="10"/>
      <color theme="1"/>
      <name val="Arial"/>
      <family val="2"/>
    </font>
    <font>
      <sz val="16"/>
      <color theme="1"/>
      <name val="Arial"/>
      <family val="2"/>
    </font>
    <font>
      <sz val="11"/>
      <color theme="1"/>
      <name val="Arial"/>
      <family val="2"/>
    </font>
    <font>
      <b/>
      <u/>
      <sz val="12"/>
      <color theme="1"/>
      <name val="Arial"/>
      <family val="2"/>
    </font>
    <font>
      <u/>
      <sz val="11"/>
      <color theme="1"/>
      <name val="Arial"/>
      <family val="2"/>
    </font>
    <font>
      <u/>
      <sz val="12"/>
      <color theme="10"/>
      <name val="Arial"/>
      <family val="2"/>
    </font>
    <font>
      <b/>
      <sz val="9"/>
      <color theme="1"/>
      <name val="Arial"/>
      <family val="2"/>
    </font>
    <font>
      <i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/>
        <bgColor indexed="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2" fillId="0" borderId="0" applyNumberFormat="0" applyFill="0" applyBorder="0" applyAlignment="0" applyProtection="0"/>
  </cellStyleXfs>
  <cellXfs count="227">
    <xf numFmtId="0" fontId="0" fillId="0" borderId="0" xfId="0"/>
    <xf numFmtId="0" fontId="6" fillId="0" borderId="0" xfId="0" applyFont="1" applyFill="1" applyBorder="1" applyAlignment="1"/>
    <xf numFmtId="0" fontId="6" fillId="0" borderId="0" xfId="1" applyFont="1" applyFill="1" applyBorder="1" applyAlignment="1">
      <alignment horizontal="left"/>
    </xf>
    <xf numFmtId="0" fontId="6" fillId="0" borderId="0" xfId="0" applyFont="1" applyBorder="1" applyAlignment="1">
      <alignment horizontal="left"/>
    </xf>
    <xf numFmtId="0" fontId="6" fillId="0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4" fillId="0" borderId="0" xfId="7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4" fillId="0" borderId="0" xfId="6" applyFont="1" applyFill="1" applyBorder="1" applyAlignment="1">
      <alignment horizontal="left"/>
    </xf>
    <xf numFmtId="0" fontId="5" fillId="0" borderId="0" xfId="1" applyFont="1" applyFill="1" applyBorder="1" applyAlignment="1">
      <alignment horizontal="left"/>
    </xf>
    <xf numFmtId="0" fontId="6" fillId="0" borderId="0" xfId="1" applyFont="1" applyBorder="1"/>
    <xf numFmtId="0" fontId="4" fillId="0" borderId="0" xfId="5" applyFont="1" applyFill="1" applyBorder="1" applyAlignment="1">
      <alignment horizontal="right" wrapText="1"/>
    </xf>
    <xf numFmtId="0" fontId="4" fillId="0" borderId="0" xfId="7" applyFont="1" applyFill="1" applyBorder="1" applyAlignment="1">
      <alignment horizontal="right" wrapText="1"/>
    </xf>
    <xf numFmtId="0" fontId="4" fillId="0" borderId="0" xfId="7" applyFont="1" applyFill="1" applyBorder="1" applyAlignment="1">
      <alignment wrapText="1"/>
    </xf>
    <xf numFmtId="0" fontId="6" fillId="0" borderId="0" xfId="1" applyFont="1" applyBorder="1" applyAlignment="1">
      <alignment vertical="top" wrapText="1"/>
    </xf>
    <xf numFmtId="0" fontId="6" fillId="0" borderId="0" xfId="0" applyFont="1"/>
    <xf numFmtId="0" fontId="6" fillId="0" borderId="0" xfId="0" applyFont="1" applyFill="1"/>
    <xf numFmtId="0" fontId="6" fillId="0" borderId="0" xfId="1" applyFont="1" applyFill="1" applyBorder="1"/>
    <xf numFmtId="0" fontId="2" fillId="0" borderId="0" xfId="0" applyFont="1"/>
    <xf numFmtId="0" fontId="6" fillId="0" borderId="0" xfId="8" applyFont="1" applyAlignment="1">
      <alignment horizontal="left" vertical="center" wrapText="1"/>
    </xf>
    <xf numFmtId="0" fontId="17" fillId="0" borderId="0" xfId="0" applyFont="1"/>
    <xf numFmtId="0" fontId="0" fillId="0" borderId="0" xfId="0" applyBorder="1"/>
    <xf numFmtId="0" fontId="6" fillId="0" borderId="0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6" fillId="0" borderId="0" xfId="8" applyFont="1"/>
    <xf numFmtId="0" fontId="9" fillId="0" borderId="0" xfId="8" applyFont="1" applyFill="1" applyBorder="1" applyAlignment="1">
      <alignment horizontal="left" vertical="center" wrapText="1"/>
    </xf>
    <xf numFmtId="0" fontId="6" fillId="0" borderId="0" xfId="8" applyFont="1" applyAlignment="1">
      <alignment horizontal="left" vertical="center"/>
    </xf>
    <xf numFmtId="0" fontId="6" fillId="0" borderId="0" xfId="8" applyFont="1" applyFill="1" applyBorder="1" applyAlignment="1">
      <alignment horizontal="left" vertical="center"/>
    </xf>
    <xf numFmtId="0" fontId="6" fillId="0" borderId="0" xfId="8" applyFont="1" applyFill="1" applyAlignment="1">
      <alignment horizontal="left" vertical="center" wrapText="1"/>
    </xf>
    <xf numFmtId="0" fontId="6" fillId="0" borderId="0" xfId="8" applyFont="1" applyFill="1"/>
    <xf numFmtId="0" fontId="6" fillId="0" borderId="0" xfId="8" applyFont="1" applyFill="1" applyAlignment="1">
      <alignment horizontal="left" vertical="center"/>
    </xf>
    <xf numFmtId="0" fontId="4" fillId="0" borderId="0" xfId="3" applyFont="1" applyFill="1" applyBorder="1" applyAlignment="1">
      <alignment horizontal="left"/>
    </xf>
    <xf numFmtId="0" fontId="4" fillId="0" borderId="0" xfId="2" applyFont="1" applyFill="1" applyBorder="1" applyAlignment="1">
      <alignment horizontal="left"/>
    </xf>
    <xf numFmtId="0" fontId="8" fillId="0" borderId="0" xfId="3" applyFont="1" applyFill="1" applyBorder="1" applyAlignment="1">
      <alignment horizontal="left" vertical="center" wrapText="1"/>
    </xf>
    <xf numFmtId="0" fontId="8" fillId="0" borderId="0" xfId="2" applyFont="1" applyFill="1" applyBorder="1" applyAlignment="1">
      <alignment horizontal="left" vertical="center" wrapText="1"/>
    </xf>
    <xf numFmtId="0" fontId="4" fillId="0" borderId="0" xfId="4" applyFont="1" applyFill="1" applyBorder="1" applyAlignment="1">
      <alignment horizontal="left"/>
    </xf>
    <xf numFmtId="0" fontId="8" fillId="0" borderId="0" xfId="4" applyFont="1" applyFill="1" applyBorder="1" applyAlignment="1">
      <alignment horizontal="left" vertical="center" wrapText="1"/>
    </xf>
    <xf numFmtId="0" fontId="8" fillId="0" borderId="0" xfId="5" applyFont="1" applyFill="1" applyBorder="1" applyAlignment="1">
      <alignment horizontal="center" vertical="center"/>
    </xf>
    <xf numFmtId="0" fontId="4" fillId="0" borderId="0" xfId="6" applyFont="1" applyFill="1" applyBorder="1" applyAlignment="1"/>
    <xf numFmtId="0" fontId="4" fillId="0" borderId="6" xfId="3" applyNumberFormat="1" applyFont="1" applyFill="1" applyBorder="1" applyAlignment="1">
      <alignment horizontal="left"/>
    </xf>
    <xf numFmtId="0" fontId="4" fillId="0" borderId="7" xfId="3" applyFont="1" applyFill="1" applyBorder="1" applyAlignment="1">
      <alignment horizontal="left"/>
    </xf>
    <xf numFmtId="0" fontId="4" fillId="0" borderId="8" xfId="3" applyNumberFormat="1" applyFont="1" applyFill="1" applyBorder="1" applyAlignment="1">
      <alignment horizontal="left"/>
    </xf>
    <xf numFmtId="0" fontId="4" fillId="0" borderId="9" xfId="3" applyFont="1" applyFill="1" applyBorder="1" applyAlignment="1">
      <alignment horizontal="left"/>
    </xf>
    <xf numFmtId="0" fontId="4" fillId="0" borderId="10" xfId="3" applyNumberFormat="1" applyFont="1" applyFill="1" applyBorder="1" applyAlignment="1">
      <alignment horizontal="left"/>
    </xf>
    <xf numFmtId="0" fontId="4" fillId="0" borderId="5" xfId="3" applyFont="1" applyFill="1" applyBorder="1" applyAlignment="1">
      <alignment horizontal="left"/>
    </xf>
    <xf numFmtId="0" fontId="4" fillId="0" borderId="6" xfId="2" applyFont="1" applyFill="1" applyBorder="1" applyAlignment="1">
      <alignment horizontal="left"/>
    </xf>
    <xf numFmtId="0" fontId="4" fillId="0" borderId="7" xfId="2" applyFont="1" applyFill="1" applyBorder="1" applyAlignment="1">
      <alignment horizontal="left"/>
    </xf>
    <xf numFmtId="0" fontId="4" fillId="0" borderId="8" xfId="2" applyFont="1" applyFill="1" applyBorder="1" applyAlignment="1">
      <alignment horizontal="left"/>
    </xf>
    <xf numFmtId="0" fontId="4" fillId="0" borderId="9" xfId="2" applyFont="1" applyFill="1" applyBorder="1" applyAlignment="1">
      <alignment horizontal="left"/>
    </xf>
    <xf numFmtId="0" fontId="4" fillId="0" borderId="10" xfId="2" applyFont="1" applyFill="1" applyBorder="1" applyAlignment="1">
      <alignment horizontal="left"/>
    </xf>
    <xf numFmtId="0" fontId="4" fillId="0" borderId="5" xfId="2" applyFont="1" applyFill="1" applyBorder="1" applyAlignment="1">
      <alignment horizontal="left"/>
    </xf>
    <xf numFmtId="0" fontId="4" fillId="0" borderId="6" xfId="4" applyNumberFormat="1" applyFont="1" applyFill="1" applyBorder="1" applyAlignment="1">
      <alignment horizontal="left"/>
    </xf>
    <xf numFmtId="0" fontId="4" fillId="0" borderId="7" xfId="4" applyFont="1" applyFill="1" applyBorder="1" applyAlignment="1">
      <alignment horizontal="left"/>
    </xf>
    <xf numFmtId="0" fontId="4" fillId="0" borderId="8" xfId="4" applyNumberFormat="1" applyFont="1" applyFill="1" applyBorder="1" applyAlignment="1">
      <alignment horizontal="left"/>
    </xf>
    <xf numFmtId="0" fontId="4" fillId="0" borderId="9" xfId="4" applyFont="1" applyFill="1" applyBorder="1" applyAlignment="1">
      <alignment horizontal="left"/>
    </xf>
    <xf numFmtId="0" fontId="4" fillId="0" borderId="10" xfId="4" applyNumberFormat="1" applyFont="1" applyFill="1" applyBorder="1" applyAlignment="1">
      <alignment horizontal="left"/>
    </xf>
    <xf numFmtId="0" fontId="4" fillId="0" borderId="5" xfId="4" applyFont="1" applyFill="1" applyBorder="1" applyAlignment="1">
      <alignment horizontal="left"/>
    </xf>
    <xf numFmtId="0" fontId="4" fillId="0" borderId="6" xfId="5" applyFont="1" applyFill="1" applyBorder="1" applyAlignment="1">
      <alignment wrapText="1"/>
    </xf>
    <xf numFmtId="0" fontId="4" fillId="0" borderId="7" xfId="5" applyFont="1" applyFill="1" applyBorder="1" applyAlignment="1">
      <alignment horizontal="right" wrapText="1"/>
    </xf>
    <xf numFmtId="0" fontId="4" fillId="0" borderId="8" xfId="5" applyFont="1" applyFill="1" applyBorder="1" applyAlignment="1">
      <alignment wrapText="1"/>
    </xf>
    <xf numFmtId="0" fontId="4" fillId="0" borderId="9" xfId="5" applyFont="1" applyFill="1" applyBorder="1" applyAlignment="1">
      <alignment horizontal="right" wrapText="1"/>
    </xf>
    <xf numFmtId="0" fontId="4" fillId="0" borderId="10" xfId="5" applyFont="1" applyFill="1" applyBorder="1" applyAlignment="1">
      <alignment wrapText="1"/>
    </xf>
    <xf numFmtId="0" fontId="4" fillId="0" borderId="5" xfId="5" applyFont="1" applyFill="1" applyBorder="1" applyAlignment="1">
      <alignment horizontal="right" wrapText="1"/>
    </xf>
    <xf numFmtId="0" fontId="13" fillId="0" borderId="0" xfId="0" applyFont="1" applyFill="1" applyBorder="1" applyAlignment="1">
      <alignment horizontal="left" vertical="center"/>
    </xf>
    <xf numFmtId="0" fontId="8" fillId="0" borderId="0" xfId="6" applyFont="1" applyFill="1" applyBorder="1" applyAlignment="1">
      <alignment horizontal="left" vertical="center" wrapText="1"/>
    </xf>
    <xf numFmtId="0" fontId="4" fillId="0" borderId="6" xfId="6" applyFont="1" applyFill="1" applyBorder="1" applyAlignment="1">
      <alignment horizontal="left"/>
    </xf>
    <xf numFmtId="0" fontId="4" fillId="0" borderId="11" xfId="6" applyFont="1" applyFill="1" applyBorder="1" applyAlignment="1">
      <alignment horizontal="left"/>
    </xf>
    <xf numFmtId="0" fontId="4" fillId="0" borderId="7" xfId="6" applyFont="1" applyFill="1" applyBorder="1" applyAlignment="1">
      <alignment horizontal="left"/>
    </xf>
    <xf numFmtId="0" fontId="4" fillId="0" borderId="8" xfId="6" applyFont="1" applyFill="1" applyBorder="1" applyAlignment="1">
      <alignment horizontal="left"/>
    </xf>
    <xf numFmtId="0" fontId="4" fillId="0" borderId="9" xfId="6" applyFont="1" applyFill="1" applyBorder="1" applyAlignment="1">
      <alignment horizontal="left"/>
    </xf>
    <xf numFmtId="0" fontId="4" fillId="0" borderId="8" xfId="6" applyFont="1" applyFill="1" applyBorder="1" applyAlignment="1"/>
    <xf numFmtId="0" fontId="4" fillId="0" borderId="9" xfId="6" applyFont="1" applyFill="1" applyBorder="1" applyAlignment="1"/>
    <xf numFmtId="0" fontId="4" fillId="0" borderId="10" xfId="6" applyFont="1" applyFill="1" applyBorder="1" applyAlignment="1"/>
    <xf numFmtId="0" fontId="4" fillId="0" borderId="4" xfId="6" applyFont="1" applyFill="1" applyBorder="1" applyAlignment="1"/>
    <xf numFmtId="0" fontId="4" fillId="0" borderId="5" xfId="6" applyFont="1" applyFill="1" applyBorder="1" applyAlignment="1"/>
    <xf numFmtId="0" fontId="13" fillId="0" borderId="0" xfId="0" applyFont="1" applyFill="1" applyBorder="1" applyAlignment="1">
      <alignment horizontal="left"/>
    </xf>
    <xf numFmtId="0" fontId="14" fillId="0" borderId="0" xfId="0" applyFont="1" applyFill="1" applyBorder="1" applyAlignment="1">
      <alignment horizontal="left" vertical="center"/>
    </xf>
    <xf numFmtId="0" fontId="13" fillId="0" borderId="3" xfId="0" applyFont="1" applyFill="1" applyBorder="1" applyAlignment="1">
      <alignment horizontal="left" vertical="center"/>
    </xf>
    <xf numFmtId="0" fontId="13" fillId="0" borderId="12" xfId="0" applyFont="1" applyFill="1" applyBorder="1" applyAlignment="1">
      <alignment horizontal="left" vertical="center"/>
    </xf>
    <xf numFmtId="0" fontId="13" fillId="0" borderId="12" xfId="0" applyFont="1" applyBorder="1" applyAlignment="1">
      <alignment horizontal="left" vertical="center"/>
    </xf>
    <xf numFmtId="0" fontId="13" fillId="0" borderId="13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center" vertical="center" wrapText="1"/>
    </xf>
    <xf numFmtId="0" fontId="13" fillId="0" borderId="12" xfId="0" applyFont="1" applyFill="1" applyBorder="1" applyAlignment="1">
      <alignment horizontal="left"/>
    </xf>
    <xf numFmtId="0" fontId="13" fillId="0" borderId="12" xfId="0" applyFont="1" applyBorder="1" applyAlignment="1">
      <alignment horizontal="left"/>
    </xf>
    <xf numFmtId="0" fontId="6" fillId="0" borderId="12" xfId="0" applyFont="1" applyBorder="1" applyAlignment="1">
      <alignment horizontal="left"/>
    </xf>
    <xf numFmtId="0" fontId="14" fillId="0" borderId="12" xfId="0" applyFont="1" applyFill="1" applyBorder="1" applyAlignment="1">
      <alignment horizontal="left" vertical="center"/>
    </xf>
    <xf numFmtId="0" fontId="6" fillId="0" borderId="13" xfId="0" applyFont="1" applyBorder="1" applyAlignment="1">
      <alignment horizontal="left"/>
    </xf>
    <xf numFmtId="0" fontId="10" fillId="0" borderId="0" xfId="1" applyFont="1" applyFill="1" applyBorder="1"/>
    <xf numFmtId="0" fontId="4" fillId="0" borderId="6" xfId="7" applyNumberFormat="1" applyFont="1" applyFill="1" applyBorder="1" applyAlignment="1">
      <alignment horizontal="left"/>
    </xf>
    <xf numFmtId="0" fontId="4" fillId="0" borderId="11" xfId="7" applyFont="1" applyFill="1" applyBorder="1" applyAlignment="1">
      <alignment horizontal="left"/>
    </xf>
    <xf numFmtId="0" fontId="6" fillId="0" borderId="7" xfId="0" applyFont="1" applyFill="1" applyBorder="1" applyAlignment="1">
      <alignment horizontal="left"/>
    </xf>
    <xf numFmtId="0" fontId="4" fillId="0" borderId="8" xfId="7" applyNumberFormat="1" applyFont="1" applyFill="1" applyBorder="1" applyAlignment="1">
      <alignment horizontal="left"/>
    </xf>
    <xf numFmtId="0" fontId="6" fillId="0" borderId="9" xfId="0" applyFont="1" applyFill="1" applyBorder="1" applyAlignment="1">
      <alignment horizontal="left"/>
    </xf>
    <xf numFmtId="0" fontId="6" fillId="0" borderId="8" xfId="1" applyNumberFormat="1" applyFont="1" applyFill="1" applyBorder="1" applyAlignment="1">
      <alignment horizontal="left"/>
    </xf>
    <xf numFmtId="0" fontId="4" fillId="0" borderId="10" xfId="7" applyNumberFormat="1" applyFont="1" applyFill="1" applyBorder="1" applyAlignment="1">
      <alignment horizontal="left"/>
    </xf>
    <xf numFmtId="0" fontId="4" fillId="0" borderId="4" xfId="7" applyFont="1" applyFill="1" applyBorder="1" applyAlignment="1">
      <alignment horizontal="left"/>
    </xf>
    <xf numFmtId="0" fontId="6" fillId="0" borderId="5" xfId="0" applyFont="1" applyFill="1" applyBorder="1" applyAlignment="1">
      <alignment horizontal="left"/>
    </xf>
    <xf numFmtId="0" fontId="6" fillId="0" borderId="8" xfId="0" applyNumberFormat="1" applyFont="1" applyFill="1" applyBorder="1" applyAlignment="1">
      <alignment horizontal="left"/>
    </xf>
    <xf numFmtId="0" fontId="6" fillId="0" borderId="10" xfId="0" applyNumberFormat="1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left" vertical="center" wrapText="1"/>
    </xf>
    <xf numFmtId="0" fontId="6" fillId="0" borderId="3" xfId="1" applyFont="1" applyFill="1" applyBorder="1"/>
    <xf numFmtId="0" fontId="6" fillId="0" borderId="12" xfId="1" applyFont="1" applyFill="1" applyBorder="1"/>
    <xf numFmtId="0" fontId="6" fillId="0" borderId="13" xfId="1" applyFont="1" applyFill="1" applyBorder="1"/>
    <xf numFmtId="0" fontId="10" fillId="0" borderId="0" xfId="8" applyFont="1" applyAlignment="1">
      <alignment horizontal="left" vertical="center" wrapText="1"/>
    </xf>
    <xf numFmtId="0" fontId="12" fillId="0" borderId="0" xfId="8" applyFont="1" applyFill="1" applyBorder="1" applyAlignment="1">
      <alignment horizontal="left" vertical="center" wrapText="1"/>
    </xf>
    <xf numFmtId="0" fontId="11" fillId="0" borderId="0" xfId="8" applyFont="1" applyFill="1" applyBorder="1" applyAlignment="1">
      <alignment horizontal="left" vertical="center" wrapText="1"/>
    </xf>
    <xf numFmtId="164" fontId="10" fillId="0" borderId="0" xfId="8" applyNumberFormat="1" applyFont="1" applyAlignment="1">
      <alignment horizontal="left" vertical="center" wrapText="1"/>
    </xf>
    <xf numFmtId="164" fontId="6" fillId="0" borderId="0" xfId="8" applyNumberFormat="1" applyFont="1" applyAlignment="1">
      <alignment horizontal="left" vertical="center" wrapText="1"/>
    </xf>
    <xf numFmtId="0" fontId="15" fillId="0" borderId="0" xfId="8" applyFont="1" applyFill="1" applyBorder="1" applyAlignment="1">
      <alignment horizontal="left" vertical="center" wrapText="1"/>
    </xf>
    <xf numFmtId="0" fontId="18" fillId="0" borderId="0" xfId="0" applyFont="1"/>
    <xf numFmtId="0" fontId="0" fillId="0" borderId="1" xfId="0" applyBorder="1"/>
    <xf numFmtId="0" fontId="19" fillId="0" borderId="0" xfId="0" applyFont="1"/>
    <xf numFmtId="0" fontId="20" fillId="0" borderId="0" xfId="0" applyFont="1"/>
    <xf numFmtId="0" fontId="21" fillId="0" borderId="0" xfId="0" applyFont="1"/>
    <xf numFmtId="14" fontId="19" fillId="0" borderId="0" xfId="0" applyNumberFormat="1" applyFont="1" applyAlignment="1">
      <alignment horizontal="left"/>
    </xf>
    <xf numFmtId="0" fontId="2" fillId="0" borderId="0" xfId="0" applyFont="1" applyBorder="1"/>
    <xf numFmtId="0" fontId="7" fillId="0" borderId="0" xfId="0" applyFont="1" applyAlignment="1">
      <alignment horizontal="left" vertical="center" wrapText="1"/>
    </xf>
    <xf numFmtId="0" fontId="6" fillId="0" borderId="0" xfId="0" applyNumberFormat="1" applyFont="1" applyFill="1" applyAlignment="1">
      <alignment horizontal="left" vertical="center" wrapText="1"/>
    </xf>
    <xf numFmtId="0" fontId="6" fillId="0" borderId="0" xfId="0" applyNumberFormat="1" applyFont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22" fillId="0" borderId="0" xfId="9"/>
    <xf numFmtId="0" fontId="6" fillId="0" borderId="0" xfId="8" applyFont="1" applyAlignment="1">
      <alignment horizontal="left"/>
    </xf>
    <xf numFmtId="1" fontId="6" fillId="0" borderId="0" xfId="8" applyNumberFormat="1" applyFont="1" applyAlignment="1">
      <alignment horizontal="left"/>
    </xf>
    <xf numFmtId="14" fontId="6" fillId="0" borderId="0" xfId="8" applyNumberFormat="1" applyFont="1"/>
    <xf numFmtId="0" fontId="6" fillId="0" borderId="0" xfId="8" applyFont="1" applyAlignment="1">
      <alignment horizontal="left" wrapText="1"/>
    </xf>
    <xf numFmtId="1" fontId="6" fillId="0" borderId="0" xfId="8" applyNumberFormat="1" applyFont="1" applyFill="1" applyAlignment="1">
      <alignment horizontal="left"/>
    </xf>
    <xf numFmtId="14" fontId="6" fillId="0" borderId="0" xfId="8" applyNumberFormat="1" applyFont="1" applyFill="1"/>
    <xf numFmtId="1" fontId="6" fillId="0" borderId="0" xfId="8" applyNumberFormat="1" applyFont="1" applyFill="1" applyAlignment="1">
      <alignment horizontal="left" vertical="center" wrapText="1"/>
    </xf>
    <xf numFmtId="165" fontId="6" fillId="0" borderId="0" xfId="8" applyNumberFormat="1" applyFont="1" applyAlignment="1">
      <alignment horizontal="left"/>
    </xf>
    <xf numFmtId="165" fontId="6" fillId="0" borderId="0" xfId="8" applyNumberFormat="1" applyFont="1" applyFill="1" applyAlignment="1">
      <alignment horizontal="left"/>
    </xf>
    <xf numFmtId="165" fontId="6" fillId="0" borderId="0" xfId="8" applyNumberFormat="1" applyFont="1" applyFill="1" applyAlignment="1">
      <alignment horizontal="left" vertical="center" wrapText="1"/>
    </xf>
    <xf numFmtId="0" fontId="16" fillId="0" borderId="0" xfId="0" applyFont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6" fillId="0" borderId="0" xfId="0" applyFont="1" applyAlignment="1">
      <alignment vertical="center" wrapText="1"/>
    </xf>
    <xf numFmtId="0" fontId="6" fillId="0" borderId="0" xfId="8" applyFont="1" applyAlignment="1">
      <alignment vertical="center" wrapText="1"/>
    </xf>
    <xf numFmtId="0" fontId="6" fillId="0" borderId="0" xfId="0" applyFont="1" applyAlignment="1"/>
    <xf numFmtId="0" fontId="6" fillId="0" borderId="0" xfId="0" applyNumberFormat="1" applyFont="1" applyAlignment="1">
      <alignment vertical="center" wrapText="1"/>
    </xf>
    <xf numFmtId="0" fontId="15" fillId="0" borderId="0" xfId="0" applyFont="1" applyAlignment="1">
      <alignment horizontal="left" vertical="center" wrapText="1"/>
    </xf>
    <xf numFmtId="0" fontId="6" fillId="0" borderId="0" xfId="0" applyFont="1" applyFill="1" applyAlignment="1">
      <alignment vertical="center" wrapText="1"/>
    </xf>
    <xf numFmtId="0" fontId="6" fillId="0" borderId="0" xfId="0" applyNumberFormat="1" applyFont="1" applyBorder="1" applyAlignment="1">
      <alignment vertical="top" wrapText="1"/>
    </xf>
    <xf numFmtId="0" fontId="6" fillId="0" borderId="0" xfId="0" applyFont="1" applyAlignment="1">
      <alignment horizontal="left"/>
    </xf>
    <xf numFmtId="0" fontId="6" fillId="0" borderId="0" xfId="0" applyFont="1" applyFill="1" applyAlignment="1">
      <alignment horizontal="left"/>
    </xf>
    <xf numFmtId="0" fontId="6" fillId="0" borderId="0" xfId="0" applyNumberFormat="1" applyFont="1" applyAlignment="1"/>
    <xf numFmtId="0" fontId="6" fillId="0" borderId="0" xfId="0" applyFont="1" applyFill="1" applyAlignment="1"/>
    <xf numFmtId="0" fontId="6" fillId="0" borderId="0" xfId="0" applyNumberFormat="1" applyFont="1" applyFill="1" applyAlignment="1"/>
    <xf numFmtId="0" fontId="6" fillId="0" borderId="0" xfId="0" applyNumberFormat="1" applyFont="1" applyFill="1" applyAlignment="1">
      <alignment vertical="center" wrapText="1"/>
    </xf>
    <xf numFmtId="0" fontId="16" fillId="0" borderId="0" xfId="0" applyFont="1"/>
    <xf numFmtId="0" fontId="6" fillId="0" borderId="0" xfId="0" applyFont="1" applyFill="1" applyAlignment="1">
      <alignment horizontal="left" wrapText="1"/>
    </xf>
    <xf numFmtId="0" fontId="6" fillId="0" borderId="0" xfId="0" applyNumberFormat="1" applyFont="1" applyBorder="1" applyAlignment="1"/>
    <xf numFmtId="0" fontId="6" fillId="0" borderId="0" xfId="0" applyFont="1" applyBorder="1" applyAlignment="1"/>
    <xf numFmtId="165" fontId="6" fillId="0" borderId="0" xfId="8" applyNumberFormat="1" applyFont="1" applyAlignment="1">
      <alignment horizontal="left" vertical="center" wrapText="1"/>
    </xf>
    <xf numFmtId="14" fontId="6" fillId="0" borderId="0" xfId="8" applyNumberFormat="1" applyFont="1" applyFill="1" applyAlignment="1">
      <alignment horizontal="right" vertical="center" wrapText="1"/>
    </xf>
    <xf numFmtId="0" fontId="6" fillId="0" borderId="0" xfId="8" applyFont="1" applyAlignment="1">
      <alignment horizontal="right"/>
    </xf>
    <xf numFmtId="0" fontId="6" fillId="0" borderId="0" xfId="8" applyFont="1" applyFill="1" applyAlignment="1">
      <alignment horizontal="right"/>
    </xf>
    <xf numFmtId="0" fontId="6" fillId="0" borderId="0" xfId="8" applyFont="1" applyFill="1" applyAlignment="1">
      <alignment horizontal="right" vertical="center" wrapText="1"/>
    </xf>
    <xf numFmtId="0" fontId="6" fillId="0" borderId="0" xfId="8" applyFont="1" applyAlignment="1">
      <alignment horizontal="right" vertical="center" wrapText="1"/>
    </xf>
    <xf numFmtId="0" fontId="16" fillId="0" borderId="0" xfId="8" applyFont="1" applyAlignment="1">
      <alignment vertical="center" wrapText="1"/>
    </xf>
    <xf numFmtId="0" fontId="16" fillId="0" borderId="0" xfId="8" applyFont="1" applyAlignment="1">
      <alignment horizontal="left" vertical="center" wrapText="1"/>
    </xf>
    <xf numFmtId="0" fontId="8" fillId="0" borderId="0" xfId="0" applyNumberFormat="1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left" wrapText="1"/>
    </xf>
    <xf numFmtId="0" fontId="5" fillId="0" borderId="0" xfId="8" applyFont="1" applyFill="1" applyAlignment="1">
      <alignment horizontal="left"/>
    </xf>
    <xf numFmtId="0" fontId="19" fillId="0" borderId="0" xfId="0" applyFont="1" applyAlignment="1">
      <alignment horizontal="left"/>
    </xf>
    <xf numFmtId="0" fontId="5" fillId="0" borderId="0" xfId="8" applyFont="1"/>
    <xf numFmtId="0" fontId="5" fillId="0" borderId="0" xfId="8" applyFont="1" applyFill="1"/>
    <xf numFmtId="165" fontId="6" fillId="0" borderId="0" xfId="0" applyNumberFormat="1" applyFont="1" applyFill="1" applyBorder="1" applyAlignment="1">
      <alignment horizontal="left"/>
    </xf>
    <xf numFmtId="0" fontId="6" fillId="0" borderId="0" xfId="0" applyFont="1" applyFill="1" applyBorder="1"/>
    <xf numFmtId="166" fontId="5" fillId="0" borderId="0" xfId="8" applyNumberFormat="1" applyFont="1" applyFill="1"/>
    <xf numFmtId="1" fontId="5" fillId="0" borderId="0" xfId="8" applyNumberFormat="1" applyFont="1" applyFill="1"/>
    <xf numFmtId="0" fontId="5" fillId="0" borderId="0" xfId="8" applyFont="1" applyFill="1" applyAlignment="1">
      <alignment horizontal="right"/>
    </xf>
    <xf numFmtId="0" fontId="5" fillId="0" borderId="0" xfId="8" applyFont="1" applyFill="1" applyAlignment="1">
      <alignment horizontal="left" vertical="center" wrapText="1"/>
    </xf>
    <xf numFmtId="0" fontId="5" fillId="0" borderId="0" xfId="8" applyFont="1" applyFill="1" applyAlignment="1">
      <alignment horizontal="left" vertical="center"/>
    </xf>
    <xf numFmtId="14" fontId="5" fillId="0" borderId="0" xfId="8" applyNumberFormat="1" applyFont="1" applyFill="1"/>
    <xf numFmtId="0" fontId="5" fillId="0" borderId="0" xfId="8" applyFont="1" applyAlignment="1">
      <alignment horizontal="left"/>
    </xf>
    <xf numFmtId="165" fontId="5" fillId="0" borderId="0" xfId="0" applyNumberFormat="1" applyFont="1" applyBorder="1" applyAlignment="1">
      <alignment horizontal="left"/>
    </xf>
    <xf numFmtId="165" fontId="6" fillId="0" borderId="0" xfId="0" applyNumberFormat="1" applyFont="1" applyBorder="1" applyAlignment="1">
      <alignment horizontal="left"/>
    </xf>
    <xf numFmtId="0" fontId="6" fillId="0" borderId="0" xfId="0" applyFont="1" applyBorder="1"/>
    <xf numFmtId="1" fontId="5" fillId="0" borderId="0" xfId="8" applyNumberFormat="1" applyFont="1"/>
    <xf numFmtId="0" fontId="5" fillId="0" borderId="0" xfId="8" applyFont="1" applyAlignment="1">
      <alignment horizontal="right"/>
    </xf>
    <xf numFmtId="14" fontId="5" fillId="0" borderId="0" xfId="8" applyNumberFormat="1" applyFont="1"/>
    <xf numFmtId="0" fontId="6" fillId="0" borderId="0" xfId="0" applyFont="1" applyAlignment="1">
      <alignment vertical="center"/>
    </xf>
    <xf numFmtId="0" fontId="16" fillId="0" borderId="0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6" fillId="0" borderId="0" xfId="0" applyNumberFormat="1" applyFont="1" applyBorder="1" applyAlignment="1">
      <alignment vertical="center" wrapText="1"/>
    </xf>
    <xf numFmtId="0" fontId="6" fillId="0" borderId="0" xfId="8" applyFont="1" applyAlignment="1">
      <alignment vertical="center"/>
    </xf>
    <xf numFmtId="0" fontId="6" fillId="0" borderId="0" xfId="0" applyFont="1" applyFill="1" applyAlignment="1">
      <alignment vertical="center"/>
    </xf>
    <xf numFmtId="0" fontId="16" fillId="0" borderId="0" xfId="0" applyFont="1" applyFill="1" applyAlignment="1">
      <alignment vertical="center"/>
    </xf>
    <xf numFmtId="0" fontId="6" fillId="0" borderId="0" xfId="0" applyNumberFormat="1" applyFont="1" applyAlignment="1">
      <alignment vertical="center"/>
    </xf>
    <xf numFmtId="0" fontId="6" fillId="0" borderId="0" xfId="0" applyNumberFormat="1" applyFont="1" applyFill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 applyFill="1" applyAlignment="1">
      <alignment vertical="center" wrapText="1"/>
    </xf>
    <xf numFmtId="0" fontId="6" fillId="0" borderId="0" xfId="8" applyFont="1" applyFill="1" applyAlignment="1">
      <alignment vertical="center"/>
    </xf>
    <xf numFmtId="0" fontId="6" fillId="0" borderId="0" xfId="0" applyFont="1" applyFill="1" applyAlignment="1">
      <alignment horizontal="right" vertical="center" wrapText="1"/>
    </xf>
    <xf numFmtId="0" fontId="16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vertical="center" wrapText="1"/>
    </xf>
    <xf numFmtId="0" fontId="6" fillId="0" borderId="0" xfId="0" applyNumberFormat="1" applyFont="1" applyFill="1" applyBorder="1" applyAlignment="1">
      <alignment vertical="center" wrapText="1"/>
    </xf>
    <xf numFmtId="0" fontId="6" fillId="0" borderId="0" xfId="8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right" vertical="center" wrapText="1"/>
    </xf>
    <xf numFmtId="0" fontId="9" fillId="2" borderId="1" xfId="8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8" applyFont="1" applyFill="1" applyBorder="1" applyAlignment="1">
      <alignment horizontal="righ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8" fillId="3" borderId="2" xfId="6" applyFont="1" applyFill="1" applyBorder="1" applyAlignment="1">
      <alignment horizontal="center" vertical="center" wrapText="1"/>
    </xf>
    <xf numFmtId="0" fontId="8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wrapText="1"/>
    </xf>
    <xf numFmtId="0" fontId="8" fillId="2" borderId="3" xfId="0" applyNumberFormat="1" applyFont="1" applyFill="1" applyBorder="1" applyAlignment="1">
      <alignment horizontal="center" vertical="center" wrapText="1"/>
    </xf>
    <xf numFmtId="0" fontId="10" fillId="2" borderId="1" xfId="8" applyFont="1" applyFill="1" applyBorder="1" applyAlignment="1">
      <alignment horizontal="center" vertical="center" wrapText="1"/>
    </xf>
    <xf numFmtId="164" fontId="9" fillId="2" borderId="1" xfId="8" applyNumberFormat="1" applyFont="1" applyFill="1" applyBorder="1" applyAlignment="1">
      <alignment horizontal="center" vertical="center" wrapText="1"/>
    </xf>
    <xf numFmtId="0" fontId="8" fillId="3" borderId="1" xfId="3" applyFont="1" applyFill="1" applyBorder="1" applyAlignment="1">
      <alignment horizontal="center" vertical="center" wrapText="1"/>
    </xf>
    <xf numFmtId="0" fontId="8" fillId="3" borderId="1" xfId="2" applyFont="1" applyFill="1" applyBorder="1" applyAlignment="1">
      <alignment horizontal="center" vertical="center" wrapText="1"/>
    </xf>
    <xf numFmtId="0" fontId="8" fillId="3" borderId="1" xfId="4" applyFont="1" applyFill="1" applyBorder="1" applyAlignment="1">
      <alignment horizontal="center" vertical="center" wrapText="1"/>
    </xf>
    <xf numFmtId="0" fontId="8" fillId="3" borderId="1" xfId="5" applyFont="1" applyFill="1" applyBorder="1" applyAlignment="1">
      <alignment horizontal="center" vertical="center"/>
    </xf>
    <xf numFmtId="0" fontId="8" fillId="3" borderId="3" xfId="6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10" fillId="2" borderId="1" xfId="1" applyFont="1" applyFill="1" applyBorder="1"/>
    <xf numFmtId="0" fontId="23" fillId="2" borderId="1" xfId="0" applyFont="1" applyFill="1" applyBorder="1"/>
    <xf numFmtId="0" fontId="16" fillId="0" borderId="0" xfId="0" applyFont="1" applyFill="1" applyBorder="1" applyAlignment="1">
      <alignment vertical="center"/>
    </xf>
    <xf numFmtId="0" fontId="6" fillId="0" borderId="0" xfId="0" applyNumberFormat="1" applyFont="1" applyFill="1" applyBorder="1" applyAlignment="1">
      <alignment vertical="center"/>
    </xf>
    <xf numFmtId="0" fontId="2" fillId="0" borderId="0" xfId="0" applyFont="1" applyBorder="1" applyAlignment="1">
      <alignment wrapText="1"/>
    </xf>
    <xf numFmtId="0" fontId="2" fillId="0" borderId="0" xfId="0" applyFont="1" applyAlignment="1"/>
  </cellXfs>
  <cellStyles count="10">
    <cellStyle name="Hyperlink" xfId="9" builtinId="8"/>
    <cellStyle name="Normal" xfId="0" builtinId="0"/>
    <cellStyle name="Normal 2" xfId="1" xr:uid="{00000000-0005-0000-0000-000002000000}"/>
    <cellStyle name="Normal 3" xfId="8" xr:uid="{00000000-0005-0000-0000-000003000000}"/>
    <cellStyle name="Normal_LandUse_Lookup" xfId="2" xr:uid="{00000000-0005-0000-0000-000004000000}"/>
    <cellStyle name="Normal_Sheet1" xfId="3" xr:uid="{00000000-0005-0000-0000-000005000000}"/>
    <cellStyle name="Normal_Sheet3" xfId="4" xr:uid="{00000000-0005-0000-0000-000006000000}"/>
    <cellStyle name="Normal_Sheet4" xfId="5" xr:uid="{00000000-0005-0000-0000-000007000000}"/>
    <cellStyle name="Normal_Sheet5" xfId="6" xr:uid="{00000000-0005-0000-0000-000008000000}"/>
    <cellStyle name="Normal_Sheet6" xfId="7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428625</xdr:colOff>
      <xdr:row>2</xdr:row>
      <xdr:rowOff>161925</xdr:rowOff>
    </xdr:from>
    <xdr:to>
      <xdr:col>6</xdr:col>
      <xdr:colOff>619125</xdr:colOff>
      <xdr:row>11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14875" y="609600"/>
          <a:ext cx="1714500" cy="1714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600075</xdr:colOff>
      <xdr:row>13</xdr:row>
      <xdr:rowOff>114300</xdr:rowOff>
    </xdr:from>
    <xdr:to>
      <xdr:col>12</xdr:col>
      <xdr:colOff>609600</xdr:colOff>
      <xdr:row>13</xdr:row>
      <xdr:rowOff>123825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14:cNvPr>
            <xdr14:cNvContentPartPr>
              <a14:cpLocks xmlns:a14="http://schemas.microsoft.com/office/drawing/2010/main" noChangeArrowheads="1"/>
            </xdr14:cNvContentPartPr>
          </xdr14:nvContentPartPr>
          <xdr14:nvPr macro=""/>
          <xdr14:xfrm>
            <a:off x="7458075" y="7981950"/>
            <a:ext cx="9525" cy="9525"/>
          </xdr14:xfrm>
        </xdr:contentPart>
      </mc:Choice>
      <mc:Fallback xmlns="">
        <xdr:pic>
          <xdr:nvPicPr>
            <xdr:cNvPr id="2" name="Ink 1"/>
            <xdr:cNvPicPr>
              <a:picLocks noChangeArrowheads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0" y="0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x939960\AppData\Local\Microsoft\Windows\Temporary%20Internet%20Files\Content.Outlook\0OHOVKF1\Thursley\Copy%20of%20Thursley%20Vegetation%20Data-with%20new%20QC%209-11-15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281427\AppData\Local\Microsoft\Windows\Temporary%20Internet%20Files\Content.Outlook\ZQC142VT\VEG%20Whole%20Plot%20Data%20Templat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e254df\x945235$\@Science_Evidence_&amp;_Analysis\Integrated_Monitoring\IM_Programme\Long_Term_Network\Data_Management\Data_Formats_and_Templates\LTMN_ECN_DataEntry_Templates_Vegetation\VWdominancetemplate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281427\AppData\Local\Microsoft\Windows\Temporary%20Internet%20Files\Content.Outlook\ZQC142VT\VEG%20Cell%20Features%20Templat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281427\AppData\Local\Microsoft\Windows\Temporary%20Internet%20Files\Content.Outlook\ZQC142VT\VEG%20Extras%20Data%20Templat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e254df\x945235$\@Science_Evidence_&amp;_Analysis\Integrated_Monitoring\IM_Programme\Long_Term_Network\Data_Management\Data_Formats_and_Templates\LTMN_ECN_DataEntry_Templates_Vegetation\VWseedlingstemplat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ecies Template"/>
      <sheetName val="Whole Plot Data"/>
      <sheetName val="Altitude"/>
      <sheetName val="Ground features + Extra Species"/>
      <sheetName val="Cell Features Template"/>
      <sheetName val="NEW QCODES"/>
      <sheetName val="All_LTMN_Lookups"/>
      <sheetName val="DELETED LINES"/>
      <sheetName val="DELETED LINES 2"/>
      <sheetName val="Woodland Coordinates"/>
      <sheetName val="Seedlings Template"/>
      <sheetName val="Dbh"/>
      <sheetName val="Dominance Template"/>
      <sheetName val="Data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hole Plot Data"/>
      <sheetName val="All_LTMN_Lookups"/>
    </sheetNames>
    <sheetDataSet>
      <sheetData sheetId="0"/>
      <sheetData sheetId="1">
        <row r="2">
          <cell r="A2">
            <v>1</v>
          </cell>
          <cell r="I2" t="str">
            <v>B01</v>
          </cell>
          <cell r="L2">
            <v>100</v>
          </cell>
          <cell r="M2" t="str">
            <v>No information available - data lost</v>
          </cell>
          <cell r="N2" t="str">
            <v>Calcareous grassland</v>
          </cell>
          <cell r="O2" t="str">
            <v>Lowland calcareous grassland</v>
          </cell>
        </row>
        <row r="3">
          <cell r="I3" t="str">
            <v>B02</v>
          </cell>
          <cell r="L3">
            <v>101</v>
          </cell>
          <cell r="M3" t="str">
            <v>No sample/reading taken - equipment out of action/unable to visit equipment</v>
          </cell>
          <cell r="N3" t="str">
            <v>Acid grassland</v>
          </cell>
          <cell r="O3" t="str">
            <v>Upland calcareous grassland</v>
          </cell>
        </row>
        <row r="4">
          <cell r="I4" t="str">
            <v>B03</v>
          </cell>
          <cell r="L4">
            <v>102</v>
          </cell>
          <cell r="M4" t="str">
            <v>Sample lost or inadvertently discarded</v>
          </cell>
          <cell r="N4" t="str">
            <v>Improved grassland</v>
          </cell>
          <cell r="O4" t="str">
            <v>Lowland dry acid grassland</v>
          </cell>
        </row>
        <row r="5">
          <cell r="I5" t="str">
            <v>B04</v>
          </cell>
          <cell r="L5">
            <v>103</v>
          </cell>
          <cell r="M5" t="str">
            <v>Partial loss of sample</v>
          </cell>
          <cell r="N5" t="str">
            <v xml:space="preserve">Neutral grassland </v>
          </cell>
          <cell r="O5" t="str">
            <v>Coastal and floodplain grazing marsh</v>
          </cell>
        </row>
        <row r="6">
          <cell r="I6" t="str">
            <v>B05</v>
          </cell>
          <cell r="L6">
            <v>104</v>
          </cell>
          <cell r="M6" t="str">
            <v>Sample frozen when collected</v>
          </cell>
          <cell r="N6" t="str">
            <v>Coniferous woodland</v>
          </cell>
          <cell r="O6" t="str">
            <v>Lowland meadows</v>
          </cell>
        </row>
        <row r="7">
          <cell r="I7" t="str">
            <v>B06</v>
          </cell>
          <cell r="L7">
            <v>105</v>
          </cell>
          <cell r="M7" t="str">
            <v>Snow in funnel when sample collected</v>
          </cell>
          <cell r="N7" t="str">
            <v>Broadleaved woodland</v>
          </cell>
          <cell r="O7" t="str">
            <v>Upland hay meadows</v>
          </cell>
        </row>
        <row r="8">
          <cell r="I8" t="str">
            <v>B07</v>
          </cell>
          <cell r="L8">
            <v>106</v>
          </cell>
          <cell r="M8" t="str">
            <v>Snow during sampling period</v>
          </cell>
          <cell r="N8" t="str">
            <v>Arable and horticultural</v>
          </cell>
          <cell r="O8" t="str">
            <v>Lowland beech and yew woodland</v>
          </cell>
        </row>
        <row r="9">
          <cell r="I9" t="str">
            <v>B08</v>
          </cell>
          <cell r="L9">
            <v>107</v>
          </cell>
          <cell r="M9" t="str">
            <v>Bird droppings in funnel</v>
          </cell>
          <cell r="N9" t="str">
            <v>Boundary and linear</v>
          </cell>
          <cell r="O9" t="str">
            <v>Lowland mixed deciduous woodland</v>
          </cell>
        </row>
        <row r="10">
          <cell r="I10" t="str">
            <v>B09</v>
          </cell>
          <cell r="L10">
            <v>108</v>
          </cell>
          <cell r="M10" t="str">
            <v>Insects in sample</v>
          </cell>
          <cell r="N10" t="str">
            <v>Bracken</v>
          </cell>
          <cell r="O10" t="str">
            <v>Upland mixed ashwoods</v>
          </cell>
        </row>
        <row r="11">
          <cell r="I11" t="str">
            <v>B10</v>
          </cell>
          <cell r="L11">
            <v>109</v>
          </cell>
          <cell r="M11" t="str">
            <v>Leaves in sample</v>
          </cell>
          <cell r="N11" t="str">
            <v>Dwarf shrub heath</v>
          </cell>
          <cell r="O11" t="str">
            <v>Upland oakwood</v>
          </cell>
        </row>
        <row r="12">
          <cell r="I12" t="str">
            <v>B11</v>
          </cell>
          <cell r="L12">
            <v>110</v>
          </cell>
          <cell r="M12" t="str">
            <v>Soil in sample</v>
          </cell>
          <cell r="N12" t="str">
            <v>Bog</v>
          </cell>
          <cell r="O12" t="str">
            <v>Wet woodland</v>
          </cell>
        </row>
        <row r="13">
          <cell r="I13" t="str">
            <v>B12</v>
          </cell>
          <cell r="L13">
            <v>111</v>
          </cell>
          <cell r="M13" t="str">
            <v>Unidentified debris in sample</v>
          </cell>
          <cell r="N13" t="str">
            <v>Fen, marsh and swamp</v>
          </cell>
          <cell r="O13" t="str">
            <v>Wood pasture and parkland</v>
          </cell>
        </row>
        <row r="14">
          <cell r="I14" t="str">
            <v>B13</v>
          </cell>
          <cell r="L14">
            <v>112</v>
          </cell>
          <cell r="M14" t="str">
            <v>Debris in funnel</v>
          </cell>
          <cell r="N14" t="str">
            <v>Inland rock</v>
          </cell>
          <cell r="O14" t="str">
            <v>Arable field margins</v>
          </cell>
        </row>
        <row r="15">
          <cell r="I15" t="str">
            <v>B14</v>
          </cell>
          <cell r="L15">
            <v>113</v>
          </cell>
          <cell r="M15" t="str">
            <v>Sample discoloured</v>
          </cell>
          <cell r="N15" t="str">
            <v>Montane</v>
          </cell>
          <cell r="O15" t="str">
            <v>Traditional orchards</v>
          </cell>
        </row>
        <row r="16">
          <cell r="I16" t="str">
            <v>B15</v>
          </cell>
          <cell r="L16">
            <v>114</v>
          </cell>
          <cell r="M16" t="str">
            <v>Bonfire in vicinity during sampling period</v>
          </cell>
          <cell r="N16" t="str">
            <v>Built-up and gardens</v>
          </cell>
          <cell r="O16" t="str">
            <v>Hedgerows</v>
          </cell>
        </row>
        <row r="17">
          <cell r="I17" t="str">
            <v>B16</v>
          </cell>
          <cell r="L17">
            <v>115</v>
          </cell>
          <cell r="M17" t="str">
            <v>Heather burning in vicinity during sampling period</v>
          </cell>
          <cell r="N17" t="str">
            <v>Supralittoral sediment</v>
          </cell>
          <cell r="O17" t="str">
            <v>Lowland heathland</v>
          </cell>
        </row>
        <row r="18">
          <cell r="I18" t="str">
            <v>B17</v>
          </cell>
          <cell r="L18">
            <v>116</v>
          </cell>
          <cell r="M18" t="str">
            <v>Forest fire in vicinity during sampling period</v>
          </cell>
          <cell r="N18" t="str">
            <v>Littoral sediment</v>
          </cell>
          <cell r="O18" t="str">
            <v>Upland heathland</v>
          </cell>
        </row>
        <row r="19">
          <cell r="I19" t="str">
            <v>B18</v>
          </cell>
          <cell r="L19">
            <v>117</v>
          </cell>
          <cell r="M19" t="str">
            <v>Straw burning in vicinity during sampling period</v>
          </cell>
          <cell r="O19" t="str">
            <v>Blanket bog</v>
          </cell>
        </row>
        <row r="20">
          <cell r="I20" t="str">
            <v>B19</v>
          </cell>
          <cell r="L20">
            <v>118</v>
          </cell>
          <cell r="M20" t="str">
            <v>Crop spraying in vicinity during sampling period</v>
          </cell>
          <cell r="O20" t="str">
            <v>Lowland raised bog</v>
          </cell>
        </row>
        <row r="21">
          <cell r="I21" t="str">
            <v>B20</v>
          </cell>
          <cell r="L21">
            <v>119</v>
          </cell>
          <cell r="M21" t="str">
            <v>Construction work in vicinity during sampling period</v>
          </cell>
          <cell r="O21" t="str">
            <v>Lowland fens</v>
          </cell>
        </row>
        <row r="22">
          <cell r="I22" t="str">
            <v>B21</v>
          </cell>
          <cell r="L22">
            <v>120</v>
          </cell>
          <cell r="M22" t="str">
            <v>Liming in vicinity during sampling period</v>
          </cell>
          <cell r="O22" t="str">
            <v>Reedbeds</v>
          </cell>
        </row>
        <row r="23">
          <cell r="I23" t="str">
            <v>B22</v>
          </cell>
          <cell r="L23">
            <v>121</v>
          </cell>
          <cell r="M23" t="str">
            <v>Change of land use in vicinity</v>
          </cell>
          <cell r="O23" t="str">
            <v>Upland fens, flushes and swamps</v>
          </cell>
        </row>
        <row r="24">
          <cell r="I24" t="str">
            <v>B23</v>
          </cell>
          <cell r="L24">
            <v>122</v>
          </cell>
          <cell r="M24" t="str">
            <v>Funnel assembly replaced with clean one</v>
          </cell>
          <cell r="O24" t="str">
            <v>Purple moor-grass and rush pastures</v>
          </cell>
        </row>
        <row r="25">
          <cell r="I25" t="str">
            <v>B24</v>
          </cell>
          <cell r="L25">
            <v>123</v>
          </cell>
          <cell r="M25" t="str">
            <v>Clip open</v>
          </cell>
          <cell r="O25" t="str">
            <v>Calaminarian grassland</v>
          </cell>
        </row>
        <row r="26">
          <cell r="I26" t="str">
            <v>B25</v>
          </cell>
          <cell r="L26">
            <v>124</v>
          </cell>
          <cell r="M26" t="str">
            <v>Tubing damaged</v>
          </cell>
          <cell r="O26" t="str">
            <v>Inland rock outcrops and scree habitats</v>
          </cell>
        </row>
        <row r="27">
          <cell r="I27" t="str">
            <v>B26</v>
          </cell>
          <cell r="L27">
            <v>125</v>
          </cell>
          <cell r="M27" t="str">
            <v>Connections loose</v>
          </cell>
          <cell r="O27" t="str">
            <v>Limestone pavement</v>
          </cell>
        </row>
        <row r="28">
          <cell r="I28" t="str">
            <v>B27</v>
          </cell>
          <cell r="L28">
            <v>126</v>
          </cell>
          <cell r="M28" t="str">
            <v>River/lake frozen - no sample</v>
          </cell>
          <cell r="O28" t="str">
            <v>Mountain heath and willow scrub</v>
          </cell>
        </row>
        <row r="29">
          <cell r="I29" t="str">
            <v>B28</v>
          </cell>
          <cell r="L29">
            <v>127</v>
          </cell>
          <cell r="M29" t="str">
            <v>River/lake dry - no sample</v>
          </cell>
          <cell r="O29" t="str">
            <v>Open mosaic habitats on previously developed land</v>
          </cell>
        </row>
        <row r="30">
          <cell r="I30" t="str">
            <v>B29</v>
          </cell>
          <cell r="L30">
            <v>128</v>
          </cell>
          <cell r="M30" t="str">
            <v>Fauna in tube</v>
          </cell>
          <cell r="O30" t="str">
            <v>Sand dunes</v>
          </cell>
        </row>
        <row r="31">
          <cell r="I31" t="str">
            <v>B30</v>
          </cell>
          <cell r="L31">
            <v>129</v>
          </cell>
          <cell r="M31" t="str">
            <v>Condensation in tube</v>
          </cell>
          <cell r="O31" t="str">
            <v>Vegetated shingle</v>
          </cell>
        </row>
        <row r="32">
          <cell r="I32" t="str">
            <v>B31</v>
          </cell>
          <cell r="L32">
            <v>130</v>
          </cell>
          <cell r="M32" t="str">
            <v>Plot/transect section not surveyed</v>
          </cell>
          <cell r="O32" t="str">
            <v>Saltmarsh</v>
          </cell>
        </row>
        <row r="33">
          <cell r="I33" t="str">
            <v>B32</v>
          </cell>
          <cell r="L33">
            <v>131</v>
          </cell>
          <cell r="M33" t="str">
            <v>Trampling during sampling period</v>
          </cell>
          <cell r="O33" t="str">
            <v>Intertidal mudflats</v>
          </cell>
        </row>
        <row r="34">
          <cell r="I34" t="str">
            <v>B33</v>
          </cell>
          <cell r="L34">
            <v>132</v>
          </cell>
          <cell r="M34" t="str">
            <v>Plot not accurately relocated</v>
          </cell>
          <cell r="O34" t="str">
            <v>Maritime cliff and slopes</v>
          </cell>
        </row>
        <row r="35">
          <cell r="I35" t="str">
            <v>B34</v>
          </cell>
          <cell r="L35">
            <v>133</v>
          </cell>
          <cell r="M35" t="str">
            <v>Evidence of disease in plot/transect section</v>
          </cell>
        </row>
        <row r="36">
          <cell r="I36" t="str">
            <v>B35</v>
          </cell>
          <cell r="L36">
            <v>134</v>
          </cell>
          <cell r="M36" t="str">
            <v>Significant disturbance in plot/transect section</v>
          </cell>
        </row>
        <row r="37">
          <cell r="I37" t="str">
            <v>B36</v>
          </cell>
          <cell r="L37">
            <v>135</v>
          </cell>
          <cell r="M37" t="str">
            <v>Pitfall trap flooded</v>
          </cell>
        </row>
        <row r="38">
          <cell r="I38" t="str">
            <v>B37</v>
          </cell>
          <cell r="L38">
            <v>136</v>
          </cell>
          <cell r="M38" t="str">
            <v>Cell not surveyed due to obstruction</v>
          </cell>
        </row>
        <row r="39">
          <cell r="I39" t="str">
            <v>B38</v>
          </cell>
          <cell r="L39">
            <v>137</v>
          </cell>
          <cell r="M39" t="str">
            <v>Flooding of survey area</v>
          </cell>
        </row>
        <row r="40">
          <cell r="I40" t="str">
            <v>B39</v>
          </cell>
          <cell r="L40">
            <v>138</v>
          </cell>
          <cell r="M40" t="str">
            <v>Mowing of survey area</v>
          </cell>
        </row>
        <row r="41">
          <cell r="I41" t="str">
            <v>B40</v>
          </cell>
          <cell r="L41">
            <v>139</v>
          </cell>
          <cell r="M41" t="str">
            <v>Muck/slurry/slag application</v>
          </cell>
        </row>
        <row r="42">
          <cell r="L42">
            <v>140</v>
          </cell>
          <cell r="M42" t="str">
            <v>Application of chemicals (details should be supplied)</v>
          </cell>
        </row>
        <row r="43">
          <cell r="L43">
            <v>141</v>
          </cell>
          <cell r="M43" t="str">
            <v>Grazing by sheep</v>
          </cell>
        </row>
        <row r="44">
          <cell r="L44">
            <v>142</v>
          </cell>
          <cell r="M44" t="str">
            <v>Grazing by cattle</v>
          </cell>
        </row>
        <row r="45">
          <cell r="L45">
            <v>143</v>
          </cell>
          <cell r="M45" t="str">
            <v>Grazing/browsing by deer</v>
          </cell>
        </row>
        <row r="46">
          <cell r="L46">
            <v>144</v>
          </cell>
          <cell r="M46" t="str">
            <v>Grazing - other</v>
          </cell>
        </row>
        <row r="47">
          <cell r="L47">
            <v>145</v>
          </cell>
          <cell r="M47" t="str">
            <v>Woodland Management: Coppicing</v>
          </cell>
        </row>
        <row r="48">
          <cell r="L48">
            <v>146</v>
          </cell>
          <cell r="M48" t="str">
            <v>Woodland Management: Thinning</v>
          </cell>
        </row>
        <row r="49">
          <cell r="L49">
            <v>147</v>
          </cell>
          <cell r="M49" t="str">
            <v>Woodland Management: Clear Felling</v>
          </cell>
        </row>
        <row r="50">
          <cell r="L50">
            <v>148</v>
          </cell>
          <cell r="M50" t="str">
            <v>Woodland Management: Brashing</v>
          </cell>
        </row>
        <row r="51">
          <cell r="L51">
            <v>149</v>
          </cell>
          <cell r="M51" t="str">
            <v>Wind-throw</v>
          </cell>
        </row>
        <row r="52">
          <cell r="L52">
            <v>150</v>
          </cell>
          <cell r="M52" t="str">
            <v>Animal path present</v>
          </cell>
        </row>
        <row r="53">
          <cell r="L53">
            <v>151</v>
          </cell>
          <cell r="M53" t="str">
            <v>Forest ride present</v>
          </cell>
        </row>
        <row r="54">
          <cell r="L54">
            <v>152</v>
          </cell>
          <cell r="M54" t="str">
            <v>Human path present</v>
          </cell>
        </row>
        <row r="55">
          <cell r="L55">
            <v>153</v>
          </cell>
          <cell r="M55" t="str">
            <v>Path present (unspecified)</v>
          </cell>
        </row>
        <row r="56">
          <cell r="L56">
            <v>154</v>
          </cell>
          <cell r="M56" t="str">
            <v>Rolling of survey area</v>
          </cell>
        </row>
        <row r="57">
          <cell r="L57">
            <v>160</v>
          </cell>
          <cell r="M57" t="str">
            <v>Pitfall trap damaged</v>
          </cell>
        </row>
        <row r="58">
          <cell r="L58">
            <v>161</v>
          </cell>
          <cell r="M58" t="str">
            <v>Pitfall trap lost</v>
          </cell>
        </row>
        <row r="59">
          <cell r="L59">
            <v>162</v>
          </cell>
          <cell r="M59" t="str">
            <v>No antifreeze left in pitfall trap</v>
          </cell>
        </row>
        <row r="60">
          <cell r="L60">
            <v>163</v>
          </cell>
          <cell r="M60" t="str">
            <v>Trampling by cattle during sampling period</v>
          </cell>
        </row>
        <row r="61">
          <cell r="L61">
            <v>164</v>
          </cell>
          <cell r="M61" t="str">
            <v>Pitfall trap contained enough debris/mud to affect catch</v>
          </cell>
        </row>
        <row r="62">
          <cell r="L62">
            <v>165</v>
          </cell>
          <cell r="M62" t="str">
            <v>Pitfall trap raised above ground level</v>
          </cell>
        </row>
        <row r="63">
          <cell r="L63">
            <v>166</v>
          </cell>
          <cell r="M63" t="str">
            <v>Small amount of debris/mud in pitfall trap may have obscured small ground predators</v>
          </cell>
        </row>
        <row r="64">
          <cell r="L64">
            <v>167</v>
          </cell>
          <cell r="M64" t="str">
            <v>Pitfall trap lid removed during sampling period</v>
          </cell>
        </row>
        <row r="65">
          <cell r="L65">
            <v>168</v>
          </cell>
          <cell r="M65" t="str">
            <v>Trampling by sheep during sampling period</v>
          </cell>
        </row>
        <row r="66">
          <cell r="L66">
            <v>169</v>
          </cell>
          <cell r="M66" t="str">
            <v>High river flow following snowmelt</v>
          </cell>
        </row>
        <row r="67">
          <cell r="L67">
            <v>170</v>
          </cell>
          <cell r="M67" t="str">
            <v>Pond frozen</v>
          </cell>
        </row>
        <row r="68">
          <cell r="L68">
            <v>171</v>
          </cell>
          <cell r="M68" t="str">
            <v>Spawn possibly killed by frost</v>
          </cell>
        </row>
        <row r="69">
          <cell r="L69">
            <v>172</v>
          </cell>
          <cell r="M69" t="str">
            <v>Number of spawn masses to large to count</v>
          </cell>
        </row>
        <row r="70">
          <cell r="L70">
            <v>173</v>
          </cell>
          <cell r="M70" t="str">
            <v>Number of spawn masses approximate</v>
          </cell>
        </row>
        <row r="71">
          <cell r="L71">
            <v>174</v>
          </cell>
          <cell r="M71" t="str">
            <v>Pond dried up</v>
          </cell>
        </row>
        <row r="72">
          <cell r="L72">
            <v>175</v>
          </cell>
          <cell r="M72" t="str">
            <v>No frogs seen prior to spawning</v>
          </cell>
        </row>
        <row r="73">
          <cell r="L73">
            <v>176</v>
          </cell>
          <cell r="M73" t="str">
            <v>Pond covered in snow</v>
          </cell>
        </row>
        <row r="74">
          <cell r="L74">
            <v>177</v>
          </cell>
          <cell r="M74" t="str">
            <v>No newly metamorphosed frogs seen leaving pond</v>
          </cell>
        </row>
        <row r="75">
          <cell r="L75">
            <v>178</v>
          </cell>
          <cell r="M75" t="str">
            <v>Spawn stranded and dried out due to falling water levels</v>
          </cell>
        </row>
        <row r="76">
          <cell r="L76">
            <v>179</v>
          </cell>
          <cell r="M76" t="str">
            <v>Pond drying up - only small surface puddles remain</v>
          </cell>
        </row>
        <row r="77">
          <cell r="L77">
            <v>180</v>
          </cell>
          <cell r="M77" t="str">
            <v>Trace rainfall recorded (marked as 'X' on Met Office form)</v>
          </cell>
        </row>
        <row r="78">
          <cell r="L78">
            <v>181</v>
          </cell>
          <cell r="M78" t="str">
            <v>Water in funnel, through no rain fell ('XX' on Met Office form)</v>
          </cell>
        </row>
        <row r="79">
          <cell r="L79">
            <v>182</v>
          </cell>
          <cell r="M79" t="str">
            <v>Snow or sleet during sampling period</v>
          </cell>
        </row>
        <row r="80">
          <cell r="L80">
            <v>183</v>
          </cell>
          <cell r="M80" t="str">
            <v>Wet bulb reservoir/wick frozen</v>
          </cell>
        </row>
        <row r="81">
          <cell r="L81">
            <v>184</v>
          </cell>
          <cell r="M81" t="str">
            <v>Wet bulb reservoir/wick dry</v>
          </cell>
        </row>
        <row r="82">
          <cell r="L82">
            <v>185</v>
          </cell>
          <cell r="M82" t="str">
            <v>Anemometer cups frozen</v>
          </cell>
        </row>
        <row r="83">
          <cell r="L83">
            <v>186</v>
          </cell>
          <cell r="M83" t="str">
            <v>Rainfall catch likely to include some snow</v>
          </cell>
        </row>
        <row r="84">
          <cell r="L84">
            <v>187</v>
          </cell>
          <cell r="M84" t="str">
            <v>Snow cleared from rain gauge</v>
          </cell>
        </row>
        <row r="85">
          <cell r="L85">
            <v>188</v>
          </cell>
          <cell r="M85" t="str">
            <v>Rain gauge not level</v>
          </cell>
        </row>
        <row r="86">
          <cell r="L86">
            <v>189</v>
          </cell>
          <cell r="M86" t="str">
            <v>Rain gauge funnel blocked</v>
          </cell>
        </row>
        <row r="87">
          <cell r="L87">
            <v>190</v>
          </cell>
          <cell r="M87" t="str">
            <v>Trace of snow recorded ('X' for snow depth on Met Office form)</v>
          </cell>
        </row>
        <row r="88">
          <cell r="L88">
            <v>191</v>
          </cell>
          <cell r="M88" t="str">
            <v>Hail during sampling period</v>
          </cell>
        </row>
        <row r="89">
          <cell r="L89">
            <v>200</v>
          </cell>
          <cell r="M89" t="str">
            <v>Adverse weather conditions affected sampling/recording</v>
          </cell>
        </row>
        <row r="90">
          <cell r="L90">
            <v>201</v>
          </cell>
          <cell r="M90" t="str">
            <v>Biting insects affected sampling/recording</v>
          </cell>
        </row>
        <row r="91">
          <cell r="L91">
            <v>202</v>
          </cell>
          <cell r="M91" t="str">
            <v>Failing light affected sampling/recording</v>
          </cell>
        </row>
        <row r="92">
          <cell r="L92">
            <v>203</v>
          </cell>
          <cell r="M92" t="str">
            <v>No flow observed in river - standing water only</v>
          </cell>
        </row>
        <row r="93">
          <cell r="L93">
            <v>204</v>
          </cell>
          <cell r="M93" t="str">
            <v>Material inadequately preserved</v>
          </cell>
        </row>
        <row r="94">
          <cell r="L94">
            <v>205</v>
          </cell>
          <cell r="M94" t="str">
            <v>Supplementary samples taken</v>
          </cell>
        </row>
        <row r="95">
          <cell r="L95">
            <v>206</v>
          </cell>
          <cell r="M95" t="str">
            <v>Unidentified material archived</v>
          </cell>
        </row>
        <row r="96">
          <cell r="L96">
            <v>207</v>
          </cell>
          <cell r="M96" t="str">
            <v>River/lake stage iced up</v>
          </cell>
        </row>
        <row r="97">
          <cell r="L97">
            <v>208</v>
          </cell>
          <cell r="M97" t="str">
            <v>Water sampling site cleared of weed/algae</v>
          </cell>
        </row>
        <row r="98">
          <cell r="L98">
            <v>210</v>
          </cell>
          <cell r="M98" t="str">
            <v>Too few adult spittle bugs found for colour morph analysis</v>
          </cell>
        </row>
        <row r="99">
          <cell r="L99">
            <v>211</v>
          </cell>
          <cell r="M99" t="str">
            <v>Mitopus individual inadequately preserved - unable to measure femur</v>
          </cell>
        </row>
        <row r="100">
          <cell r="L100">
            <v>212</v>
          </cell>
          <cell r="M100" t="str">
            <v>Small mammal(s) in trap - species unrecorded</v>
          </cell>
        </row>
        <row r="101">
          <cell r="L101">
            <v>213</v>
          </cell>
          <cell r="M101" t="str">
            <v>Short-tailed field vole(s) in trap</v>
          </cell>
        </row>
        <row r="102">
          <cell r="L102">
            <v>214</v>
          </cell>
          <cell r="M102" t="str">
            <v>Pygmy shrew(s) in trap</v>
          </cell>
        </row>
        <row r="103">
          <cell r="L103">
            <v>215</v>
          </cell>
          <cell r="M103" t="str">
            <v>Frog(s) in trap</v>
          </cell>
        </row>
        <row r="104">
          <cell r="L104">
            <v>216</v>
          </cell>
          <cell r="M104" t="str">
            <v>Common shrew(s) in trap</v>
          </cell>
        </row>
        <row r="105">
          <cell r="L105">
            <v>217</v>
          </cell>
          <cell r="M105" t="str">
            <v>Common lizard(s) in trap</v>
          </cell>
        </row>
        <row r="106">
          <cell r="L106">
            <v>218</v>
          </cell>
          <cell r="M106" t="str">
            <v>No assessment of clusters made, but species probably is holding a territory</v>
          </cell>
        </row>
        <row r="107">
          <cell r="L107">
            <v>222</v>
          </cell>
          <cell r="M107" t="str">
            <v>Non-standard sampling date</v>
          </cell>
        </row>
        <row r="108">
          <cell r="L108">
            <v>223</v>
          </cell>
          <cell r="M108" t="str">
            <v>Non-standard sampling time</v>
          </cell>
        </row>
        <row r="109">
          <cell r="L109">
            <v>224</v>
          </cell>
          <cell r="M109" t="str">
            <v>Data edited - HYDROLOG code 2</v>
          </cell>
        </row>
        <row r="110">
          <cell r="L110">
            <v>225</v>
          </cell>
          <cell r="M110" t="str">
            <v>Data suspect - HYDROLOG code 3</v>
          </cell>
        </row>
        <row r="111">
          <cell r="L111">
            <v>226</v>
          </cell>
          <cell r="M111" t="str">
            <v>Data unvalidated - HYDROLOG code 4</v>
          </cell>
        </row>
        <row r="112">
          <cell r="L112">
            <v>227</v>
          </cell>
          <cell r="M112" t="str">
            <v>Sample taken at lake outflow</v>
          </cell>
        </row>
        <row r="113">
          <cell r="L113">
            <v>228</v>
          </cell>
          <cell r="M113" t="str">
            <v>Sample taken from jetty/dam</v>
          </cell>
        </row>
        <row r="114">
          <cell r="L114">
            <v>229</v>
          </cell>
          <cell r="M114" t="str">
            <v>High river flow</v>
          </cell>
        </row>
        <row r="115">
          <cell r="L115">
            <v>230</v>
          </cell>
          <cell r="M115" t="str">
            <v>Anthill present</v>
          </cell>
        </row>
        <row r="116">
          <cell r="L116">
            <v>231</v>
          </cell>
          <cell r="M116" t="str">
            <v>Rabbit scrape present</v>
          </cell>
        </row>
        <row r="117">
          <cell r="L117">
            <v>232</v>
          </cell>
          <cell r="M117" t="str">
            <v>Moth trap bulb blown - partial catch only</v>
          </cell>
        </row>
        <row r="118">
          <cell r="L118">
            <v>233</v>
          </cell>
          <cell r="M118" t="str">
            <v>Lake level high</v>
          </cell>
        </row>
        <row r="119">
          <cell r="L119">
            <v>234</v>
          </cell>
          <cell r="M119" t="str">
            <v>Lake level low</v>
          </cell>
        </row>
        <row r="120">
          <cell r="L120">
            <v>235</v>
          </cell>
          <cell r="M120" t="str">
            <v>Mole-hill present</v>
          </cell>
        </row>
        <row r="121">
          <cell r="L121">
            <v>236</v>
          </cell>
          <cell r="M121" t="str">
            <v>Approximate or estimated count</v>
          </cell>
        </row>
        <row r="122">
          <cell r="L122">
            <v>237</v>
          </cell>
          <cell r="M122" t="str">
            <v>Tree dead</v>
          </cell>
        </row>
        <row r="123">
          <cell r="L123">
            <v>238</v>
          </cell>
          <cell r="M123" t="str">
            <v>Stem dead</v>
          </cell>
        </row>
        <row r="124">
          <cell r="L124">
            <v>239</v>
          </cell>
          <cell r="M124" t="str">
            <v>Taxon identified with high confidence</v>
          </cell>
        </row>
        <row r="125">
          <cell r="L125">
            <v>240</v>
          </cell>
          <cell r="M125" t="str">
            <v>Taxon identified with medium confidence</v>
          </cell>
        </row>
        <row r="126">
          <cell r="L126">
            <v>241</v>
          </cell>
          <cell r="M126" t="str">
            <v>Taxon identified with low confidence</v>
          </cell>
        </row>
        <row r="127">
          <cell r="L127">
            <v>501</v>
          </cell>
          <cell r="M127" t="str">
            <v>Laboratory: No sample</v>
          </cell>
        </row>
        <row r="128">
          <cell r="L128">
            <v>502</v>
          </cell>
          <cell r="M128" t="str">
            <v>Laboratory: Sample lost or inadvertently discarded</v>
          </cell>
        </row>
        <row r="129">
          <cell r="L129">
            <v>503</v>
          </cell>
          <cell r="M129" t="str">
            <v>Laboratory: Partial loss of sample</v>
          </cell>
        </row>
        <row r="130">
          <cell r="L130">
            <v>504</v>
          </cell>
          <cell r="M130" t="str">
            <v>Laboratory: Sample discarded because of contamination</v>
          </cell>
        </row>
        <row r="131">
          <cell r="L131">
            <v>505</v>
          </cell>
          <cell r="M131" t="str">
            <v>Laboratory: Insufficient sample for measurement</v>
          </cell>
        </row>
        <row r="132">
          <cell r="L132">
            <v>506</v>
          </cell>
          <cell r="M132" t="str">
            <v>Laboratory: Measurement not made because of equipment failure</v>
          </cell>
        </row>
        <row r="133">
          <cell r="L133">
            <v>507</v>
          </cell>
          <cell r="M133" t="str">
            <v>Laboratory: Sample pre-filtered</v>
          </cell>
        </row>
        <row r="134">
          <cell r="L134">
            <v>508</v>
          </cell>
          <cell r="M134" t="str">
            <v>Laboratory: Significant deposit of black material on filter</v>
          </cell>
        </row>
        <row r="135">
          <cell r="L135">
            <v>509</v>
          </cell>
          <cell r="M135" t="str">
            <v>Laboratory: Significant deposit of brown material on filter</v>
          </cell>
        </row>
        <row r="136">
          <cell r="L136">
            <v>510</v>
          </cell>
          <cell r="M136" t="str">
            <v>Laboratory: Significant deposit of green material on filter</v>
          </cell>
        </row>
        <row r="137">
          <cell r="L137">
            <v>511</v>
          </cell>
          <cell r="M137" t="str">
            <v>Laboratory: No separate acidified sub-sample for Al and Fe</v>
          </cell>
        </row>
        <row r="138">
          <cell r="L138">
            <v>512</v>
          </cell>
          <cell r="M138" t="str">
            <v>Total dissolved P greater than Total P. Must be errors in one or other determination. Calculated value of PPART set to null</v>
          </cell>
        </row>
        <row r="139">
          <cell r="L139">
            <v>513</v>
          </cell>
          <cell r="M139" t="str">
            <v>Calculated value of PPART (PTOT-PTOTD) based on half the LOD value of PTOTD</v>
          </cell>
        </row>
        <row r="140">
          <cell r="L140">
            <v>999</v>
          </cell>
          <cell r="M140" t="str">
            <v>Free-text information is associated with this data record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minance Template"/>
      <sheetName val="All_LTMN_Lookups"/>
    </sheetNames>
    <sheetDataSet>
      <sheetData sheetId="0"/>
      <sheetData sheetId="1">
        <row r="1">
          <cell r="G1" t="str">
            <v>DESC_LATIN</v>
          </cell>
        </row>
        <row r="2">
          <cell r="C2" t="str">
            <v>C</v>
          </cell>
        </row>
        <row r="3">
          <cell r="C3" t="str">
            <v>S</v>
          </cell>
        </row>
        <row r="4">
          <cell r="C4" t="str">
            <v>I</v>
          </cell>
        </row>
        <row r="5">
          <cell r="C5" t="str">
            <v>U</v>
          </cell>
        </row>
        <row r="6">
          <cell r="C6" t="str">
            <v>H</v>
          </cell>
        </row>
        <row r="7">
          <cell r="C7" t="str">
            <v>A</v>
          </cell>
        </row>
        <row r="8">
          <cell r="C8" t="str">
            <v>E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ll Features Template"/>
      <sheetName val="All_LTMN_Lookups"/>
    </sheetNames>
    <sheetDataSet>
      <sheetData sheetId="0"/>
      <sheetData sheetId="1">
        <row r="2">
          <cell r="I2" t="str">
            <v>B01</v>
          </cell>
          <cell r="L2">
            <v>100</v>
          </cell>
        </row>
        <row r="3">
          <cell r="L3">
            <v>101</v>
          </cell>
        </row>
        <row r="4">
          <cell r="L4">
            <v>102</v>
          </cell>
        </row>
        <row r="5">
          <cell r="L5">
            <v>103</v>
          </cell>
        </row>
        <row r="6">
          <cell r="L6">
            <v>104</v>
          </cell>
        </row>
        <row r="7">
          <cell r="L7">
            <v>105</v>
          </cell>
        </row>
        <row r="8">
          <cell r="L8">
            <v>106</v>
          </cell>
        </row>
        <row r="9">
          <cell r="L9">
            <v>107</v>
          </cell>
        </row>
        <row r="10">
          <cell r="L10">
            <v>108</v>
          </cell>
        </row>
        <row r="11">
          <cell r="L11">
            <v>109</v>
          </cell>
        </row>
        <row r="12">
          <cell r="L12">
            <v>110</v>
          </cell>
        </row>
        <row r="13">
          <cell r="L13">
            <v>111</v>
          </cell>
        </row>
        <row r="14">
          <cell r="L14">
            <v>112</v>
          </cell>
        </row>
        <row r="15">
          <cell r="L15">
            <v>113</v>
          </cell>
        </row>
        <row r="16">
          <cell r="L16">
            <v>114</v>
          </cell>
        </row>
        <row r="17">
          <cell r="L17">
            <v>115</v>
          </cell>
        </row>
        <row r="18">
          <cell r="L18">
            <v>116</v>
          </cell>
        </row>
        <row r="19">
          <cell r="L19">
            <v>117</v>
          </cell>
        </row>
        <row r="20">
          <cell r="L20">
            <v>118</v>
          </cell>
        </row>
        <row r="21">
          <cell r="L21">
            <v>119</v>
          </cell>
        </row>
        <row r="22">
          <cell r="L22">
            <v>120</v>
          </cell>
        </row>
        <row r="23">
          <cell r="L23">
            <v>121</v>
          </cell>
        </row>
        <row r="24">
          <cell r="L24">
            <v>122</v>
          </cell>
        </row>
        <row r="25">
          <cell r="L25">
            <v>123</v>
          </cell>
        </row>
        <row r="26">
          <cell r="L26">
            <v>124</v>
          </cell>
        </row>
        <row r="27">
          <cell r="L27">
            <v>125</v>
          </cell>
        </row>
        <row r="28">
          <cell r="L28">
            <v>126</v>
          </cell>
        </row>
        <row r="29">
          <cell r="L29">
            <v>127</v>
          </cell>
        </row>
        <row r="30">
          <cell r="L30">
            <v>128</v>
          </cell>
        </row>
        <row r="31">
          <cell r="L31">
            <v>129</v>
          </cell>
        </row>
        <row r="32">
          <cell r="L32">
            <v>130</v>
          </cell>
        </row>
        <row r="33">
          <cell r="L33">
            <v>131</v>
          </cell>
        </row>
        <row r="34">
          <cell r="L34">
            <v>132</v>
          </cell>
        </row>
        <row r="35">
          <cell r="L35">
            <v>133</v>
          </cell>
        </row>
        <row r="36">
          <cell r="L36">
            <v>134</v>
          </cell>
        </row>
        <row r="37">
          <cell r="L37">
            <v>135</v>
          </cell>
        </row>
        <row r="38">
          <cell r="L38">
            <v>136</v>
          </cell>
        </row>
        <row r="39">
          <cell r="L39">
            <v>137</v>
          </cell>
        </row>
        <row r="40">
          <cell r="L40">
            <v>138</v>
          </cell>
        </row>
        <row r="41">
          <cell r="L41">
            <v>139</v>
          </cell>
        </row>
        <row r="42">
          <cell r="L42">
            <v>140</v>
          </cell>
        </row>
        <row r="43">
          <cell r="L43">
            <v>141</v>
          </cell>
        </row>
        <row r="44">
          <cell r="L44">
            <v>142</v>
          </cell>
        </row>
        <row r="45">
          <cell r="L45">
            <v>143</v>
          </cell>
        </row>
        <row r="46">
          <cell r="L46">
            <v>144</v>
          </cell>
        </row>
        <row r="47">
          <cell r="L47">
            <v>145</v>
          </cell>
        </row>
        <row r="48">
          <cell r="L48">
            <v>146</v>
          </cell>
        </row>
        <row r="49">
          <cell r="L49">
            <v>147</v>
          </cell>
        </row>
        <row r="50">
          <cell r="L50">
            <v>148</v>
          </cell>
        </row>
        <row r="51">
          <cell r="L51">
            <v>149</v>
          </cell>
        </row>
        <row r="52">
          <cell r="L52">
            <v>150</v>
          </cell>
        </row>
        <row r="53">
          <cell r="L53">
            <v>151</v>
          </cell>
        </row>
        <row r="54">
          <cell r="L54">
            <v>152</v>
          </cell>
        </row>
        <row r="55">
          <cell r="L55">
            <v>153</v>
          </cell>
        </row>
        <row r="56">
          <cell r="L56">
            <v>154</v>
          </cell>
        </row>
        <row r="57">
          <cell r="L57">
            <v>160</v>
          </cell>
        </row>
        <row r="58">
          <cell r="L58">
            <v>161</v>
          </cell>
        </row>
        <row r="59">
          <cell r="L59">
            <v>162</v>
          </cell>
        </row>
        <row r="60">
          <cell r="L60">
            <v>163</v>
          </cell>
        </row>
        <row r="61">
          <cell r="L61">
            <v>164</v>
          </cell>
        </row>
        <row r="62">
          <cell r="L62">
            <v>165</v>
          </cell>
        </row>
        <row r="63">
          <cell r="L63">
            <v>166</v>
          </cell>
        </row>
        <row r="64">
          <cell r="L64">
            <v>167</v>
          </cell>
        </row>
        <row r="65">
          <cell r="L65">
            <v>168</v>
          </cell>
        </row>
        <row r="66">
          <cell r="L66">
            <v>169</v>
          </cell>
        </row>
        <row r="67">
          <cell r="L67">
            <v>170</v>
          </cell>
        </row>
        <row r="68">
          <cell r="L68">
            <v>171</v>
          </cell>
        </row>
        <row r="69">
          <cell r="L69">
            <v>172</v>
          </cell>
        </row>
        <row r="70">
          <cell r="L70">
            <v>173</v>
          </cell>
        </row>
        <row r="71">
          <cell r="L71">
            <v>174</v>
          </cell>
        </row>
        <row r="72">
          <cell r="L72">
            <v>175</v>
          </cell>
        </row>
        <row r="73">
          <cell r="L73">
            <v>176</v>
          </cell>
        </row>
        <row r="74">
          <cell r="L74">
            <v>177</v>
          </cell>
        </row>
        <row r="75">
          <cell r="L75">
            <v>178</v>
          </cell>
        </row>
        <row r="76">
          <cell r="L76">
            <v>179</v>
          </cell>
        </row>
        <row r="77">
          <cell r="L77">
            <v>180</v>
          </cell>
        </row>
        <row r="78">
          <cell r="L78">
            <v>181</v>
          </cell>
        </row>
        <row r="79">
          <cell r="L79">
            <v>182</v>
          </cell>
        </row>
        <row r="80">
          <cell r="L80">
            <v>183</v>
          </cell>
        </row>
        <row r="81">
          <cell r="L81">
            <v>184</v>
          </cell>
        </row>
        <row r="82">
          <cell r="L82">
            <v>185</v>
          </cell>
        </row>
        <row r="83">
          <cell r="L83">
            <v>186</v>
          </cell>
        </row>
        <row r="84">
          <cell r="L84">
            <v>187</v>
          </cell>
        </row>
        <row r="85">
          <cell r="L85">
            <v>188</v>
          </cell>
        </row>
        <row r="86">
          <cell r="L86">
            <v>189</v>
          </cell>
        </row>
        <row r="87">
          <cell r="L87">
            <v>190</v>
          </cell>
        </row>
        <row r="88">
          <cell r="L88">
            <v>191</v>
          </cell>
        </row>
        <row r="89">
          <cell r="L89">
            <v>200</v>
          </cell>
        </row>
        <row r="90">
          <cell r="L90">
            <v>201</v>
          </cell>
        </row>
        <row r="91">
          <cell r="L91">
            <v>202</v>
          </cell>
        </row>
        <row r="92">
          <cell r="L92">
            <v>203</v>
          </cell>
        </row>
        <row r="93">
          <cell r="L93">
            <v>204</v>
          </cell>
        </row>
        <row r="94">
          <cell r="L94">
            <v>205</v>
          </cell>
        </row>
        <row r="95">
          <cell r="L95">
            <v>206</v>
          </cell>
        </row>
        <row r="96">
          <cell r="L96">
            <v>207</v>
          </cell>
        </row>
        <row r="97">
          <cell r="L97">
            <v>208</v>
          </cell>
        </row>
        <row r="98">
          <cell r="L98">
            <v>210</v>
          </cell>
        </row>
        <row r="99">
          <cell r="L99">
            <v>211</v>
          </cell>
        </row>
        <row r="100">
          <cell r="L100">
            <v>212</v>
          </cell>
        </row>
        <row r="101">
          <cell r="L101">
            <v>213</v>
          </cell>
        </row>
        <row r="102">
          <cell r="L102">
            <v>214</v>
          </cell>
        </row>
        <row r="103">
          <cell r="L103">
            <v>215</v>
          </cell>
        </row>
        <row r="104">
          <cell r="L104">
            <v>216</v>
          </cell>
        </row>
        <row r="105">
          <cell r="L105">
            <v>217</v>
          </cell>
        </row>
        <row r="106">
          <cell r="L106">
            <v>218</v>
          </cell>
        </row>
        <row r="107">
          <cell r="L107">
            <v>222</v>
          </cell>
        </row>
        <row r="108">
          <cell r="L108">
            <v>223</v>
          </cell>
        </row>
        <row r="109">
          <cell r="L109">
            <v>224</v>
          </cell>
        </row>
        <row r="110">
          <cell r="L110">
            <v>225</v>
          </cell>
        </row>
        <row r="111">
          <cell r="L111">
            <v>226</v>
          </cell>
        </row>
        <row r="112">
          <cell r="L112">
            <v>227</v>
          </cell>
        </row>
        <row r="113">
          <cell r="L113">
            <v>228</v>
          </cell>
        </row>
        <row r="114">
          <cell r="L114">
            <v>229</v>
          </cell>
        </row>
        <row r="115">
          <cell r="L115">
            <v>230</v>
          </cell>
        </row>
        <row r="116">
          <cell r="L116">
            <v>231</v>
          </cell>
        </row>
        <row r="117">
          <cell r="L117">
            <v>232</v>
          </cell>
        </row>
        <row r="118">
          <cell r="L118">
            <v>233</v>
          </cell>
        </row>
        <row r="119">
          <cell r="L119">
            <v>234</v>
          </cell>
        </row>
        <row r="120">
          <cell r="L120">
            <v>235</v>
          </cell>
        </row>
        <row r="121">
          <cell r="L121">
            <v>236</v>
          </cell>
        </row>
        <row r="122">
          <cell r="L122">
            <v>237</v>
          </cell>
        </row>
        <row r="123">
          <cell r="L123">
            <v>238</v>
          </cell>
        </row>
        <row r="124">
          <cell r="L124">
            <v>239</v>
          </cell>
        </row>
        <row r="125">
          <cell r="L125">
            <v>240</v>
          </cell>
        </row>
        <row r="126">
          <cell r="L126">
            <v>241</v>
          </cell>
        </row>
        <row r="127">
          <cell r="L127">
            <v>501</v>
          </cell>
        </row>
        <row r="128">
          <cell r="L128">
            <v>502</v>
          </cell>
        </row>
        <row r="129">
          <cell r="L129">
            <v>503</v>
          </cell>
        </row>
        <row r="130">
          <cell r="L130">
            <v>504</v>
          </cell>
        </row>
        <row r="131">
          <cell r="L131">
            <v>505</v>
          </cell>
        </row>
        <row r="132">
          <cell r="L132">
            <v>506</v>
          </cell>
        </row>
        <row r="133">
          <cell r="L133">
            <v>507</v>
          </cell>
        </row>
        <row r="134">
          <cell r="L134">
            <v>508</v>
          </cell>
        </row>
        <row r="135">
          <cell r="L135">
            <v>509</v>
          </cell>
        </row>
        <row r="136">
          <cell r="L136">
            <v>510</v>
          </cell>
        </row>
        <row r="137">
          <cell r="L137">
            <v>511</v>
          </cell>
        </row>
        <row r="138">
          <cell r="L138">
            <v>512</v>
          </cell>
        </row>
        <row r="139">
          <cell r="L139">
            <v>513</v>
          </cell>
        </row>
        <row r="140">
          <cell r="L140">
            <v>999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odland Coordinates"/>
      <sheetName val="Altitude"/>
      <sheetName val="Ground features"/>
      <sheetName val="All_LTMN_Lookups"/>
    </sheetNames>
    <sheetDataSet>
      <sheetData sheetId="0"/>
      <sheetData sheetId="1"/>
      <sheetData sheetId="2"/>
      <sheetData sheetId="3">
        <row r="2">
          <cell r="I2" t="str">
            <v>B01</v>
          </cell>
        </row>
        <row r="3">
          <cell r="I3" t="str">
            <v>B02</v>
          </cell>
        </row>
        <row r="4">
          <cell r="I4" t="str">
            <v>B03</v>
          </cell>
        </row>
        <row r="5">
          <cell r="I5" t="str">
            <v>B04</v>
          </cell>
        </row>
        <row r="6">
          <cell r="I6" t="str">
            <v>B05</v>
          </cell>
        </row>
        <row r="7">
          <cell r="I7" t="str">
            <v>B06</v>
          </cell>
        </row>
        <row r="8">
          <cell r="I8" t="str">
            <v>B07</v>
          </cell>
        </row>
        <row r="9">
          <cell r="I9" t="str">
            <v>B08</v>
          </cell>
        </row>
        <row r="10">
          <cell r="I10" t="str">
            <v>B09</v>
          </cell>
        </row>
        <row r="11">
          <cell r="I11" t="str">
            <v>B10</v>
          </cell>
        </row>
        <row r="12">
          <cell r="I12" t="str">
            <v>B11</v>
          </cell>
        </row>
        <row r="13">
          <cell r="I13" t="str">
            <v>B12</v>
          </cell>
        </row>
        <row r="14">
          <cell r="I14" t="str">
            <v>B13</v>
          </cell>
        </row>
        <row r="15">
          <cell r="I15" t="str">
            <v>B14</v>
          </cell>
        </row>
        <row r="16">
          <cell r="I16" t="str">
            <v>B15</v>
          </cell>
        </row>
        <row r="17">
          <cell r="I17" t="str">
            <v>B16</v>
          </cell>
        </row>
        <row r="18">
          <cell r="I18" t="str">
            <v>B17</v>
          </cell>
        </row>
        <row r="19">
          <cell r="I19" t="str">
            <v>B18</v>
          </cell>
        </row>
        <row r="20">
          <cell r="I20" t="str">
            <v>B19</v>
          </cell>
        </row>
        <row r="21">
          <cell r="I21" t="str">
            <v>B20</v>
          </cell>
        </row>
        <row r="22">
          <cell r="I22" t="str">
            <v>B21</v>
          </cell>
        </row>
        <row r="23">
          <cell r="I23" t="str">
            <v>B22</v>
          </cell>
        </row>
        <row r="24">
          <cell r="I24" t="str">
            <v>B23</v>
          </cell>
        </row>
        <row r="25">
          <cell r="I25" t="str">
            <v>B24</v>
          </cell>
        </row>
        <row r="26">
          <cell r="I26" t="str">
            <v>B25</v>
          </cell>
        </row>
        <row r="27">
          <cell r="I27" t="str">
            <v>B26</v>
          </cell>
        </row>
        <row r="28">
          <cell r="I28" t="str">
            <v>B27</v>
          </cell>
        </row>
        <row r="29">
          <cell r="I29" t="str">
            <v>B28</v>
          </cell>
        </row>
        <row r="30">
          <cell r="I30" t="str">
            <v>B29</v>
          </cell>
        </row>
        <row r="31">
          <cell r="I31" t="str">
            <v>B30</v>
          </cell>
        </row>
        <row r="32">
          <cell r="I32" t="str">
            <v>B31</v>
          </cell>
        </row>
        <row r="33">
          <cell r="I33" t="str">
            <v>B32</v>
          </cell>
        </row>
        <row r="34">
          <cell r="I34" t="str">
            <v>B33</v>
          </cell>
        </row>
        <row r="35">
          <cell r="I35" t="str">
            <v>B34</v>
          </cell>
        </row>
        <row r="36">
          <cell r="I36" t="str">
            <v>B35</v>
          </cell>
        </row>
        <row r="37">
          <cell r="I37" t="str">
            <v>B36</v>
          </cell>
        </row>
        <row r="38">
          <cell r="I38" t="str">
            <v>B37</v>
          </cell>
        </row>
        <row r="39">
          <cell r="I39" t="str">
            <v>B38</v>
          </cell>
        </row>
        <row r="40">
          <cell r="I40" t="str">
            <v>B39</v>
          </cell>
        </row>
        <row r="41">
          <cell r="I41" t="str">
            <v>B40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edlings Template"/>
      <sheetName val="All_LTMN_Lookups"/>
    </sheetNames>
    <sheetDataSet>
      <sheetData sheetId="0"/>
      <sheetData sheetId="1">
        <row r="1">
          <cell r="G1" t="str">
            <v>DESC_LATIN</v>
          </cell>
        </row>
        <row r="2">
          <cell r="I2" t="str">
            <v>B01</v>
          </cell>
        </row>
        <row r="3">
          <cell r="I3" t="str">
            <v>B02</v>
          </cell>
        </row>
        <row r="4">
          <cell r="I4" t="str">
            <v>B03</v>
          </cell>
        </row>
        <row r="5">
          <cell r="I5" t="str">
            <v>B04</v>
          </cell>
        </row>
        <row r="6">
          <cell r="I6" t="str">
            <v>B05</v>
          </cell>
        </row>
        <row r="7">
          <cell r="I7" t="str">
            <v>B06</v>
          </cell>
        </row>
        <row r="8">
          <cell r="I8" t="str">
            <v>B07</v>
          </cell>
        </row>
        <row r="9">
          <cell r="I9" t="str">
            <v>B08</v>
          </cell>
        </row>
        <row r="10">
          <cell r="I10" t="str">
            <v>B09</v>
          </cell>
        </row>
        <row r="11">
          <cell r="I11" t="str">
            <v>B10</v>
          </cell>
        </row>
        <row r="12">
          <cell r="I12" t="str">
            <v>B11</v>
          </cell>
        </row>
        <row r="13">
          <cell r="I13" t="str">
            <v>B12</v>
          </cell>
        </row>
        <row r="14">
          <cell r="I14" t="str">
            <v>B13</v>
          </cell>
        </row>
        <row r="15">
          <cell r="I15" t="str">
            <v>B14</v>
          </cell>
        </row>
        <row r="16">
          <cell r="I16" t="str">
            <v>B15</v>
          </cell>
        </row>
        <row r="17">
          <cell r="I17" t="str">
            <v>B16</v>
          </cell>
        </row>
        <row r="18">
          <cell r="I18" t="str">
            <v>B17</v>
          </cell>
        </row>
        <row r="19">
          <cell r="I19" t="str">
            <v>B18</v>
          </cell>
        </row>
        <row r="20">
          <cell r="I20" t="str">
            <v>B19</v>
          </cell>
        </row>
        <row r="21">
          <cell r="I21" t="str">
            <v>B20</v>
          </cell>
        </row>
        <row r="22">
          <cell r="I22" t="str">
            <v>B21</v>
          </cell>
        </row>
        <row r="23">
          <cell r="I23" t="str">
            <v>B22</v>
          </cell>
        </row>
        <row r="24">
          <cell r="I24" t="str">
            <v>B23</v>
          </cell>
        </row>
        <row r="25">
          <cell r="I25" t="str">
            <v>B24</v>
          </cell>
        </row>
        <row r="26">
          <cell r="I26" t="str">
            <v>B25</v>
          </cell>
        </row>
        <row r="27">
          <cell r="I27" t="str">
            <v>B26</v>
          </cell>
        </row>
        <row r="28">
          <cell r="I28" t="str">
            <v>B27</v>
          </cell>
        </row>
        <row r="29">
          <cell r="I29" t="str">
            <v>B28</v>
          </cell>
        </row>
        <row r="30">
          <cell r="I30" t="str">
            <v>B29</v>
          </cell>
        </row>
        <row r="31">
          <cell r="I31" t="str">
            <v>B30</v>
          </cell>
        </row>
        <row r="32">
          <cell r="I32" t="str">
            <v>B31</v>
          </cell>
        </row>
        <row r="33">
          <cell r="I33" t="str">
            <v>B32</v>
          </cell>
        </row>
        <row r="34">
          <cell r="I34" t="str">
            <v>B33</v>
          </cell>
        </row>
        <row r="35">
          <cell r="I35" t="str">
            <v>B34</v>
          </cell>
        </row>
        <row r="36">
          <cell r="I36" t="str">
            <v>B35</v>
          </cell>
        </row>
        <row r="37">
          <cell r="I37" t="str">
            <v>B36</v>
          </cell>
        </row>
        <row r="38">
          <cell r="I38" t="str">
            <v>B37</v>
          </cell>
        </row>
        <row r="39">
          <cell r="I39" t="str">
            <v>B38</v>
          </cell>
        </row>
        <row r="40">
          <cell r="I40" t="str">
            <v>B39</v>
          </cell>
        </row>
        <row r="41">
          <cell r="I41" t="str">
            <v>B40</v>
          </cell>
        </row>
      </sheetData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17-11-07T14:13:10.902"/>
    </inkml:context>
    <inkml:brush xml:id="br0">
      <inkml:brushProperty name="width" value="0.101" units="cm"/>
      <inkml:brushProperty name="height" value="0.101" units="cm"/>
      <inkml:brushProperty name="color" value="#F2395B"/>
      <inkml:brushProperty name="fitToCurve" value="1"/>
    </inkml:brush>
  </inkml:definitions>
  <inkml:trace contextRef="#ctx0" brushRef="#br0">-2147483648-2147483648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ublications.naturalengland.org.uk/publication/6331137473904640?category=589591115202560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B2:J39"/>
  <sheetViews>
    <sheetView showGridLines="0" tabSelected="1" workbookViewId="0"/>
  </sheetViews>
  <sheetFormatPr defaultRowHeight="15" x14ac:dyDescent="0.2"/>
  <cols>
    <col min="2" max="2" width="16.5546875" customWidth="1"/>
    <col min="3" max="3" width="15.6640625" customWidth="1"/>
  </cols>
  <sheetData>
    <row r="2" spans="2:3" ht="20.25" x14ac:dyDescent="0.3">
      <c r="B2" s="112" t="s">
        <v>1888</v>
      </c>
    </row>
    <row r="4" spans="2:3" ht="15.75" x14ac:dyDescent="0.25">
      <c r="B4" s="115" t="s">
        <v>1736</v>
      </c>
      <c r="C4" s="113" t="s">
        <v>1626</v>
      </c>
    </row>
    <row r="6" spans="2:3" ht="15.75" x14ac:dyDescent="0.25">
      <c r="B6" s="115" t="s">
        <v>1737</v>
      </c>
      <c r="C6" s="122">
        <v>2015</v>
      </c>
    </row>
    <row r="8" spans="2:3" ht="15.75" x14ac:dyDescent="0.25">
      <c r="B8" s="115" t="s">
        <v>1738</v>
      </c>
      <c r="C8" s="113"/>
    </row>
    <row r="10" spans="2:3" ht="15.75" x14ac:dyDescent="0.25">
      <c r="B10" s="115" t="s">
        <v>1751</v>
      </c>
      <c r="C10" s="113"/>
    </row>
    <row r="12" spans="2:3" x14ac:dyDescent="0.2">
      <c r="B12" s="116" t="s">
        <v>1739</v>
      </c>
    </row>
    <row r="14" spans="2:3" x14ac:dyDescent="0.2">
      <c r="B14" s="114" t="s">
        <v>1889</v>
      </c>
    </row>
    <row r="16" spans="2:3" x14ac:dyDescent="0.2">
      <c r="B16" s="123" t="s">
        <v>1835</v>
      </c>
      <c r="C16" s="123"/>
    </row>
    <row r="18" spans="2:10" x14ac:dyDescent="0.2">
      <c r="B18" s="114" t="s">
        <v>1744</v>
      </c>
    </row>
    <row r="20" spans="2:10" x14ac:dyDescent="0.2">
      <c r="B20" s="20" t="s">
        <v>1711</v>
      </c>
      <c r="C20" s="20" t="s">
        <v>1712</v>
      </c>
      <c r="D20" s="20" t="s">
        <v>1713</v>
      </c>
    </row>
    <row r="21" spans="2:10" x14ac:dyDescent="0.2">
      <c r="B21" s="18" t="s">
        <v>1714</v>
      </c>
      <c r="C21" s="18" t="s">
        <v>1680</v>
      </c>
      <c r="D21" s="18" t="s">
        <v>1715</v>
      </c>
    </row>
    <row r="22" spans="2:10" x14ac:dyDescent="0.2">
      <c r="B22" s="18" t="s">
        <v>1740</v>
      </c>
      <c r="C22" s="18" t="s">
        <v>1683</v>
      </c>
      <c r="D22" s="18" t="s">
        <v>1722</v>
      </c>
    </row>
    <row r="23" spans="2:10" x14ac:dyDescent="0.2">
      <c r="B23" s="18" t="s">
        <v>1741</v>
      </c>
      <c r="C23" s="18" t="s">
        <v>1750</v>
      </c>
      <c r="D23" s="18" t="s">
        <v>1722</v>
      </c>
    </row>
    <row r="24" spans="2:10" x14ac:dyDescent="0.2">
      <c r="B24" s="18" t="s">
        <v>1741</v>
      </c>
      <c r="C24" s="18" t="s">
        <v>1717</v>
      </c>
      <c r="D24" s="18" t="s">
        <v>1715</v>
      </c>
    </row>
    <row r="25" spans="2:10" x14ac:dyDescent="0.2">
      <c r="B25" s="18" t="s">
        <v>1741</v>
      </c>
      <c r="C25" s="18" t="s">
        <v>1718</v>
      </c>
      <c r="D25" s="18" t="s">
        <v>1715</v>
      </c>
    </row>
    <row r="26" spans="2:10" x14ac:dyDescent="0.2">
      <c r="B26" s="18" t="s">
        <v>1741</v>
      </c>
      <c r="C26" s="18" t="s">
        <v>1719</v>
      </c>
      <c r="D26" s="18" t="s">
        <v>1715</v>
      </c>
    </row>
    <row r="27" spans="2:10" x14ac:dyDescent="0.2">
      <c r="B27" s="18" t="s">
        <v>1741</v>
      </c>
      <c r="C27" s="18" t="s">
        <v>1720</v>
      </c>
      <c r="D27" s="18" t="s">
        <v>1721</v>
      </c>
    </row>
    <row r="28" spans="2:10" x14ac:dyDescent="0.2">
      <c r="B28" s="18"/>
      <c r="C28" s="18"/>
      <c r="D28" s="18"/>
    </row>
    <row r="29" spans="2:10" x14ac:dyDescent="0.2">
      <c r="B29" s="116" t="s">
        <v>1745</v>
      </c>
    </row>
    <row r="30" spans="2:10" x14ac:dyDescent="0.2">
      <c r="B30" s="225" t="s">
        <v>1981</v>
      </c>
      <c r="C30" s="226"/>
      <c r="D30" s="226"/>
      <c r="E30" s="226"/>
      <c r="F30" s="226"/>
      <c r="G30" s="226"/>
      <c r="H30" s="226"/>
      <c r="I30" s="226"/>
      <c r="J30" s="226"/>
    </row>
    <row r="31" spans="2:10" ht="15" customHeight="1" x14ac:dyDescent="0.2">
      <c r="B31" s="226"/>
      <c r="C31" s="226"/>
      <c r="D31" s="226"/>
      <c r="E31" s="226"/>
      <c r="F31" s="226"/>
      <c r="G31" s="226"/>
      <c r="H31" s="226"/>
      <c r="I31" s="226"/>
      <c r="J31" s="226"/>
    </row>
    <row r="32" spans="2:10" x14ac:dyDescent="0.2">
      <c r="B32" s="226"/>
      <c r="C32" s="226"/>
      <c r="D32" s="226"/>
      <c r="E32" s="226"/>
      <c r="F32" s="226"/>
      <c r="G32" s="226"/>
      <c r="H32" s="226"/>
      <c r="I32" s="226"/>
      <c r="J32" s="226"/>
    </row>
    <row r="33" spans="2:6" x14ac:dyDescent="0.2">
      <c r="B33" s="118"/>
      <c r="C33" s="21"/>
      <c r="D33" s="21"/>
      <c r="E33" s="21"/>
      <c r="F33" s="21"/>
    </row>
    <row r="34" spans="2:6" x14ac:dyDescent="0.2">
      <c r="B34" s="116" t="s">
        <v>1742</v>
      </c>
    </row>
    <row r="36" spans="2:6" x14ac:dyDescent="0.2">
      <c r="B36" s="117">
        <v>43572</v>
      </c>
      <c r="C36" s="114" t="s">
        <v>1743</v>
      </c>
    </row>
    <row r="37" spans="2:6" x14ac:dyDescent="0.2">
      <c r="B37" s="117">
        <v>43635</v>
      </c>
      <c r="C37" s="165" t="s">
        <v>1910</v>
      </c>
      <c r="D37" s="165"/>
    </row>
    <row r="38" spans="2:6" x14ac:dyDescent="0.2">
      <c r="B38" s="117">
        <v>43740</v>
      </c>
      <c r="C38" s="165" t="s">
        <v>1911</v>
      </c>
      <c r="D38" s="165"/>
    </row>
    <row r="39" spans="2:6" x14ac:dyDescent="0.2">
      <c r="B39" s="117">
        <v>43810</v>
      </c>
      <c r="C39" s="165" t="s">
        <v>1912</v>
      </c>
    </row>
  </sheetData>
  <mergeCells count="1">
    <mergeCell ref="B30:J32"/>
  </mergeCells>
  <hyperlinks>
    <hyperlink ref="B16:C16" r:id="rId1" display="LTMN@ Access to Evidence Catalogue" xr:uid="{00000000-0004-0000-0000-000000000000}"/>
  </hyperlinks>
  <pageMargins left="0.7" right="0.7" top="0.75" bottom="0.75" header="0.3" footer="0.3"/>
  <pageSetup paperSize="205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/>
  <dimension ref="A1:AO62"/>
  <sheetViews>
    <sheetView zoomScaleNormal="100" workbookViewId="0"/>
  </sheetViews>
  <sheetFormatPr defaultRowHeight="11.25" x14ac:dyDescent="0.2"/>
  <cols>
    <col min="1" max="1" width="8" style="19" bestFit="1" customWidth="1"/>
    <col min="2" max="2" width="4.88671875" style="19" customWidth="1"/>
    <col min="3" max="3" width="4.6640625" style="19" bestFit="1" customWidth="1"/>
    <col min="4" max="4" width="7" style="19" bestFit="1" customWidth="1"/>
    <col min="5" max="5" width="21.44140625" style="19" bestFit="1" customWidth="1"/>
    <col min="6" max="6" width="8.88671875" style="19" bestFit="1" customWidth="1"/>
    <col min="7" max="7" width="9.44140625" style="19" bestFit="1" customWidth="1"/>
    <col min="8" max="8" width="12.21875" style="19" bestFit="1" customWidth="1"/>
    <col min="9" max="9" width="22.109375" style="19" customWidth="1"/>
    <col min="10" max="10" width="7.88671875" style="19" bestFit="1" customWidth="1"/>
    <col min="11" max="11" width="9.33203125" style="5" customWidth="1"/>
    <col min="12" max="12" width="12.33203125" style="19" bestFit="1" customWidth="1"/>
    <col min="13" max="13" width="5.6640625" style="19" bestFit="1" customWidth="1"/>
    <col min="14" max="14" width="6.5546875" style="158" bestFit="1" customWidth="1"/>
    <col min="15" max="15" width="12.5546875" style="158" customWidth="1"/>
    <col min="16" max="16" width="7.44140625" style="19" bestFit="1" customWidth="1"/>
    <col min="17" max="17" width="7.33203125" style="19" bestFit="1" customWidth="1"/>
    <col min="18" max="18" width="8.77734375" style="19" bestFit="1" customWidth="1"/>
    <col min="19" max="19" width="7.44140625" style="19" bestFit="1" customWidth="1"/>
    <col min="20" max="20" width="4.33203125" style="19" bestFit="1" customWidth="1"/>
    <col min="21" max="21" width="6.33203125" style="19" bestFit="1" customWidth="1"/>
    <col min="22" max="22" width="5.33203125" style="19" customWidth="1"/>
    <col min="23" max="23" width="6.6640625" style="19" bestFit="1" customWidth="1"/>
    <col min="24" max="24" width="8.88671875" style="19" customWidth="1"/>
    <col min="25" max="26" width="6.6640625" style="19" customWidth="1"/>
    <col min="27" max="29" width="6.5546875" style="19" bestFit="1" customWidth="1"/>
    <col min="30" max="30" width="24.77734375" style="19" customWidth="1"/>
    <col min="31" max="31" width="21.5546875" style="19" customWidth="1"/>
    <col min="32" max="32" width="20.5546875" style="19" customWidth="1"/>
    <col min="33" max="33" width="59.88671875" style="28" bestFit="1" customWidth="1"/>
    <col min="34" max="36" width="11.33203125" style="19" customWidth="1"/>
    <col min="37" max="39" width="7.33203125" style="19" customWidth="1"/>
    <col min="40" max="40" width="7.33203125" style="5" customWidth="1"/>
    <col min="41" max="41" width="27.77734375" style="28" customWidth="1"/>
    <col min="42" max="16384" width="8.88671875" style="29"/>
  </cols>
  <sheetData>
    <row r="1" spans="1:41" s="27" customFormat="1" ht="21" customHeight="1" x14ac:dyDescent="0.2">
      <c r="A1" s="202" t="s">
        <v>219</v>
      </c>
      <c r="B1" s="202" t="s">
        <v>220</v>
      </c>
      <c r="C1" s="202" t="s">
        <v>222</v>
      </c>
      <c r="D1" s="202" t="s">
        <v>223</v>
      </c>
      <c r="E1" s="202" t="s">
        <v>1337</v>
      </c>
      <c r="F1" s="202" t="s">
        <v>1334</v>
      </c>
      <c r="G1" s="202" t="s">
        <v>1335</v>
      </c>
      <c r="H1" s="202" t="s">
        <v>1679</v>
      </c>
      <c r="I1" s="202" t="s">
        <v>1327</v>
      </c>
      <c r="J1" s="202" t="s">
        <v>1678</v>
      </c>
      <c r="K1" s="203" t="s">
        <v>1680</v>
      </c>
      <c r="L1" s="202" t="s">
        <v>1326</v>
      </c>
      <c r="M1" s="202" t="s">
        <v>1325</v>
      </c>
      <c r="N1" s="204" t="s">
        <v>1324</v>
      </c>
      <c r="O1" s="204" t="s">
        <v>1323</v>
      </c>
      <c r="P1" s="202" t="s">
        <v>1322</v>
      </c>
      <c r="Q1" s="202" t="s">
        <v>1752</v>
      </c>
      <c r="R1" s="202" t="s">
        <v>1753</v>
      </c>
      <c r="S1" s="202" t="s">
        <v>1754</v>
      </c>
      <c r="T1" s="202" t="s">
        <v>1755</v>
      </c>
      <c r="U1" s="202" t="s">
        <v>1756</v>
      </c>
      <c r="V1" s="202" t="s">
        <v>1757</v>
      </c>
      <c r="W1" s="202" t="s">
        <v>1758</v>
      </c>
      <c r="X1" s="202" t="s">
        <v>1982</v>
      </c>
      <c r="Y1" s="202" t="s">
        <v>1983</v>
      </c>
      <c r="Z1" s="202" t="s">
        <v>1984</v>
      </c>
      <c r="AA1" s="202" t="s">
        <v>1441</v>
      </c>
      <c r="AB1" s="202" t="s">
        <v>1442</v>
      </c>
      <c r="AC1" s="202" t="s">
        <v>1443</v>
      </c>
      <c r="AD1" s="202" t="s">
        <v>1962</v>
      </c>
      <c r="AE1" s="202" t="s">
        <v>1321</v>
      </c>
      <c r="AF1" s="202" t="s">
        <v>1320</v>
      </c>
      <c r="AG1" s="202" t="s">
        <v>1446</v>
      </c>
      <c r="AH1" s="202" t="s">
        <v>1475</v>
      </c>
      <c r="AI1" s="202" t="s">
        <v>1476</v>
      </c>
      <c r="AJ1" s="202" t="s">
        <v>1477</v>
      </c>
      <c r="AK1" s="202" t="s">
        <v>1746</v>
      </c>
      <c r="AL1" s="202" t="s">
        <v>1747</v>
      </c>
      <c r="AM1" s="202" t="s">
        <v>1748</v>
      </c>
      <c r="AN1" s="205" t="s">
        <v>1474</v>
      </c>
      <c r="AO1" s="202" t="s">
        <v>1723</v>
      </c>
    </row>
    <row r="2" spans="1:41" ht="15.75" customHeight="1" x14ac:dyDescent="0.2">
      <c r="A2" s="124" t="s">
        <v>313</v>
      </c>
      <c r="B2" s="19" t="s">
        <v>1759</v>
      </c>
      <c r="C2" s="125">
        <v>2015</v>
      </c>
      <c r="D2" s="125">
        <v>2</v>
      </c>
      <c r="E2" s="26" t="s">
        <v>1760</v>
      </c>
      <c r="F2" s="131">
        <v>490420.95409999997</v>
      </c>
      <c r="G2" s="131">
        <v>141359.25659</v>
      </c>
      <c r="H2" s="26" t="s">
        <v>1913</v>
      </c>
      <c r="I2" s="26"/>
      <c r="J2" s="126">
        <v>42213</v>
      </c>
      <c r="K2" s="15">
        <v>67</v>
      </c>
      <c r="L2" s="26">
        <v>14</v>
      </c>
      <c r="M2" s="26">
        <v>10</v>
      </c>
      <c r="N2" s="155">
        <v>270</v>
      </c>
      <c r="O2" s="155">
        <v>2</v>
      </c>
      <c r="P2" s="26"/>
      <c r="Q2" s="15" t="s">
        <v>1985</v>
      </c>
      <c r="R2" s="15" t="s">
        <v>1986</v>
      </c>
      <c r="S2" s="15" t="s">
        <v>1987</v>
      </c>
      <c r="T2" s="15">
        <v>6.9</v>
      </c>
      <c r="U2" s="15">
        <v>5.3</v>
      </c>
      <c r="V2" s="15">
        <v>2.1</v>
      </c>
      <c r="W2" s="15">
        <v>2.1</v>
      </c>
      <c r="X2" s="15">
        <v>2.74</v>
      </c>
      <c r="Y2" s="15">
        <v>3.26</v>
      </c>
      <c r="Z2" s="15">
        <v>1</v>
      </c>
      <c r="AA2" s="26">
        <v>144</v>
      </c>
      <c r="AB2" s="26"/>
      <c r="AC2" s="26"/>
      <c r="AD2" s="26"/>
      <c r="AE2" s="26" t="s">
        <v>1369</v>
      </c>
      <c r="AF2" s="26" t="s">
        <v>1393</v>
      </c>
      <c r="AG2" s="26"/>
      <c r="AO2" s="32"/>
    </row>
    <row r="3" spans="1:41" s="174" customFormat="1" ht="15" customHeight="1" x14ac:dyDescent="0.2">
      <c r="A3" s="166" t="s">
        <v>313</v>
      </c>
      <c r="B3" s="167" t="s">
        <v>1759</v>
      </c>
      <c r="C3" s="164">
        <v>2015</v>
      </c>
      <c r="D3" s="164">
        <v>3</v>
      </c>
      <c r="E3" s="167" t="s">
        <v>1760</v>
      </c>
      <c r="F3" s="168">
        <v>490929.16873999999</v>
      </c>
      <c r="G3" s="168">
        <v>140855.85474000001</v>
      </c>
      <c r="H3" s="169" t="s">
        <v>1914</v>
      </c>
      <c r="I3" s="167"/>
      <c r="J3" s="170">
        <v>42213</v>
      </c>
      <c r="K3" s="171">
        <v>77</v>
      </c>
      <c r="L3" s="167">
        <v>14</v>
      </c>
      <c r="M3" s="167">
        <v>8</v>
      </c>
      <c r="N3" s="172">
        <v>6</v>
      </c>
      <c r="O3" s="172">
        <v>2</v>
      </c>
      <c r="P3" s="167"/>
      <c r="Q3" s="15" t="s">
        <v>1988</v>
      </c>
      <c r="R3" s="15" t="s">
        <v>1989</v>
      </c>
      <c r="S3" s="15" t="s">
        <v>1990</v>
      </c>
      <c r="T3" s="15">
        <v>6.6</v>
      </c>
      <c r="U3" s="15">
        <v>5.0999999999999996</v>
      </c>
      <c r="V3" s="15">
        <v>2.1</v>
      </c>
      <c r="W3" s="15">
        <v>2.4</v>
      </c>
      <c r="X3" s="15">
        <v>2.06</v>
      </c>
      <c r="Y3" s="15">
        <v>3.94</v>
      </c>
      <c r="Z3" s="15">
        <v>1.02</v>
      </c>
      <c r="AA3" s="166">
        <v>144</v>
      </c>
      <c r="AB3" s="167"/>
      <c r="AC3" s="166"/>
      <c r="AD3" s="167" t="s">
        <v>1892</v>
      </c>
      <c r="AE3" s="26" t="s">
        <v>1369</v>
      </c>
      <c r="AF3" s="26" t="s">
        <v>1393</v>
      </c>
      <c r="AG3" s="166"/>
      <c r="AH3" s="173"/>
      <c r="AI3" s="173"/>
      <c r="AJ3" s="173"/>
      <c r="AK3" s="173"/>
      <c r="AL3" s="173"/>
      <c r="AM3" s="173"/>
      <c r="AN3" s="4"/>
    </row>
    <row r="4" spans="1:41" ht="15.75" customHeight="1" x14ac:dyDescent="0.2">
      <c r="A4" s="127" t="s">
        <v>313</v>
      </c>
      <c r="B4" s="19" t="s">
        <v>1759</v>
      </c>
      <c r="C4" s="125">
        <v>2015</v>
      </c>
      <c r="D4" s="125">
        <v>6</v>
      </c>
      <c r="E4" s="26" t="s">
        <v>1760</v>
      </c>
      <c r="F4" s="131">
        <v>490396.94245999999</v>
      </c>
      <c r="G4" s="131">
        <v>141506.75185</v>
      </c>
      <c r="H4" s="26" t="s">
        <v>1915</v>
      </c>
      <c r="I4" s="26"/>
      <c r="J4" s="126">
        <v>42213</v>
      </c>
      <c r="K4" s="15">
        <v>60</v>
      </c>
      <c r="L4" s="26">
        <v>18</v>
      </c>
      <c r="M4" s="26">
        <v>0</v>
      </c>
      <c r="N4" s="155"/>
      <c r="O4" s="155">
        <v>2</v>
      </c>
      <c r="P4" s="26"/>
      <c r="Q4" s="15" t="s">
        <v>1991</v>
      </c>
      <c r="R4" s="15" t="s">
        <v>1992</v>
      </c>
      <c r="S4" s="15" t="s">
        <v>1993</v>
      </c>
      <c r="T4" s="15">
        <v>7.7</v>
      </c>
      <c r="U4" s="15">
        <v>8.3000000000000007</v>
      </c>
      <c r="V4" s="15">
        <v>2.5</v>
      </c>
      <c r="W4" s="15">
        <v>1.3</v>
      </c>
      <c r="X4" s="15">
        <v>2.4700000000000002</v>
      </c>
      <c r="Y4" s="15">
        <v>3.53</v>
      </c>
      <c r="Z4" s="15">
        <v>1</v>
      </c>
      <c r="AA4" s="26"/>
      <c r="AB4" s="26"/>
      <c r="AC4" s="26"/>
      <c r="AD4" s="26"/>
      <c r="AE4" s="26" t="s">
        <v>1371</v>
      </c>
      <c r="AF4" s="26" t="s">
        <v>1397</v>
      </c>
      <c r="AG4" s="26" t="s">
        <v>1844</v>
      </c>
      <c r="AH4" s="19" t="s">
        <v>1664</v>
      </c>
      <c r="AI4" s="19" t="s">
        <v>1665</v>
      </c>
      <c r="AO4" s="32"/>
    </row>
    <row r="5" spans="1:41" ht="15.75" customHeight="1" x14ac:dyDescent="0.2">
      <c r="A5" s="124" t="s">
        <v>313</v>
      </c>
      <c r="B5" s="19" t="s">
        <v>1759</v>
      </c>
      <c r="C5" s="125">
        <v>2015</v>
      </c>
      <c r="D5" s="125">
        <v>7</v>
      </c>
      <c r="E5" s="26" t="s">
        <v>1760</v>
      </c>
      <c r="F5" s="131">
        <v>490500.39159000001</v>
      </c>
      <c r="G5" s="131">
        <v>141240.60256</v>
      </c>
      <c r="H5" s="26" t="s">
        <v>1916</v>
      </c>
      <c r="I5" s="26"/>
      <c r="J5" s="126">
        <v>42213</v>
      </c>
      <c r="K5" s="15">
        <v>66</v>
      </c>
      <c r="L5" s="26">
        <v>14</v>
      </c>
      <c r="M5" s="26">
        <v>9</v>
      </c>
      <c r="N5" s="156">
        <v>45</v>
      </c>
      <c r="O5" s="155">
        <v>3</v>
      </c>
      <c r="P5" s="26"/>
      <c r="Q5" s="15" t="s">
        <v>1994</v>
      </c>
      <c r="R5" s="15" t="s">
        <v>1995</v>
      </c>
      <c r="S5" s="15" t="s">
        <v>1996</v>
      </c>
      <c r="T5" s="15">
        <v>6.9</v>
      </c>
      <c r="U5" s="15">
        <v>5.4</v>
      </c>
      <c r="V5" s="15">
        <v>2.2000000000000002</v>
      </c>
      <c r="W5" s="15">
        <v>2.2000000000000002</v>
      </c>
      <c r="X5" s="15">
        <v>2.83</v>
      </c>
      <c r="Y5" s="15">
        <v>3.17</v>
      </c>
      <c r="Z5" s="15">
        <v>1</v>
      </c>
      <c r="AA5" s="26"/>
      <c r="AB5" s="26"/>
      <c r="AC5" s="26"/>
      <c r="AD5" s="26"/>
      <c r="AE5" s="26" t="s">
        <v>1369</v>
      </c>
      <c r="AF5" s="26" t="s">
        <v>1393</v>
      </c>
      <c r="AG5" s="26"/>
      <c r="AO5" s="32"/>
    </row>
    <row r="6" spans="1:41" s="174" customFormat="1" ht="15" customHeight="1" x14ac:dyDescent="0.2">
      <c r="A6" s="166" t="s">
        <v>313</v>
      </c>
      <c r="B6" s="166" t="s">
        <v>1759</v>
      </c>
      <c r="C6" s="164">
        <v>2015</v>
      </c>
      <c r="D6" s="164">
        <v>8</v>
      </c>
      <c r="E6" s="167" t="s">
        <v>1763</v>
      </c>
      <c r="F6" s="168">
        <v>491335</v>
      </c>
      <c r="G6" s="168">
        <v>140037</v>
      </c>
      <c r="H6" s="169" t="s">
        <v>1917</v>
      </c>
      <c r="I6" s="167"/>
      <c r="J6" s="175">
        <v>42214</v>
      </c>
      <c r="K6" s="171">
        <v>91</v>
      </c>
      <c r="L6" s="167">
        <v>14</v>
      </c>
      <c r="M6" s="167">
        <v>14</v>
      </c>
      <c r="N6" s="172">
        <v>54</v>
      </c>
      <c r="O6" s="172">
        <v>1</v>
      </c>
      <c r="P6" s="167"/>
      <c r="Q6" s="15" t="s">
        <v>1997</v>
      </c>
      <c r="R6" s="15" t="s">
        <v>1998</v>
      </c>
      <c r="S6" s="15" t="s">
        <v>1999</v>
      </c>
      <c r="T6" s="15">
        <v>7</v>
      </c>
      <c r="U6" s="15">
        <v>5.2</v>
      </c>
      <c r="V6" s="15">
        <v>2</v>
      </c>
      <c r="W6" s="15">
        <v>2</v>
      </c>
      <c r="X6" s="15">
        <v>2.17</v>
      </c>
      <c r="Y6" s="15">
        <v>3.83</v>
      </c>
      <c r="Z6" s="15">
        <v>1</v>
      </c>
      <c r="AA6" s="167"/>
      <c r="AB6" s="167"/>
      <c r="AC6" s="167"/>
      <c r="AD6" s="167" t="s">
        <v>1893</v>
      </c>
      <c r="AE6" s="26" t="s">
        <v>1369</v>
      </c>
      <c r="AF6" s="26" t="s">
        <v>1393</v>
      </c>
      <c r="AG6" s="167"/>
      <c r="AH6" s="173"/>
      <c r="AI6" s="173"/>
      <c r="AJ6" s="173"/>
      <c r="AK6" s="173"/>
      <c r="AL6" s="173"/>
      <c r="AM6" s="173"/>
      <c r="AN6" s="4"/>
    </row>
    <row r="7" spans="1:41" s="174" customFormat="1" ht="15" customHeight="1" x14ac:dyDescent="0.2">
      <c r="A7" s="166" t="s">
        <v>313</v>
      </c>
      <c r="B7" s="166" t="s">
        <v>1759</v>
      </c>
      <c r="C7" s="164">
        <v>2015</v>
      </c>
      <c r="D7" s="176">
        <v>11</v>
      </c>
      <c r="E7" s="167" t="s">
        <v>1763</v>
      </c>
      <c r="F7" s="177">
        <v>491475.73690999998</v>
      </c>
      <c r="G7" s="178">
        <v>141051.47156599999</v>
      </c>
      <c r="H7" s="179" t="s">
        <v>1918</v>
      </c>
      <c r="I7" s="167"/>
      <c r="J7" s="175">
        <v>42214</v>
      </c>
      <c r="K7" s="180">
        <v>61</v>
      </c>
      <c r="L7" s="167">
        <v>14</v>
      </c>
      <c r="M7" s="166">
        <v>2</v>
      </c>
      <c r="N7" s="181">
        <v>340</v>
      </c>
      <c r="O7" s="181">
        <v>2</v>
      </c>
      <c r="P7" s="166"/>
      <c r="Q7" s="15" t="s">
        <v>2000</v>
      </c>
      <c r="R7" s="15" t="s">
        <v>2001</v>
      </c>
      <c r="S7" s="15" t="s">
        <v>2002</v>
      </c>
      <c r="T7" s="15">
        <v>7</v>
      </c>
      <c r="U7" s="15">
        <v>5.9</v>
      </c>
      <c r="V7" s="15">
        <v>2.2000000000000002</v>
      </c>
      <c r="W7" s="15">
        <v>2.2000000000000002</v>
      </c>
      <c r="X7" s="15">
        <v>3.11</v>
      </c>
      <c r="Y7" s="15">
        <v>2.89</v>
      </c>
      <c r="Z7" s="15">
        <v>1</v>
      </c>
      <c r="AA7" s="167">
        <v>144</v>
      </c>
      <c r="AB7" s="166"/>
      <c r="AC7" s="167"/>
      <c r="AD7" s="166" t="s">
        <v>1894</v>
      </c>
      <c r="AE7" s="26" t="s">
        <v>1369</v>
      </c>
      <c r="AF7" s="26" t="s">
        <v>1393</v>
      </c>
      <c r="AG7" s="167"/>
      <c r="AH7" s="173"/>
      <c r="AI7" s="173"/>
      <c r="AJ7" s="173"/>
      <c r="AK7" s="173"/>
      <c r="AL7" s="173"/>
      <c r="AM7" s="173"/>
      <c r="AN7" s="4"/>
    </row>
    <row r="8" spans="1:41" s="174" customFormat="1" ht="15" customHeight="1" x14ac:dyDescent="0.2">
      <c r="A8" s="166" t="s">
        <v>313</v>
      </c>
      <c r="B8" s="166" t="s">
        <v>1759</v>
      </c>
      <c r="C8" s="164">
        <v>2015</v>
      </c>
      <c r="D8" s="176">
        <v>12</v>
      </c>
      <c r="E8" s="167" t="s">
        <v>1763</v>
      </c>
      <c r="F8" s="178">
        <v>491349.78703000001</v>
      </c>
      <c r="G8" s="178">
        <v>140470.99654200001</v>
      </c>
      <c r="H8" s="179" t="s">
        <v>1919</v>
      </c>
      <c r="I8" s="166"/>
      <c r="J8" s="175">
        <v>42214</v>
      </c>
      <c r="K8" s="180">
        <v>65</v>
      </c>
      <c r="L8" s="167">
        <v>14</v>
      </c>
      <c r="M8" s="166">
        <v>5</v>
      </c>
      <c r="N8" s="181">
        <v>150</v>
      </c>
      <c r="O8" s="181">
        <v>1</v>
      </c>
      <c r="P8" s="166"/>
      <c r="Q8" s="15" t="s">
        <v>2003</v>
      </c>
      <c r="R8" s="15" t="s">
        <v>2004</v>
      </c>
      <c r="S8" s="15" t="s">
        <v>2005</v>
      </c>
      <c r="T8" s="15">
        <v>6.6</v>
      </c>
      <c r="U8" s="15">
        <v>5.0999999999999996</v>
      </c>
      <c r="V8" s="15">
        <v>2.5</v>
      </c>
      <c r="W8" s="15">
        <v>2.4</v>
      </c>
      <c r="X8" s="15">
        <v>2.97</v>
      </c>
      <c r="Y8" s="15">
        <v>3.02</v>
      </c>
      <c r="Z8" s="15">
        <v>1.02</v>
      </c>
      <c r="AA8" s="167">
        <v>144</v>
      </c>
      <c r="AB8" s="166"/>
      <c r="AC8" s="167"/>
      <c r="AD8" s="166" t="s">
        <v>1895</v>
      </c>
      <c r="AE8" s="166" t="s">
        <v>2132</v>
      </c>
      <c r="AF8" s="166" t="s">
        <v>1437</v>
      </c>
      <c r="AG8" s="167"/>
      <c r="AH8" s="173"/>
      <c r="AI8" s="173"/>
      <c r="AJ8" s="173"/>
      <c r="AK8" s="173"/>
      <c r="AL8" s="173"/>
      <c r="AM8" s="173"/>
      <c r="AN8" s="4"/>
    </row>
    <row r="9" spans="1:41" ht="15.75" customHeight="1" x14ac:dyDescent="0.2">
      <c r="A9" s="127" t="s">
        <v>313</v>
      </c>
      <c r="B9" s="19" t="s">
        <v>1759</v>
      </c>
      <c r="C9" s="125">
        <v>2015</v>
      </c>
      <c r="D9" s="125">
        <v>13</v>
      </c>
      <c r="E9" s="26" t="s">
        <v>1760</v>
      </c>
      <c r="F9" s="131">
        <v>490075.93025999999</v>
      </c>
      <c r="G9" s="131">
        <v>140775.22954</v>
      </c>
      <c r="H9" s="26" t="s">
        <v>1920</v>
      </c>
      <c r="I9" s="26"/>
      <c r="J9" s="126">
        <v>42213</v>
      </c>
      <c r="K9" s="15">
        <v>66</v>
      </c>
      <c r="L9" s="26">
        <v>14</v>
      </c>
      <c r="M9" s="26">
        <v>7</v>
      </c>
      <c r="N9" s="156"/>
      <c r="O9" s="155">
        <v>2</v>
      </c>
      <c r="P9" s="26"/>
      <c r="Q9" s="15" t="s">
        <v>2006</v>
      </c>
      <c r="R9" s="15" t="s">
        <v>2007</v>
      </c>
      <c r="S9" s="15" t="s">
        <v>2008</v>
      </c>
      <c r="T9" s="15">
        <v>7</v>
      </c>
      <c r="U9" s="15">
        <v>6</v>
      </c>
      <c r="V9" s="15">
        <v>2</v>
      </c>
      <c r="W9" s="15">
        <v>2</v>
      </c>
      <c r="X9" s="15">
        <v>3</v>
      </c>
      <c r="Y9" s="15">
        <v>3</v>
      </c>
      <c r="Z9" s="15">
        <v>1</v>
      </c>
      <c r="AA9" s="26">
        <v>144</v>
      </c>
      <c r="AB9" s="26">
        <v>115</v>
      </c>
      <c r="AC9" s="26"/>
      <c r="AD9" s="26"/>
      <c r="AE9" s="26" t="s">
        <v>1369</v>
      </c>
      <c r="AF9" s="26" t="s">
        <v>1393</v>
      </c>
      <c r="AG9" s="26" t="s">
        <v>1963</v>
      </c>
      <c r="AH9" s="19" t="s">
        <v>1664</v>
      </c>
      <c r="AI9" s="19" t="s">
        <v>1665</v>
      </c>
      <c r="AO9" s="32"/>
    </row>
    <row r="10" spans="1:41" s="174" customFormat="1" ht="15" customHeight="1" x14ac:dyDescent="0.2">
      <c r="A10" s="166" t="s">
        <v>313</v>
      </c>
      <c r="B10" s="166" t="s">
        <v>1759</v>
      </c>
      <c r="C10" s="164">
        <v>2015</v>
      </c>
      <c r="D10" s="176">
        <v>14</v>
      </c>
      <c r="E10" s="167" t="s">
        <v>1760</v>
      </c>
      <c r="F10" s="178">
        <v>490017.30643</v>
      </c>
      <c r="G10" s="178">
        <v>140297.69873</v>
      </c>
      <c r="H10" s="179" t="s">
        <v>1921</v>
      </c>
      <c r="I10" s="166"/>
      <c r="J10" s="182">
        <v>42214</v>
      </c>
      <c r="K10" s="180">
        <v>71</v>
      </c>
      <c r="L10" s="166">
        <v>13</v>
      </c>
      <c r="M10" s="166">
        <v>16</v>
      </c>
      <c r="N10" s="181">
        <v>34</v>
      </c>
      <c r="O10" s="181">
        <v>3</v>
      </c>
      <c r="P10" s="166"/>
      <c r="Q10" s="15" t="s">
        <v>2009</v>
      </c>
      <c r="R10" s="15" t="s">
        <v>2010</v>
      </c>
      <c r="S10" s="15" t="s">
        <v>2011</v>
      </c>
      <c r="T10" s="15">
        <v>6.9</v>
      </c>
      <c r="U10" s="15">
        <v>5.4</v>
      </c>
      <c r="V10" s="15">
        <v>4.7</v>
      </c>
      <c r="W10" s="15">
        <v>3.3</v>
      </c>
      <c r="X10" s="15">
        <v>3.26</v>
      </c>
      <c r="Y10" s="15">
        <v>2.74</v>
      </c>
      <c r="Z10" s="15">
        <v>1</v>
      </c>
      <c r="AA10" s="166"/>
      <c r="AB10" s="166"/>
      <c r="AC10" s="166"/>
      <c r="AD10" s="166"/>
      <c r="AE10" s="26" t="s">
        <v>1358</v>
      </c>
      <c r="AF10" s="26" t="s">
        <v>1376</v>
      </c>
      <c r="AG10" s="166"/>
      <c r="AH10" s="173"/>
      <c r="AI10" s="173"/>
      <c r="AJ10" s="173"/>
      <c r="AK10" s="173"/>
      <c r="AL10" s="173"/>
      <c r="AM10" s="173"/>
      <c r="AN10" s="4"/>
    </row>
    <row r="11" spans="1:41" ht="15.75" customHeight="1" x14ac:dyDescent="0.2">
      <c r="A11" s="124" t="s">
        <v>313</v>
      </c>
      <c r="B11" s="19" t="s">
        <v>1759</v>
      </c>
      <c r="C11" s="128">
        <v>2015</v>
      </c>
      <c r="D11" s="125">
        <v>16</v>
      </c>
      <c r="E11" s="31" t="s">
        <v>1760</v>
      </c>
      <c r="F11" s="132">
        <v>490268.49047999998</v>
      </c>
      <c r="G11" s="132">
        <v>140824.10915999999</v>
      </c>
      <c r="H11" s="31" t="s">
        <v>1922</v>
      </c>
      <c r="I11" s="31"/>
      <c r="J11" s="129">
        <v>42213</v>
      </c>
      <c r="K11" s="15">
        <v>67</v>
      </c>
      <c r="L11" s="31">
        <v>14</v>
      </c>
      <c r="M11" s="31">
        <v>5</v>
      </c>
      <c r="N11" s="156">
        <v>42</v>
      </c>
      <c r="O11" s="156">
        <v>2</v>
      </c>
      <c r="P11" s="31"/>
      <c r="Q11" s="15" t="s">
        <v>2012</v>
      </c>
      <c r="R11" s="15" t="s">
        <v>2013</v>
      </c>
      <c r="S11" s="15" t="s">
        <v>2014</v>
      </c>
      <c r="T11" s="15">
        <v>7.4</v>
      </c>
      <c r="U11" s="15">
        <v>8</v>
      </c>
      <c r="V11" s="15">
        <v>2.9</v>
      </c>
      <c r="W11" s="15">
        <v>1.7</v>
      </c>
      <c r="X11" s="15">
        <v>2.64</v>
      </c>
      <c r="Y11" s="15">
        <v>3.32</v>
      </c>
      <c r="Z11" s="15">
        <v>1.08</v>
      </c>
      <c r="AA11" s="31">
        <v>144</v>
      </c>
      <c r="AB11" s="31"/>
      <c r="AC11" s="31"/>
      <c r="AD11" s="31"/>
      <c r="AE11" s="26" t="s">
        <v>1371</v>
      </c>
      <c r="AF11" s="31" t="s">
        <v>1397</v>
      </c>
      <c r="AG11" s="31"/>
      <c r="AO11" s="32"/>
    </row>
    <row r="12" spans="1:41" ht="15.75" customHeight="1" x14ac:dyDescent="0.2">
      <c r="A12" s="127" t="s">
        <v>313</v>
      </c>
      <c r="B12" s="19" t="s">
        <v>1759</v>
      </c>
      <c r="C12" s="128">
        <v>2015</v>
      </c>
      <c r="D12" s="125">
        <v>18</v>
      </c>
      <c r="E12" s="31" t="s">
        <v>1760</v>
      </c>
      <c r="F12" s="132">
        <v>490656.45218999998</v>
      </c>
      <c r="G12" s="132">
        <v>141298.91508999999</v>
      </c>
      <c r="H12" s="31" t="s">
        <v>1923</v>
      </c>
      <c r="I12" s="31"/>
      <c r="J12" s="129">
        <v>42213</v>
      </c>
      <c r="K12" s="15">
        <v>60</v>
      </c>
      <c r="L12" s="31">
        <v>14</v>
      </c>
      <c r="M12" s="31">
        <v>2</v>
      </c>
      <c r="N12" s="156">
        <v>140</v>
      </c>
      <c r="O12" s="156">
        <v>3</v>
      </c>
      <c r="P12" s="31"/>
      <c r="Q12" s="15" t="s">
        <v>2015</v>
      </c>
      <c r="R12" s="15" t="s">
        <v>2016</v>
      </c>
      <c r="S12" s="15" t="s">
        <v>2017</v>
      </c>
      <c r="T12" s="15">
        <v>7.1</v>
      </c>
      <c r="U12" s="15">
        <v>6.5</v>
      </c>
      <c r="V12" s="15">
        <v>2.2000000000000002</v>
      </c>
      <c r="W12" s="15">
        <v>2.1</v>
      </c>
      <c r="X12" s="15">
        <v>3.08</v>
      </c>
      <c r="Y12" s="15">
        <v>2.92</v>
      </c>
      <c r="Z12" s="15">
        <v>1</v>
      </c>
      <c r="AA12" s="31"/>
      <c r="AB12" s="31"/>
      <c r="AC12" s="31"/>
      <c r="AD12" s="31"/>
      <c r="AE12" s="26" t="s">
        <v>1369</v>
      </c>
      <c r="AF12" s="26" t="s">
        <v>1393</v>
      </c>
      <c r="AG12" s="31"/>
      <c r="AO12" s="32"/>
    </row>
    <row r="13" spans="1:41" ht="15.75" customHeight="1" x14ac:dyDescent="0.2">
      <c r="A13" s="124" t="s">
        <v>313</v>
      </c>
      <c r="B13" s="19" t="s">
        <v>1761</v>
      </c>
      <c r="C13" s="128">
        <v>2015</v>
      </c>
      <c r="D13" s="125">
        <v>19</v>
      </c>
      <c r="E13" s="31" t="s">
        <v>1760</v>
      </c>
      <c r="F13" s="132">
        <v>489865.23800000001</v>
      </c>
      <c r="G13" s="132">
        <v>140737.245</v>
      </c>
      <c r="H13" s="31" t="s">
        <v>1924</v>
      </c>
      <c r="I13" s="15" t="s">
        <v>1884</v>
      </c>
      <c r="J13" s="129">
        <v>42215</v>
      </c>
      <c r="K13" s="15"/>
      <c r="L13" s="31"/>
      <c r="M13" s="31"/>
      <c r="N13" s="156"/>
      <c r="O13" s="156"/>
      <c r="P13" s="31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31"/>
      <c r="AB13" s="31"/>
      <c r="AC13" s="31"/>
      <c r="AD13" s="31"/>
      <c r="AE13" s="26"/>
      <c r="AF13" s="31"/>
      <c r="AG13" s="31" t="s">
        <v>1899</v>
      </c>
      <c r="AO13" s="32"/>
    </row>
    <row r="14" spans="1:41" ht="15.75" customHeight="1" x14ac:dyDescent="0.2">
      <c r="A14" s="127" t="s">
        <v>313</v>
      </c>
      <c r="B14" s="19" t="s">
        <v>1759</v>
      </c>
      <c r="C14" s="128">
        <v>2015</v>
      </c>
      <c r="D14" s="125">
        <v>20</v>
      </c>
      <c r="E14" s="31" t="s">
        <v>1760</v>
      </c>
      <c r="F14" s="132">
        <v>490477.18105000001</v>
      </c>
      <c r="G14" s="132">
        <v>140979.79199</v>
      </c>
      <c r="H14" s="31" t="s">
        <v>1925</v>
      </c>
      <c r="I14" s="31"/>
      <c r="J14" s="129">
        <v>42213</v>
      </c>
      <c r="K14" s="15">
        <v>0</v>
      </c>
      <c r="L14" s="31">
        <v>14</v>
      </c>
      <c r="M14" s="31">
        <v>10</v>
      </c>
      <c r="N14" s="156">
        <v>215</v>
      </c>
      <c r="O14" s="156">
        <v>1</v>
      </c>
      <c r="P14" s="31"/>
      <c r="Q14" s="15" t="s">
        <v>2018</v>
      </c>
      <c r="R14" s="15" t="s">
        <v>2019</v>
      </c>
      <c r="S14" s="15" t="s">
        <v>2020</v>
      </c>
      <c r="T14" s="15">
        <v>7.2</v>
      </c>
      <c r="U14" s="15">
        <v>5.6</v>
      </c>
      <c r="V14" s="15">
        <v>1.8</v>
      </c>
      <c r="W14" s="15">
        <v>2</v>
      </c>
      <c r="X14" s="15">
        <v>2.61</v>
      </c>
      <c r="Y14" s="15">
        <v>3.39</v>
      </c>
      <c r="Z14" s="15">
        <v>1</v>
      </c>
      <c r="AA14" s="31">
        <v>144</v>
      </c>
      <c r="AB14" s="31">
        <v>138</v>
      </c>
      <c r="AC14" s="31"/>
      <c r="AD14" s="31"/>
      <c r="AE14" s="26" t="s">
        <v>1369</v>
      </c>
      <c r="AF14" s="26" t="s">
        <v>1393</v>
      </c>
      <c r="AG14" s="31"/>
      <c r="AO14" s="32"/>
    </row>
    <row r="15" spans="1:41" ht="15.75" customHeight="1" x14ac:dyDescent="0.2">
      <c r="A15" s="124" t="s">
        <v>313</v>
      </c>
      <c r="B15" s="19" t="s">
        <v>1759</v>
      </c>
      <c r="C15" s="125">
        <v>2015</v>
      </c>
      <c r="D15" s="125">
        <v>21</v>
      </c>
      <c r="E15" s="26" t="s">
        <v>1760</v>
      </c>
      <c r="F15" s="131">
        <v>490190.42878000002</v>
      </c>
      <c r="G15" s="131">
        <v>141470.66553999999</v>
      </c>
      <c r="H15" s="26" t="s">
        <v>1926</v>
      </c>
      <c r="I15" s="26"/>
      <c r="J15" s="126">
        <v>42213</v>
      </c>
      <c r="K15" s="15">
        <v>57</v>
      </c>
      <c r="L15" s="26">
        <v>18</v>
      </c>
      <c r="M15" s="31">
        <v>0</v>
      </c>
      <c r="N15" s="156">
        <v>0</v>
      </c>
      <c r="O15" s="155">
        <v>2</v>
      </c>
      <c r="P15" s="26"/>
      <c r="Q15" s="15" t="s">
        <v>2021</v>
      </c>
      <c r="R15" s="15" t="s">
        <v>2022</v>
      </c>
      <c r="S15" s="15" t="s">
        <v>2023</v>
      </c>
      <c r="T15" s="15">
        <v>8</v>
      </c>
      <c r="U15" s="15">
        <v>8.6</v>
      </c>
      <c r="V15" s="15">
        <v>2.1</v>
      </c>
      <c r="W15" s="15">
        <v>1</v>
      </c>
      <c r="X15" s="15">
        <v>2.0499999999999998</v>
      </c>
      <c r="Y15" s="15">
        <v>3.95</v>
      </c>
      <c r="Z15" s="15">
        <v>1</v>
      </c>
      <c r="AA15" s="26"/>
      <c r="AB15" s="26"/>
      <c r="AC15" s="26"/>
      <c r="AD15" s="26"/>
      <c r="AE15" s="26" t="s">
        <v>1371</v>
      </c>
      <c r="AF15" s="26" t="s">
        <v>1397</v>
      </c>
      <c r="AG15" s="26"/>
      <c r="AO15" s="32"/>
    </row>
    <row r="16" spans="1:41" ht="15.75" customHeight="1" x14ac:dyDescent="0.2">
      <c r="A16" s="127" t="s">
        <v>313</v>
      </c>
      <c r="B16" s="19" t="s">
        <v>1759</v>
      </c>
      <c r="C16" s="125">
        <v>2015</v>
      </c>
      <c r="D16" s="125">
        <v>24</v>
      </c>
      <c r="E16" s="26" t="s">
        <v>1760</v>
      </c>
      <c r="F16" s="131">
        <v>490865.84045999998</v>
      </c>
      <c r="G16" s="131">
        <v>139855.74599</v>
      </c>
      <c r="H16" s="26" t="s">
        <v>1927</v>
      </c>
      <c r="I16" s="26"/>
      <c r="J16" s="126">
        <v>42214</v>
      </c>
      <c r="K16" s="15">
        <v>105</v>
      </c>
      <c r="L16" s="26">
        <v>14</v>
      </c>
      <c r="M16" s="26">
        <v>6</v>
      </c>
      <c r="N16" s="155">
        <v>310</v>
      </c>
      <c r="O16" s="155">
        <v>2</v>
      </c>
      <c r="P16" s="26"/>
      <c r="Q16" s="15" t="s">
        <v>2024</v>
      </c>
      <c r="R16" s="15" t="s">
        <v>2025</v>
      </c>
      <c r="S16" s="15" t="s">
        <v>2026</v>
      </c>
      <c r="T16" s="15">
        <v>6.5</v>
      </c>
      <c r="U16" s="15">
        <v>5.2</v>
      </c>
      <c r="V16" s="15">
        <v>2.2999999999999998</v>
      </c>
      <c r="W16" s="15">
        <v>2.6</v>
      </c>
      <c r="X16" s="15">
        <v>2.06</v>
      </c>
      <c r="Y16" s="15">
        <v>3.93</v>
      </c>
      <c r="Z16" s="15">
        <v>1.29</v>
      </c>
      <c r="AA16" s="26"/>
      <c r="AB16" s="26"/>
      <c r="AC16" s="26"/>
      <c r="AD16" s="26"/>
      <c r="AE16" s="26" t="s">
        <v>1369</v>
      </c>
      <c r="AF16" s="26" t="s">
        <v>1393</v>
      </c>
      <c r="AG16" s="26"/>
      <c r="AO16" s="32"/>
    </row>
    <row r="17" spans="1:41" ht="15.75" customHeight="1" x14ac:dyDescent="0.2">
      <c r="A17" s="124" t="s">
        <v>313</v>
      </c>
      <c r="B17" s="19" t="s">
        <v>1759</v>
      </c>
      <c r="C17" s="128">
        <v>2015</v>
      </c>
      <c r="D17" s="125">
        <v>25</v>
      </c>
      <c r="E17" s="31"/>
      <c r="F17" s="132"/>
      <c r="G17" s="132"/>
      <c r="H17" s="31"/>
      <c r="I17" s="15" t="s">
        <v>1884</v>
      </c>
      <c r="J17" s="129"/>
      <c r="K17" s="15"/>
      <c r="L17" s="31"/>
      <c r="M17" s="31"/>
      <c r="N17" s="156"/>
      <c r="O17" s="156"/>
      <c r="P17" s="31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31"/>
      <c r="AB17" s="31"/>
      <c r="AC17" s="31"/>
      <c r="AD17" s="31"/>
      <c r="AE17" s="31"/>
      <c r="AF17" s="31"/>
      <c r="AG17" s="31" t="s">
        <v>1899</v>
      </c>
      <c r="AO17" s="32"/>
    </row>
    <row r="18" spans="1:41" ht="15.75" customHeight="1" x14ac:dyDescent="0.2">
      <c r="A18" s="127" t="s">
        <v>313</v>
      </c>
      <c r="B18" s="19" t="s">
        <v>1759</v>
      </c>
      <c r="C18" s="128">
        <v>2015</v>
      </c>
      <c r="D18" s="125">
        <v>26</v>
      </c>
      <c r="E18" s="31" t="s">
        <v>1760</v>
      </c>
      <c r="F18" s="132">
        <v>491045.22928000003</v>
      </c>
      <c r="G18" s="132">
        <v>140096.82326</v>
      </c>
      <c r="H18" s="31" t="s">
        <v>1928</v>
      </c>
      <c r="I18" s="31"/>
      <c r="J18" s="129">
        <v>42214</v>
      </c>
      <c r="K18" s="15">
        <v>97</v>
      </c>
      <c r="L18" s="31">
        <v>14</v>
      </c>
      <c r="M18" s="31">
        <v>6</v>
      </c>
      <c r="N18" s="156">
        <v>148</v>
      </c>
      <c r="O18" s="156">
        <v>2</v>
      </c>
      <c r="P18" s="31"/>
      <c r="Q18" s="15" t="s">
        <v>2027</v>
      </c>
      <c r="R18" s="15" t="s">
        <v>2028</v>
      </c>
      <c r="S18" s="15" t="s">
        <v>2029</v>
      </c>
      <c r="T18" s="15">
        <v>7.5</v>
      </c>
      <c r="U18" s="15">
        <v>5.7</v>
      </c>
      <c r="V18" s="15">
        <v>1.6</v>
      </c>
      <c r="W18" s="15">
        <v>2</v>
      </c>
      <c r="X18" s="15">
        <v>2.68</v>
      </c>
      <c r="Y18" s="15">
        <v>3.32</v>
      </c>
      <c r="Z18" s="15">
        <v>1</v>
      </c>
      <c r="AA18" s="31">
        <v>144</v>
      </c>
      <c r="AB18" s="31"/>
      <c r="AC18" s="31"/>
      <c r="AD18" s="31"/>
      <c r="AE18" s="26" t="s">
        <v>1369</v>
      </c>
      <c r="AF18" s="26" t="s">
        <v>1393</v>
      </c>
      <c r="AG18" s="31" t="s">
        <v>1836</v>
      </c>
      <c r="AH18" s="19" t="s">
        <v>1665</v>
      </c>
      <c r="AO18" s="32"/>
    </row>
    <row r="19" spans="1:41" ht="15.75" customHeight="1" x14ac:dyDescent="0.2">
      <c r="A19" s="124" t="s">
        <v>313</v>
      </c>
      <c r="B19" s="19" t="s">
        <v>1759</v>
      </c>
      <c r="C19" s="125">
        <v>2015</v>
      </c>
      <c r="D19" s="125">
        <v>27</v>
      </c>
      <c r="E19" s="26" t="s">
        <v>1760</v>
      </c>
      <c r="F19" s="131">
        <v>490741.50122600002</v>
      </c>
      <c r="G19" s="131">
        <v>139985.93923799999</v>
      </c>
      <c r="H19" s="26" t="s">
        <v>1929</v>
      </c>
      <c r="I19" s="26"/>
      <c r="J19" s="126">
        <v>42214</v>
      </c>
      <c r="K19" s="15">
        <v>102</v>
      </c>
      <c r="L19" s="26">
        <v>14</v>
      </c>
      <c r="M19" s="26">
        <v>6</v>
      </c>
      <c r="N19" s="155">
        <v>30</v>
      </c>
      <c r="O19" s="155">
        <v>2</v>
      </c>
      <c r="P19" s="26"/>
      <c r="Q19" s="15" t="s">
        <v>2030</v>
      </c>
      <c r="R19" s="15" t="s">
        <v>2031</v>
      </c>
      <c r="S19" s="15" t="s">
        <v>2032</v>
      </c>
      <c r="T19" s="15">
        <v>6.9</v>
      </c>
      <c r="U19" s="15">
        <v>5.2</v>
      </c>
      <c r="V19" s="15">
        <v>2</v>
      </c>
      <c r="W19" s="15">
        <v>2.2000000000000002</v>
      </c>
      <c r="X19" s="15">
        <v>2.1800000000000002</v>
      </c>
      <c r="Y19" s="15">
        <v>3.82</v>
      </c>
      <c r="Z19" s="15">
        <v>1.03</v>
      </c>
      <c r="AA19" s="26">
        <v>144</v>
      </c>
      <c r="AB19" s="26">
        <v>115</v>
      </c>
      <c r="AC19" s="26"/>
      <c r="AD19" s="26"/>
      <c r="AE19" s="26" t="s">
        <v>1369</v>
      </c>
      <c r="AF19" s="26" t="s">
        <v>1393</v>
      </c>
      <c r="AG19" s="26"/>
      <c r="AO19" s="32"/>
    </row>
    <row r="20" spans="1:41" ht="15.75" customHeight="1" x14ac:dyDescent="0.2">
      <c r="A20" s="127" t="s">
        <v>313</v>
      </c>
      <c r="B20" s="19" t="s">
        <v>1759</v>
      </c>
      <c r="C20" s="125">
        <v>2015</v>
      </c>
      <c r="D20" s="125">
        <v>29</v>
      </c>
      <c r="E20" s="26" t="s">
        <v>1760</v>
      </c>
      <c r="F20" s="131">
        <v>490263.56073000003</v>
      </c>
      <c r="G20" s="131">
        <v>140144.12174999999</v>
      </c>
      <c r="H20" s="26" t="s">
        <v>1762</v>
      </c>
      <c r="I20" s="26"/>
      <c r="J20" s="126">
        <v>42214</v>
      </c>
      <c r="K20" s="15">
        <v>97</v>
      </c>
      <c r="L20" s="26">
        <v>14</v>
      </c>
      <c r="M20" s="26">
        <v>5</v>
      </c>
      <c r="N20" s="155">
        <v>320</v>
      </c>
      <c r="O20" s="155">
        <v>2</v>
      </c>
      <c r="P20" s="26"/>
      <c r="Q20" s="15" t="s">
        <v>2033</v>
      </c>
      <c r="R20" s="15" t="s">
        <v>2034</v>
      </c>
      <c r="S20" s="15" t="s">
        <v>2035</v>
      </c>
      <c r="T20" s="15">
        <v>7</v>
      </c>
      <c r="U20" s="15">
        <v>5.7</v>
      </c>
      <c r="V20" s="15">
        <v>2</v>
      </c>
      <c r="W20" s="15">
        <v>2</v>
      </c>
      <c r="X20" s="15">
        <v>2.77</v>
      </c>
      <c r="Y20" s="15">
        <v>3.23</v>
      </c>
      <c r="Z20" s="15">
        <v>1</v>
      </c>
      <c r="AA20" s="26">
        <v>144</v>
      </c>
      <c r="AB20" s="26">
        <v>115</v>
      </c>
      <c r="AC20" s="26"/>
      <c r="AD20" s="26"/>
      <c r="AE20" s="26" t="s">
        <v>1369</v>
      </c>
      <c r="AF20" s="26" t="s">
        <v>1393</v>
      </c>
      <c r="AG20" s="26"/>
      <c r="AO20" s="32"/>
    </row>
    <row r="21" spans="1:41" ht="15.75" customHeight="1" x14ac:dyDescent="0.2">
      <c r="A21" s="124" t="s">
        <v>313</v>
      </c>
      <c r="B21" s="19" t="s">
        <v>1759</v>
      </c>
      <c r="C21" s="125">
        <v>2015</v>
      </c>
      <c r="D21" s="125">
        <v>30</v>
      </c>
      <c r="E21" s="26" t="s">
        <v>1760</v>
      </c>
      <c r="F21" s="131">
        <v>490597.34830999997</v>
      </c>
      <c r="G21" s="131">
        <v>141428.33897000001</v>
      </c>
      <c r="H21" s="26" t="s">
        <v>1930</v>
      </c>
      <c r="I21" s="26"/>
      <c r="J21" s="126">
        <v>42213</v>
      </c>
      <c r="K21" s="15">
        <v>58</v>
      </c>
      <c r="L21" s="26">
        <v>18</v>
      </c>
      <c r="M21" s="26">
        <v>0</v>
      </c>
      <c r="N21" s="155"/>
      <c r="O21" s="155">
        <v>2</v>
      </c>
      <c r="P21" s="26"/>
      <c r="Q21" s="15" t="s">
        <v>2036</v>
      </c>
      <c r="R21" s="15" t="s">
        <v>2037</v>
      </c>
      <c r="S21" s="15" t="s">
        <v>2038</v>
      </c>
      <c r="T21" s="15">
        <v>7.9</v>
      </c>
      <c r="U21" s="15">
        <v>8.8000000000000007</v>
      </c>
      <c r="V21" s="15">
        <v>2.1</v>
      </c>
      <c r="W21" s="15">
        <v>1.1000000000000001</v>
      </c>
      <c r="X21" s="15">
        <v>2.25</v>
      </c>
      <c r="Y21" s="15">
        <v>3.75</v>
      </c>
      <c r="Z21" s="15">
        <v>1</v>
      </c>
      <c r="AA21" s="26"/>
      <c r="AB21" s="26"/>
      <c r="AC21" s="26"/>
      <c r="AD21" s="26"/>
      <c r="AE21" s="26" t="s">
        <v>1371</v>
      </c>
      <c r="AF21" s="26" t="s">
        <v>1397</v>
      </c>
      <c r="AG21" s="26" t="s">
        <v>1845</v>
      </c>
      <c r="AH21" s="19" t="s">
        <v>1664</v>
      </c>
      <c r="AO21" s="32"/>
    </row>
    <row r="22" spans="1:41" ht="15.75" customHeight="1" x14ac:dyDescent="0.2">
      <c r="A22" s="127" t="s">
        <v>313</v>
      </c>
      <c r="B22" s="19" t="s">
        <v>1759</v>
      </c>
      <c r="C22" s="125">
        <v>2015</v>
      </c>
      <c r="D22" s="125">
        <v>35</v>
      </c>
      <c r="E22" s="26" t="s">
        <v>1760</v>
      </c>
      <c r="F22" s="131">
        <v>490120.76858999999</v>
      </c>
      <c r="G22" s="131">
        <v>140065.82691</v>
      </c>
      <c r="H22" s="26" t="s">
        <v>1931</v>
      </c>
      <c r="I22" s="26"/>
      <c r="J22" s="126">
        <v>42214</v>
      </c>
      <c r="K22" s="15">
        <v>89</v>
      </c>
      <c r="L22" s="26">
        <v>14</v>
      </c>
      <c r="M22" s="26">
        <v>3</v>
      </c>
      <c r="N22" s="155">
        <v>110</v>
      </c>
      <c r="O22" s="155">
        <v>2</v>
      </c>
      <c r="P22" s="26"/>
      <c r="Q22" s="15" t="s">
        <v>2039</v>
      </c>
      <c r="R22" s="15" t="s">
        <v>2040</v>
      </c>
      <c r="S22" s="15" t="s">
        <v>2041</v>
      </c>
      <c r="T22" s="15">
        <v>7</v>
      </c>
      <c r="U22" s="15">
        <v>6</v>
      </c>
      <c r="V22" s="15">
        <v>2</v>
      </c>
      <c r="W22" s="15">
        <v>2</v>
      </c>
      <c r="X22" s="15">
        <v>3</v>
      </c>
      <c r="Y22" s="15">
        <v>3</v>
      </c>
      <c r="Z22" s="15">
        <v>1.02</v>
      </c>
      <c r="AA22" s="26">
        <v>144</v>
      </c>
      <c r="AB22" s="26">
        <v>138</v>
      </c>
      <c r="AC22" s="26"/>
      <c r="AD22" s="26"/>
      <c r="AE22" s="26" t="s">
        <v>1369</v>
      </c>
      <c r="AF22" s="26" t="s">
        <v>1393</v>
      </c>
      <c r="AG22" s="26" t="s">
        <v>1846</v>
      </c>
      <c r="AH22" s="19" t="s">
        <v>1664</v>
      </c>
      <c r="AO22" s="32"/>
    </row>
    <row r="23" spans="1:41" ht="15.75" customHeight="1" x14ac:dyDescent="0.2">
      <c r="A23" s="124" t="s">
        <v>313</v>
      </c>
      <c r="B23" s="19" t="s">
        <v>1759</v>
      </c>
      <c r="C23" s="125">
        <v>2015</v>
      </c>
      <c r="D23" s="125">
        <v>36</v>
      </c>
      <c r="E23" s="26" t="s">
        <v>1760</v>
      </c>
      <c r="F23" s="131">
        <v>490473.736623</v>
      </c>
      <c r="G23" s="131">
        <v>140157.12776599999</v>
      </c>
      <c r="H23" s="26" t="s">
        <v>1932</v>
      </c>
      <c r="I23" s="26"/>
      <c r="J23" s="126">
        <v>42214</v>
      </c>
      <c r="K23" s="15">
        <v>92</v>
      </c>
      <c r="L23" s="26">
        <v>14</v>
      </c>
      <c r="M23" s="26">
        <v>2</v>
      </c>
      <c r="N23" s="155">
        <v>51</v>
      </c>
      <c r="O23" s="155">
        <v>1</v>
      </c>
      <c r="P23" s="26"/>
      <c r="Q23" s="15" t="s">
        <v>2042</v>
      </c>
      <c r="R23" s="15" t="s">
        <v>2043</v>
      </c>
      <c r="S23" s="15" t="s">
        <v>2044</v>
      </c>
      <c r="T23" s="15">
        <v>7.1</v>
      </c>
      <c r="U23" s="15">
        <v>5.3</v>
      </c>
      <c r="V23" s="15">
        <v>1.9</v>
      </c>
      <c r="W23" s="15">
        <v>2</v>
      </c>
      <c r="X23" s="15">
        <v>2.34</v>
      </c>
      <c r="Y23" s="15">
        <v>3.66</v>
      </c>
      <c r="Z23" s="15">
        <v>1</v>
      </c>
      <c r="AA23" s="26">
        <v>144</v>
      </c>
      <c r="AB23" s="26">
        <v>115</v>
      </c>
      <c r="AC23" s="26"/>
      <c r="AD23" s="26"/>
      <c r="AE23" s="26" t="s">
        <v>1369</v>
      </c>
      <c r="AF23" s="26" t="s">
        <v>1393</v>
      </c>
      <c r="AG23" s="26"/>
      <c r="AO23" s="32"/>
    </row>
    <row r="24" spans="1:41" s="174" customFormat="1" ht="15" customHeight="1" x14ac:dyDescent="0.2">
      <c r="A24" s="166" t="s">
        <v>313</v>
      </c>
      <c r="B24" s="166" t="s">
        <v>1759</v>
      </c>
      <c r="C24" s="164">
        <v>2015</v>
      </c>
      <c r="D24" s="176">
        <v>37</v>
      </c>
      <c r="E24" s="167" t="s">
        <v>1760</v>
      </c>
      <c r="F24" s="168">
        <v>490330.40760999999</v>
      </c>
      <c r="G24" s="168">
        <v>141312.28784</v>
      </c>
      <c r="H24" s="169" t="s">
        <v>1933</v>
      </c>
      <c r="I24" s="166"/>
      <c r="J24" s="182">
        <v>42213</v>
      </c>
      <c r="K24" s="180">
        <v>59</v>
      </c>
      <c r="L24" s="166">
        <v>14</v>
      </c>
      <c r="M24" s="166">
        <v>1</v>
      </c>
      <c r="N24" s="181">
        <v>329</v>
      </c>
      <c r="O24" s="181">
        <v>3</v>
      </c>
      <c r="P24" s="166"/>
      <c r="Q24" s="15" t="s">
        <v>2045</v>
      </c>
      <c r="R24" s="15" t="s">
        <v>2046</v>
      </c>
      <c r="S24" s="15" t="s">
        <v>2047</v>
      </c>
      <c r="T24" s="15">
        <v>7</v>
      </c>
      <c r="U24" s="15">
        <v>5.8</v>
      </c>
      <c r="V24" s="15">
        <v>2.2000000000000002</v>
      </c>
      <c r="W24" s="15">
        <v>2.2000000000000002</v>
      </c>
      <c r="X24" s="15">
        <v>2.96</v>
      </c>
      <c r="Y24" s="15">
        <v>3.04</v>
      </c>
      <c r="Z24" s="15">
        <v>1</v>
      </c>
      <c r="AA24" s="166">
        <v>144</v>
      </c>
      <c r="AB24" s="166">
        <v>114</v>
      </c>
      <c r="AC24" s="166"/>
      <c r="AD24" s="166" t="s">
        <v>1896</v>
      </c>
      <c r="AE24" s="26" t="s">
        <v>1369</v>
      </c>
      <c r="AF24" s="26" t="s">
        <v>1393</v>
      </c>
      <c r="AG24" s="166"/>
      <c r="AH24" s="173"/>
      <c r="AI24" s="173"/>
      <c r="AJ24" s="173"/>
      <c r="AK24" s="173"/>
      <c r="AL24" s="173"/>
      <c r="AM24" s="173"/>
      <c r="AN24" s="4"/>
    </row>
    <row r="25" spans="1:41" s="174" customFormat="1" ht="15" customHeight="1" x14ac:dyDescent="0.2">
      <c r="A25" s="166" t="s">
        <v>313</v>
      </c>
      <c r="B25" s="166" t="s">
        <v>1759</v>
      </c>
      <c r="C25" s="164">
        <v>2015</v>
      </c>
      <c r="D25" s="176">
        <v>38</v>
      </c>
      <c r="E25" s="167" t="s">
        <v>1763</v>
      </c>
      <c r="F25" s="178">
        <v>491469.759257</v>
      </c>
      <c r="G25" s="178">
        <v>140904.11726299999</v>
      </c>
      <c r="H25" s="179" t="s">
        <v>1934</v>
      </c>
      <c r="I25" s="166"/>
      <c r="J25" s="182">
        <v>42214</v>
      </c>
      <c r="K25" s="180">
        <v>57</v>
      </c>
      <c r="L25" s="166">
        <v>14</v>
      </c>
      <c r="M25" s="166">
        <v>0</v>
      </c>
      <c r="N25" s="181">
        <v>0</v>
      </c>
      <c r="O25" s="181">
        <v>2</v>
      </c>
      <c r="P25" s="166"/>
      <c r="Q25" s="15" t="s">
        <v>2048</v>
      </c>
      <c r="R25" s="15" t="s">
        <v>2049</v>
      </c>
      <c r="S25" s="15" t="s">
        <v>2050</v>
      </c>
      <c r="T25" s="15">
        <v>6.7</v>
      </c>
      <c r="U25" s="15">
        <v>6.3</v>
      </c>
      <c r="V25" s="15">
        <v>3</v>
      </c>
      <c r="W25" s="15">
        <v>2.6</v>
      </c>
      <c r="X25" s="15">
        <v>3.73</v>
      </c>
      <c r="Y25" s="15">
        <v>2.27</v>
      </c>
      <c r="Z25" s="15">
        <v>1.02</v>
      </c>
      <c r="AA25" s="166"/>
      <c r="AB25" s="166"/>
      <c r="AC25" s="166"/>
      <c r="AD25" s="166"/>
      <c r="AE25" s="26" t="s">
        <v>1369</v>
      </c>
      <c r="AF25" s="26" t="s">
        <v>1393</v>
      </c>
      <c r="AG25" s="166"/>
      <c r="AH25" s="173"/>
      <c r="AI25" s="173"/>
      <c r="AJ25" s="173"/>
      <c r="AK25" s="173"/>
      <c r="AL25" s="173"/>
      <c r="AM25" s="173"/>
      <c r="AN25" s="4"/>
    </row>
    <row r="26" spans="1:41" ht="15.75" customHeight="1" x14ac:dyDescent="0.2">
      <c r="A26" s="127" t="s">
        <v>313</v>
      </c>
      <c r="B26" s="19" t="s">
        <v>1759</v>
      </c>
      <c r="C26" s="125">
        <v>2015</v>
      </c>
      <c r="D26" s="125">
        <v>40</v>
      </c>
      <c r="E26" s="26" t="s">
        <v>1760</v>
      </c>
      <c r="F26" s="131">
        <v>491050.27662000002</v>
      </c>
      <c r="G26" s="131">
        <v>140348.21312999999</v>
      </c>
      <c r="H26" s="26" t="s">
        <v>1935</v>
      </c>
      <c r="I26" s="26"/>
      <c r="J26" s="126">
        <v>42214</v>
      </c>
      <c r="K26" s="15">
        <v>87</v>
      </c>
      <c r="L26" s="26">
        <v>14</v>
      </c>
      <c r="M26" s="26">
        <v>15</v>
      </c>
      <c r="N26" s="155">
        <v>30</v>
      </c>
      <c r="O26" s="155">
        <v>2</v>
      </c>
      <c r="P26" s="26"/>
      <c r="Q26" s="15" t="s">
        <v>2051</v>
      </c>
      <c r="R26" s="15" t="s">
        <v>2052</v>
      </c>
      <c r="S26" s="15" t="s">
        <v>2053</v>
      </c>
      <c r="T26" s="15">
        <v>7</v>
      </c>
      <c r="U26" s="15">
        <v>6</v>
      </c>
      <c r="V26" s="15">
        <v>2</v>
      </c>
      <c r="W26" s="15">
        <v>2</v>
      </c>
      <c r="X26" s="15">
        <v>2.98</v>
      </c>
      <c r="Y26" s="15">
        <v>3.02</v>
      </c>
      <c r="Z26" s="15">
        <v>1</v>
      </c>
      <c r="AA26" s="26">
        <v>144</v>
      </c>
      <c r="AB26" s="26"/>
      <c r="AC26" s="26"/>
      <c r="AD26" s="26"/>
      <c r="AE26" s="26" t="s">
        <v>1369</v>
      </c>
      <c r="AF26" s="26" t="s">
        <v>1393</v>
      </c>
      <c r="AG26" s="26"/>
      <c r="AO26" s="32"/>
    </row>
    <row r="27" spans="1:41" ht="15.75" customHeight="1" x14ac:dyDescent="0.2">
      <c r="A27" s="124" t="s">
        <v>313</v>
      </c>
      <c r="B27" s="19" t="s">
        <v>1759</v>
      </c>
      <c r="C27" s="125">
        <v>2015</v>
      </c>
      <c r="D27" s="125">
        <v>42</v>
      </c>
      <c r="E27" s="26" t="s">
        <v>1760</v>
      </c>
      <c r="F27" s="131">
        <v>490207.87550000002</v>
      </c>
      <c r="G27" s="131">
        <v>140239.0895</v>
      </c>
      <c r="H27" s="26" t="s">
        <v>1936</v>
      </c>
      <c r="I27" s="26"/>
      <c r="J27" s="126">
        <v>42214</v>
      </c>
      <c r="K27" s="15">
        <v>95</v>
      </c>
      <c r="L27" s="26">
        <v>14</v>
      </c>
      <c r="M27" s="26">
        <v>0</v>
      </c>
      <c r="N27" s="155"/>
      <c r="O27" s="155">
        <v>2</v>
      </c>
      <c r="P27" s="26"/>
      <c r="Q27" s="15" t="s">
        <v>2054</v>
      </c>
      <c r="R27" s="15" t="s">
        <v>2055</v>
      </c>
      <c r="S27" s="15" t="s">
        <v>2056</v>
      </c>
      <c r="T27" s="15">
        <v>7</v>
      </c>
      <c r="U27" s="15">
        <v>5.3</v>
      </c>
      <c r="V27" s="15">
        <v>2.1</v>
      </c>
      <c r="W27" s="15">
        <v>2.1</v>
      </c>
      <c r="X27" s="15">
        <v>2.4</v>
      </c>
      <c r="Y27" s="15">
        <v>3.6</v>
      </c>
      <c r="Z27" s="15">
        <v>1</v>
      </c>
      <c r="AA27" s="26">
        <v>144</v>
      </c>
      <c r="AB27" s="26">
        <v>115</v>
      </c>
      <c r="AC27" s="26"/>
      <c r="AD27" s="26"/>
      <c r="AE27" s="26" t="s">
        <v>1369</v>
      </c>
      <c r="AF27" s="26" t="s">
        <v>1393</v>
      </c>
      <c r="AG27" s="26" t="s">
        <v>1838</v>
      </c>
      <c r="AH27" s="19" t="s">
        <v>1664</v>
      </c>
      <c r="AO27" s="32"/>
    </row>
    <row r="28" spans="1:41" ht="15.75" customHeight="1" x14ac:dyDescent="0.2">
      <c r="A28" s="127" t="s">
        <v>313</v>
      </c>
      <c r="B28" s="19" t="s">
        <v>1759</v>
      </c>
      <c r="C28" s="125">
        <v>2015</v>
      </c>
      <c r="D28" s="125">
        <v>44</v>
      </c>
      <c r="E28" s="26" t="s">
        <v>1760</v>
      </c>
      <c r="F28" s="131">
        <v>490554.56283000001</v>
      </c>
      <c r="G28" s="131">
        <v>139947.46225000001</v>
      </c>
      <c r="H28" s="26" t="s">
        <v>1937</v>
      </c>
      <c r="I28" s="26"/>
      <c r="J28" s="126">
        <v>42214</v>
      </c>
      <c r="K28" s="15">
        <v>100</v>
      </c>
      <c r="L28" s="26">
        <v>14</v>
      </c>
      <c r="M28" s="26">
        <v>9</v>
      </c>
      <c r="N28" s="155">
        <v>10</v>
      </c>
      <c r="O28" s="155">
        <v>2</v>
      </c>
      <c r="P28" s="26"/>
      <c r="Q28" s="15" t="s">
        <v>2057</v>
      </c>
      <c r="R28" s="15" t="s">
        <v>2058</v>
      </c>
      <c r="S28" s="15" t="s">
        <v>2059</v>
      </c>
      <c r="T28" s="15">
        <v>7.1</v>
      </c>
      <c r="U28" s="15">
        <v>5.4</v>
      </c>
      <c r="V28" s="15">
        <v>2.2000000000000002</v>
      </c>
      <c r="W28" s="15">
        <v>2.2000000000000002</v>
      </c>
      <c r="X28" s="15">
        <v>2.6</v>
      </c>
      <c r="Y28" s="15">
        <v>3.4</v>
      </c>
      <c r="Z28" s="15">
        <v>1</v>
      </c>
      <c r="AA28" s="26">
        <v>143</v>
      </c>
      <c r="AB28" s="26">
        <v>115</v>
      </c>
      <c r="AC28" s="26"/>
      <c r="AD28" s="26"/>
      <c r="AE28" s="26" t="s">
        <v>1369</v>
      </c>
      <c r="AF28" s="26" t="s">
        <v>1393</v>
      </c>
      <c r="AG28" s="26" t="s">
        <v>1846</v>
      </c>
      <c r="AH28" s="19" t="s">
        <v>1664</v>
      </c>
      <c r="AO28" s="32"/>
    </row>
    <row r="29" spans="1:41" ht="15.75" customHeight="1" x14ac:dyDescent="0.2">
      <c r="A29" s="124" t="s">
        <v>313</v>
      </c>
      <c r="B29" s="19" t="s">
        <v>1761</v>
      </c>
      <c r="C29" s="125">
        <v>2015</v>
      </c>
      <c r="D29" s="125">
        <v>45</v>
      </c>
      <c r="E29" s="26" t="s">
        <v>1760</v>
      </c>
      <c r="F29" s="131">
        <v>489879.815</v>
      </c>
      <c r="G29" s="131">
        <v>141189.83199999999</v>
      </c>
      <c r="H29" s="26" t="s">
        <v>1938</v>
      </c>
      <c r="I29" s="26"/>
      <c r="J29" s="126">
        <v>42215</v>
      </c>
      <c r="K29" s="15">
        <v>47</v>
      </c>
      <c r="L29" s="26">
        <v>14</v>
      </c>
      <c r="M29" s="26"/>
      <c r="N29" s="155"/>
      <c r="O29" s="155"/>
      <c r="P29" s="26"/>
      <c r="Q29" s="15" t="s">
        <v>2060</v>
      </c>
      <c r="R29" s="15" t="s">
        <v>2061</v>
      </c>
      <c r="S29" s="15" t="s">
        <v>2062</v>
      </c>
      <c r="T29" s="15">
        <v>6.7</v>
      </c>
      <c r="U29" s="15">
        <v>5</v>
      </c>
      <c r="V29" s="15">
        <v>4.0999999999999996</v>
      </c>
      <c r="W29" s="15">
        <v>3</v>
      </c>
      <c r="X29" s="15">
        <v>2.71</v>
      </c>
      <c r="Y29" s="15">
        <v>3.29</v>
      </c>
      <c r="Z29" s="15">
        <v>1</v>
      </c>
      <c r="AA29" s="26">
        <v>144</v>
      </c>
      <c r="AB29" s="26"/>
      <c r="AC29" s="26"/>
      <c r="AD29" s="26"/>
      <c r="AE29" s="26" t="s">
        <v>1358</v>
      </c>
      <c r="AF29" s="26" t="s">
        <v>1378</v>
      </c>
      <c r="AG29" s="26" t="s">
        <v>1764</v>
      </c>
      <c r="AH29" s="19" t="s">
        <v>1664</v>
      </c>
      <c r="AI29" s="19" t="s">
        <v>1665</v>
      </c>
      <c r="AO29" s="32"/>
    </row>
    <row r="30" spans="1:41" ht="15.75" customHeight="1" x14ac:dyDescent="0.2">
      <c r="A30" s="127" t="s">
        <v>313</v>
      </c>
      <c r="B30" s="19" t="s">
        <v>1759</v>
      </c>
      <c r="C30" s="125">
        <v>2015</v>
      </c>
      <c r="D30" s="125">
        <v>46</v>
      </c>
      <c r="E30" s="26" t="s">
        <v>1760</v>
      </c>
      <c r="F30" s="131">
        <v>490964.28409999999</v>
      </c>
      <c r="G30" s="131">
        <v>140401.59528000001</v>
      </c>
      <c r="H30" s="26" t="s">
        <v>1939</v>
      </c>
      <c r="I30" s="26"/>
      <c r="J30" s="126">
        <v>42213</v>
      </c>
      <c r="K30" s="15">
        <v>83</v>
      </c>
      <c r="L30" s="26">
        <v>14</v>
      </c>
      <c r="M30" s="26">
        <v>1</v>
      </c>
      <c r="N30" s="155">
        <v>110</v>
      </c>
      <c r="O30" s="155">
        <v>2</v>
      </c>
      <c r="P30" s="26"/>
      <c r="Q30" s="15" t="s">
        <v>2063</v>
      </c>
      <c r="R30" s="15" t="s">
        <v>2064</v>
      </c>
      <c r="S30" s="15" t="s">
        <v>2065</v>
      </c>
      <c r="T30" s="15">
        <v>7.1</v>
      </c>
      <c r="U30" s="15">
        <v>5.9</v>
      </c>
      <c r="V30" s="15">
        <v>1.9</v>
      </c>
      <c r="W30" s="15">
        <v>2</v>
      </c>
      <c r="X30" s="15">
        <v>2.93</v>
      </c>
      <c r="Y30" s="15">
        <v>3.07</v>
      </c>
      <c r="Z30" s="15">
        <v>1</v>
      </c>
      <c r="AA30" s="26"/>
      <c r="AB30" s="26">
        <v>551</v>
      </c>
      <c r="AC30" s="26"/>
      <c r="AD30" s="26"/>
      <c r="AE30" s="26" t="s">
        <v>1369</v>
      </c>
      <c r="AF30" s="26" t="s">
        <v>1393</v>
      </c>
      <c r="AG30" s="26"/>
      <c r="AO30" s="32"/>
    </row>
    <row r="31" spans="1:41" ht="15.75" customHeight="1" x14ac:dyDescent="0.2">
      <c r="A31" s="124" t="s">
        <v>313</v>
      </c>
      <c r="B31" s="19" t="s">
        <v>1759</v>
      </c>
      <c r="C31" s="125">
        <v>2015</v>
      </c>
      <c r="D31" s="125">
        <v>48</v>
      </c>
      <c r="E31" s="26" t="s">
        <v>1760</v>
      </c>
      <c r="F31" s="131">
        <v>490371.647803</v>
      </c>
      <c r="G31" s="131">
        <v>140399.79327600001</v>
      </c>
      <c r="H31" s="26" t="s">
        <v>1940</v>
      </c>
      <c r="I31" s="26"/>
      <c r="J31" s="126">
        <v>42213</v>
      </c>
      <c r="K31" s="15">
        <v>84</v>
      </c>
      <c r="L31" s="26">
        <v>14</v>
      </c>
      <c r="M31" s="26">
        <v>6</v>
      </c>
      <c r="N31" s="155">
        <v>334</v>
      </c>
      <c r="O31" s="155">
        <v>3</v>
      </c>
      <c r="P31" s="26"/>
      <c r="Q31" s="15" t="s">
        <v>2066</v>
      </c>
      <c r="R31" s="15" t="s">
        <v>2067</v>
      </c>
      <c r="S31" s="15" t="s">
        <v>2068</v>
      </c>
      <c r="T31" s="15">
        <v>7.2</v>
      </c>
      <c r="U31" s="15">
        <v>6</v>
      </c>
      <c r="V31" s="15">
        <v>1.8</v>
      </c>
      <c r="W31" s="15">
        <v>2</v>
      </c>
      <c r="X31" s="15">
        <v>2.99</v>
      </c>
      <c r="Y31" s="15">
        <v>3.01</v>
      </c>
      <c r="Z31" s="15">
        <v>1</v>
      </c>
      <c r="AA31" s="26">
        <v>144</v>
      </c>
      <c r="AB31" s="26">
        <v>138</v>
      </c>
      <c r="AC31" s="26"/>
      <c r="AD31" s="26"/>
      <c r="AE31" s="26" t="s">
        <v>1369</v>
      </c>
      <c r="AF31" s="26" t="s">
        <v>1393</v>
      </c>
      <c r="AG31" s="26" t="s">
        <v>1846</v>
      </c>
      <c r="AH31" s="19" t="s">
        <v>1664</v>
      </c>
      <c r="AO31" s="32"/>
    </row>
    <row r="32" spans="1:41" ht="15.75" customHeight="1" x14ac:dyDescent="0.2">
      <c r="A32" s="127" t="s">
        <v>313</v>
      </c>
      <c r="B32" s="19" t="s">
        <v>1759</v>
      </c>
      <c r="C32" s="125">
        <v>2015</v>
      </c>
      <c r="D32" s="125">
        <v>49</v>
      </c>
      <c r="E32" s="26" t="s">
        <v>1760</v>
      </c>
      <c r="F32" s="131">
        <v>490747.16166600003</v>
      </c>
      <c r="G32" s="131">
        <v>140306.193508</v>
      </c>
      <c r="H32" s="26" t="s">
        <v>1941</v>
      </c>
      <c r="I32" s="26"/>
      <c r="J32" s="126">
        <v>42214</v>
      </c>
      <c r="K32" s="15">
        <v>91</v>
      </c>
      <c r="L32" s="26">
        <v>14</v>
      </c>
      <c r="M32" s="26">
        <v>21</v>
      </c>
      <c r="N32" s="155">
        <v>125</v>
      </c>
      <c r="O32" s="155">
        <v>3</v>
      </c>
      <c r="P32" s="26"/>
      <c r="Q32" s="15" t="s">
        <v>2069</v>
      </c>
      <c r="R32" s="15" t="s">
        <v>2070</v>
      </c>
      <c r="S32" s="15" t="s">
        <v>2071</v>
      </c>
      <c r="T32" s="15">
        <v>7.3</v>
      </c>
      <c r="U32" s="15">
        <v>5.6</v>
      </c>
      <c r="V32" s="15">
        <v>2.5</v>
      </c>
      <c r="W32" s="15">
        <v>2.2000000000000002</v>
      </c>
      <c r="X32" s="15">
        <v>2.82</v>
      </c>
      <c r="Y32" s="15">
        <v>3.18</v>
      </c>
      <c r="Z32" s="15">
        <v>1</v>
      </c>
      <c r="AA32" s="26">
        <v>144</v>
      </c>
      <c r="AB32" s="26"/>
      <c r="AC32" s="26"/>
      <c r="AD32" s="26"/>
      <c r="AE32" s="26" t="s">
        <v>1369</v>
      </c>
      <c r="AF32" s="26" t="s">
        <v>1393</v>
      </c>
      <c r="AG32" s="26"/>
      <c r="AO32" s="32"/>
    </row>
    <row r="33" spans="1:41" ht="15.75" customHeight="1" x14ac:dyDescent="0.2">
      <c r="A33" s="124" t="s">
        <v>313</v>
      </c>
      <c r="B33" s="19" t="s">
        <v>1759</v>
      </c>
      <c r="C33" s="125">
        <v>2015</v>
      </c>
      <c r="D33" s="125">
        <v>51</v>
      </c>
      <c r="E33" s="26" t="s">
        <v>1760</v>
      </c>
      <c r="F33" s="131">
        <v>490579.99267000001</v>
      </c>
      <c r="G33" s="131">
        <v>141561.69665999999</v>
      </c>
      <c r="H33" s="26" t="s">
        <v>1942</v>
      </c>
      <c r="I33" s="26"/>
      <c r="J33" s="126">
        <v>42213</v>
      </c>
      <c r="K33" s="15">
        <v>61</v>
      </c>
      <c r="L33" s="26">
        <v>14</v>
      </c>
      <c r="M33" s="26">
        <v>0</v>
      </c>
      <c r="N33" s="155"/>
      <c r="O33" s="155">
        <v>2</v>
      </c>
      <c r="P33" s="26"/>
      <c r="Q33" s="15" t="s">
        <v>2072</v>
      </c>
      <c r="R33" s="15" t="s">
        <v>2073</v>
      </c>
      <c r="S33" s="15" t="s">
        <v>2074</v>
      </c>
      <c r="T33" s="15">
        <v>7.6</v>
      </c>
      <c r="U33" s="15">
        <v>7.3</v>
      </c>
      <c r="V33" s="15">
        <v>2.2000000000000002</v>
      </c>
      <c r="W33" s="15">
        <v>1.4</v>
      </c>
      <c r="X33" s="15">
        <v>2.42</v>
      </c>
      <c r="Y33" s="15">
        <v>3.58</v>
      </c>
      <c r="Z33" s="15">
        <v>1</v>
      </c>
      <c r="AA33" s="26"/>
      <c r="AB33" s="26"/>
      <c r="AC33" s="26"/>
      <c r="AD33" s="26"/>
      <c r="AE33" s="26" t="s">
        <v>1369</v>
      </c>
      <c r="AF33" s="26" t="s">
        <v>1393</v>
      </c>
      <c r="AG33" s="26" t="s">
        <v>1847</v>
      </c>
      <c r="AH33" s="19" t="s">
        <v>1664</v>
      </c>
      <c r="AO33" s="32"/>
    </row>
    <row r="34" spans="1:41" ht="15.75" customHeight="1" x14ac:dyDescent="0.2">
      <c r="A34" s="127" t="s">
        <v>313</v>
      </c>
      <c r="B34" s="19" t="s">
        <v>1759</v>
      </c>
      <c r="C34" s="125">
        <v>2015</v>
      </c>
      <c r="D34" s="125">
        <v>52</v>
      </c>
      <c r="E34" s="26" t="s">
        <v>1760</v>
      </c>
      <c r="F34" s="131">
        <v>490556.84554000001</v>
      </c>
      <c r="G34" s="131">
        <v>140377.44461499999</v>
      </c>
      <c r="H34" s="26" t="s">
        <v>1943</v>
      </c>
      <c r="I34" s="26"/>
      <c r="J34" s="126">
        <v>42213</v>
      </c>
      <c r="K34" s="15">
        <v>0</v>
      </c>
      <c r="L34" s="26">
        <v>14</v>
      </c>
      <c r="M34" s="26">
        <v>12</v>
      </c>
      <c r="N34" s="155">
        <v>50</v>
      </c>
      <c r="O34" s="155">
        <v>2</v>
      </c>
      <c r="P34" s="26"/>
      <c r="Q34" s="15" t="s">
        <v>2075</v>
      </c>
      <c r="R34" s="15" t="s">
        <v>2076</v>
      </c>
      <c r="S34" s="15" t="s">
        <v>2077</v>
      </c>
      <c r="T34" s="15">
        <v>7</v>
      </c>
      <c r="U34" s="15">
        <v>5.7</v>
      </c>
      <c r="V34" s="15">
        <v>2.4</v>
      </c>
      <c r="W34" s="15">
        <v>2.2999999999999998</v>
      </c>
      <c r="X34" s="15">
        <v>2.66</v>
      </c>
      <c r="Y34" s="15">
        <v>3.34</v>
      </c>
      <c r="Z34" s="15">
        <v>1</v>
      </c>
      <c r="AA34" s="26">
        <v>144</v>
      </c>
      <c r="AB34" s="26"/>
      <c r="AC34" s="26"/>
      <c r="AD34" s="26"/>
      <c r="AE34" s="26" t="s">
        <v>1369</v>
      </c>
      <c r="AF34" s="26" t="s">
        <v>1393</v>
      </c>
      <c r="AG34" s="26"/>
      <c r="AO34" s="32"/>
    </row>
    <row r="35" spans="1:41" s="174" customFormat="1" ht="15" customHeight="1" x14ac:dyDescent="0.2">
      <c r="A35" s="166" t="s">
        <v>313</v>
      </c>
      <c r="B35" s="166" t="s">
        <v>1759</v>
      </c>
      <c r="C35" s="164">
        <v>2015</v>
      </c>
      <c r="D35" s="176">
        <v>53</v>
      </c>
      <c r="E35" s="167" t="s">
        <v>1760</v>
      </c>
      <c r="F35" s="178">
        <v>490428.50362799998</v>
      </c>
      <c r="G35" s="178">
        <v>140606.058089</v>
      </c>
      <c r="H35" s="179" t="s">
        <v>1944</v>
      </c>
      <c r="I35" s="167"/>
      <c r="J35" s="182">
        <v>42213</v>
      </c>
      <c r="K35" s="180">
        <v>73</v>
      </c>
      <c r="L35" s="166">
        <v>14</v>
      </c>
      <c r="M35" s="166">
        <v>0</v>
      </c>
      <c r="N35" s="181" t="s">
        <v>1897</v>
      </c>
      <c r="O35" s="181">
        <v>2</v>
      </c>
      <c r="P35" s="166"/>
      <c r="Q35" s="15" t="s">
        <v>2078</v>
      </c>
      <c r="R35" s="15" t="s">
        <v>2079</v>
      </c>
      <c r="S35" s="15" t="s">
        <v>2080</v>
      </c>
      <c r="T35" s="15">
        <v>6.4</v>
      </c>
      <c r="U35" s="15">
        <v>5.0999999999999996</v>
      </c>
      <c r="V35" s="15">
        <v>2</v>
      </c>
      <c r="W35" s="15">
        <v>2.6</v>
      </c>
      <c r="X35" s="15">
        <v>2.04</v>
      </c>
      <c r="Y35" s="15">
        <v>3.96</v>
      </c>
      <c r="Z35" s="15">
        <v>1</v>
      </c>
      <c r="AA35" s="166">
        <v>144</v>
      </c>
      <c r="AB35" s="166"/>
      <c r="AC35" s="166"/>
      <c r="AD35" s="166" t="s">
        <v>1898</v>
      </c>
      <c r="AE35" s="26" t="s">
        <v>1369</v>
      </c>
      <c r="AF35" s="26" t="s">
        <v>1393</v>
      </c>
      <c r="AG35" s="166"/>
      <c r="AH35" s="173"/>
      <c r="AI35" s="173"/>
      <c r="AJ35" s="173"/>
      <c r="AK35" s="173"/>
      <c r="AL35" s="173"/>
      <c r="AM35" s="173"/>
      <c r="AN35" s="4"/>
    </row>
    <row r="36" spans="1:41" ht="15.75" customHeight="1" x14ac:dyDescent="0.2">
      <c r="A36" s="124" t="s">
        <v>313</v>
      </c>
      <c r="B36" s="19" t="s">
        <v>1759</v>
      </c>
      <c r="C36" s="125">
        <v>2015</v>
      </c>
      <c r="D36" s="125">
        <v>56</v>
      </c>
      <c r="E36" s="26"/>
      <c r="F36" s="131"/>
      <c r="G36" s="131"/>
      <c r="H36" s="26"/>
      <c r="I36" s="15" t="s">
        <v>1884</v>
      </c>
      <c r="J36" s="126"/>
      <c r="K36" s="15"/>
      <c r="L36" s="26"/>
      <c r="M36" s="26"/>
      <c r="N36" s="155"/>
      <c r="O36" s="155"/>
      <c r="P36" s="26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26"/>
      <c r="AB36" s="26"/>
      <c r="AC36" s="26"/>
      <c r="AD36" s="26"/>
      <c r="AE36" s="26"/>
      <c r="AF36" s="26"/>
      <c r="AG36" s="26" t="s">
        <v>1899</v>
      </c>
      <c r="AO36" s="32"/>
    </row>
    <row r="37" spans="1:41" ht="15.75" customHeight="1" x14ac:dyDescent="0.2">
      <c r="A37" s="127" t="s">
        <v>313</v>
      </c>
      <c r="B37" s="19" t="s">
        <v>1759</v>
      </c>
      <c r="C37" s="125">
        <v>2015</v>
      </c>
      <c r="D37" s="125">
        <v>57</v>
      </c>
      <c r="E37" s="26" t="s">
        <v>1760</v>
      </c>
      <c r="F37" s="131">
        <v>490179.22034</v>
      </c>
      <c r="G37" s="131">
        <v>141331.49384000001</v>
      </c>
      <c r="H37" s="26" t="s">
        <v>1945</v>
      </c>
      <c r="I37" s="26"/>
      <c r="J37" s="126">
        <v>42213</v>
      </c>
      <c r="K37" s="15">
        <v>58</v>
      </c>
      <c r="L37" s="26">
        <v>18</v>
      </c>
      <c r="M37" s="26">
        <v>0</v>
      </c>
      <c r="N37" s="155"/>
      <c r="O37" s="155">
        <v>2</v>
      </c>
      <c r="P37" s="26"/>
      <c r="Q37" s="15" t="s">
        <v>2081</v>
      </c>
      <c r="R37" s="15" t="s">
        <v>2082</v>
      </c>
      <c r="S37" s="15" t="s">
        <v>2083</v>
      </c>
      <c r="T37" s="15">
        <v>7.5</v>
      </c>
      <c r="U37" s="15">
        <v>8.1</v>
      </c>
      <c r="V37" s="15">
        <v>2.7</v>
      </c>
      <c r="W37" s="15">
        <v>1.6</v>
      </c>
      <c r="X37" s="15">
        <v>2.4300000000000002</v>
      </c>
      <c r="Y37" s="15">
        <v>3.57</v>
      </c>
      <c r="Z37" s="15">
        <v>1.01</v>
      </c>
      <c r="AA37" s="26">
        <v>144</v>
      </c>
      <c r="AB37" s="26"/>
      <c r="AC37" s="26"/>
      <c r="AD37" s="26"/>
      <c r="AE37" s="26" t="s">
        <v>1371</v>
      </c>
      <c r="AF37" s="26" t="s">
        <v>1397</v>
      </c>
      <c r="AG37" s="26" t="s">
        <v>1838</v>
      </c>
      <c r="AH37" s="19" t="s">
        <v>1664</v>
      </c>
      <c r="AO37" s="32"/>
    </row>
    <row r="38" spans="1:41" ht="15.75" customHeight="1" x14ac:dyDescent="0.2">
      <c r="A38" s="124" t="s">
        <v>313</v>
      </c>
      <c r="B38" s="19" t="s">
        <v>1759</v>
      </c>
      <c r="C38" s="125">
        <v>2015</v>
      </c>
      <c r="D38" s="125">
        <v>58</v>
      </c>
      <c r="E38" s="26" t="s">
        <v>1760</v>
      </c>
      <c r="F38" s="131">
        <v>491038.73173</v>
      </c>
      <c r="G38" s="131">
        <v>140500.86082999999</v>
      </c>
      <c r="H38" s="26" t="s">
        <v>1946</v>
      </c>
      <c r="I38" s="26"/>
      <c r="J38" s="126">
        <v>42213</v>
      </c>
      <c r="K38" s="15">
        <v>80</v>
      </c>
      <c r="L38" s="26">
        <v>14</v>
      </c>
      <c r="M38" s="26">
        <v>3</v>
      </c>
      <c r="N38" s="155">
        <v>60</v>
      </c>
      <c r="O38" s="155">
        <v>3</v>
      </c>
      <c r="P38" s="26"/>
      <c r="Q38" s="15" t="s">
        <v>2084</v>
      </c>
      <c r="R38" s="15" t="s">
        <v>2085</v>
      </c>
      <c r="S38" s="15" t="s">
        <v>2086</v>
      </c>
      <c r="T38" s="15">
        <v>7.1</v>
      </c>
      <c r="U38" s="15">
        <v>5.5</v>
      </c>
      <c r="V38" s="15">
        <v>2.5</v>
      </c>
      <c r="W38" s="15">
        <v>2.2999999999999998</v>
      </c>
      <c r="X38" s="15">
        <v>2.65</v>
      </c>
      <c r="Y38" s="15">
        <v>3.35</v>
      </c>
      <c r="Z38" s="15">
        <v>1</v>
      </c>
      <c r="AA38" s="26">
        <v>144</v>
      </c>
      <c r="AB38" s="26"/>
      <c r="AC38" s="26"/>
      <c r="AD38" s="26"/>
      <c r="AE38" s="26" t="s">
        <v>1369</v>
      </c>
      <c r="AF38" s="26" t="s">
        <v>1393</v>
      </c>
      <c r="AG38" s="26"/>
      <c r="AO38" s="32"/>
    </row>
    <row r="39" spans="1:41" s="174" customFormat="1" ht="14.25" customHeight="1" x14ac:dyDescent="0.2">
      <c r="A39" s="166" t="s">
        <v>313</v>
      </c>
      <c r="B39" s="166" t="s">
        <v>1759</v>
      </c>
      <c r="C39" s="164">
        <v>2015</v>
      </c>
      <c r="D39" s="176">
        <v>59</v>
      </c>
      <c r="E39" s="167" t="s">
        <v>1760</v>
      </c>
      <c r="F39" s="178">
        <v>490829.02731999999</v>
      </c>
      <c r="G39" s="178">
        <v>140860.98822</v>
      </c>
      <c r="H39" s="179" t="s">
        <v>1947</v>
      </c>
      <c r="I39" s="166"/>
      <c r="J39" s="182">
        <v>42213</v>
      </c>
      <c r="K39" s="180">
        <v>73</v>
      </c>
      <c r="L39" s="166">
        <v>14</v>
      </c>
      <c r="M39" s="166">
        <v>4</v>
      </c>
      <c r="N39" s="181">
        <v>6</v>
      </c>
      <c r="O39" s="181">
        <v>1</v>
      </c>
      <c r="P39" s="166"/>
      <c r="Q39" s="15" t="s">
        <v>2087</v>
      </c>
      <c r="R39" s="15" t="s">
        <v>2088</v>
      </c>
      <c r="S39" s="15" t="s">
        <v>2089</v>
      </c>
      <c r="T39" s="15">
        <v>7.2</v>
      </c>
      <c r="U39" s="15">
        <v>5.9</v>
      </c>
      <c r="V39" s="15">
        <v>1.9</v>
      </c>
      <c r="W39" s="15">
        <v>2</v>
      </c>
      <c r="X39" s="15">
        <v>2.89</v>
      </c>
      <c r="Y39" s="15">
        <v>3.08</v>
      </c>
      <c r="Z39" s="15">
        <v>1.03</v>
      </c>
      <c r="AA39" s="166">
        <v>144</v>
      </c>
      <c r="AB39" s="166"/>
      <c r="AC39" s="166"/>
      <c r="AD39" s="166" t="s">
        <v>1894</v>
      </c>
      <c r="AE39" s="26" t="s">
        <v>1369</v>
      </c>
      <c r="AF39" s="26" t="s">
        <v>1393</v>
      </c>
      <c r="AG39" s="166"/>
      <c r="AH39" s="173"/>
      <c r="AI39" s="173"/>
      <c r="AJ39" s="173"/>
      <c r="AK39" s="173"/>
      <c r="AL39" s="173"/>
      <c r="AM39" s="173"/>
      <c r="AN39" s="4"/>
    </row>
    <row r="40" spans="1:41" ht="15.75" customHeight="1" x14ac:dyDescent="0.2">
      <c r="A40" s="127" t="s">
        <v>313</v>
      </c>
      <c r="B40" s="19" t="s">
        <v>1761</v>
      </c>
      <c r="C40" s="125">
        <v>2015</v>
      </c>
      <c r="D40" s="125">
        <v>60</v>
      </c>
      <c r="E40" s="26" t="s">
        <v>1760</v>
      </c>
      <c r="F40" s="131">
        <v>489874.07929999998</v>
      </c>
      <c r="G40" s="131">
        <v>141096.46017000001</v>
      </c>
      <c r="H40" s="26" t="s">
        <v>1948</v>
      </c>
      <c r="I40" s="26"/>
      <c r="J40" s="126">
        <v>42215</v>
      </c>
      <c r="K40" s="15">
        <v>0</v>
      </c>
      <c r="L40" s="26">
        <v>14</v>
      </c>
      <c r="M40" s="26"/>
      <c r="N40" s="155"/>
      <c r="O40" s="155"/>
      <c r="P40" s="26"/>
      <c r="Q40" s="15" t="s">
        <v>2090</v>
      </c>
      <c r="R40" s="15" t="s">
        <v>2091</v>
      </c>
      <c r="S40" s="15" t="s">
        <v>2092</v>
      </c>
      <c r="T40" s="15">
        <v>7.1</v>
      </c>
      <c r="U40" s="15">
        <v>5.9</v>
      </c>
      <c r="V40" s="15">
        <v>2</v>
      </c>
      <c r="W40" s="15">
        <v>2</v>
      </c>
      <c r="X40" s="15">
        <v>2.95</v>
      </c>
      <c r="Y40" s="15">
        <v>3.05</v>
      </c>
      <c r="Z40" s="15">
        <v>1</v>
      </c>
      <c r="AA40" s="26">
        <v>144</v>
      </c>
      <c r="AB40" s="26">
        <v>147</v>
      </c>
      <c r="AC40" s="26"/>
      <c r="AD40" s="26"/>
      <c r="AE40" s="26" t="s">
        <v>1369</v>
      </c>
      <c r="AF40" s="26" t="s">
        <v>1393</v>
      </c>
      <c r="AG40" s="26" t="s">
        <v>1840</v>
      </c>
      <c r="AH40" s="19" t="s">
        <v>1664</v>
      </c>
      <c r="AI40" s="19" t="s">
        <v>1665</v>
      </c>
      <c r="AO40" s="32"/>
    </row>
    <row r="41" spans="1:41" ht="15.75" customHeight="1" x14ac:dyDescent="0.2">
      <c r="A41" s="124" t="s">
        <v>313</v>
      </c>
      <c r="B41" s="19" t="s">
        <v>1759</v>
      </c>
      <c r="C41" s="125">
        <v>2015</v>
      </c>
      <c r="D41" s="125">
        <v>61</v>
      </c>
      <c r="E41" s="26" t="s">
        <v>1760</v>
      </c>
      <c r="F41" s="131">
        <v>490169.92868000001</v>
      </c>
      <c r="G41" s="131">
        <v>140850.25748</v>
      </c>
      <c r="H41" s="26" t="s">
        <v>1949</v>
      </c>
      <c r="I41" s="26"/>
      <c r="J41" s="126">
        <v>42213</v>
      </c>
      <c r="K41" s="15">
        <v>55</v>
      </c>
      <c r="L41" s="26">
        <v>14</v>
      </c>
      <c r="M41" s="26">
        <v>0</v>
      </c>
      <c r="N41" s="155" t="s">
        <v>1839</v>
      </c>
      <c r="O41" s="155" t="s">
        <v>1839</v>
      </c>
      <c r="P41" s="26"/>
      <c r="Q41" s="15" t="s">
        <v>2093</v>
      </c>
      <c r="R41" s="15" t="s">
        <v>2094</v>
      </c>
      <c r="S41" s="15" t="s">
        <v>2095</v>
      </c>
      <c r="T41" s="15">
        <v>7.2</v>
      </c>
      <c r="U41" s="15">
        <v>7.8</v>
      </c>
      <c r="V41" s="15">
        <v>2.8</v>
      </c>
      <c r="W41" s="15">
        <v>1.9</v>
      </c>
      <c r="X41" s="15">
        <v>2.87</v>
      </c>
      <c r="Y41" s="15">
        <v>3.13</v>
      </c>
      <c r="Z41" s="15">
        <v>1</v>
      </c>
      <c r="AA41" s="26"/>
      <c r="AB41" s="26"/>
      <c r="AC41" s="26"/>
      <c r="AD41" s="26"/>
      <c r="AE41" s="26" t="s">
        <v>1371</v>
      </c>
      <c r="AF41" s="26" t="s">
        <v>1397</v>
      </c>
      <c r="AG41" s="26" t="s">
        <v>1841</v>
      </c>
      <c r="AH41" s="19" t="s">
        <v>1664</v>
      </c>
      <c r="AK41" s="19" t="s">
        <v>1677</v>
      </c>
      <c r="AN41" s="5" t="s">
        <v>1677</v>
      </c>
      <c r="AO41" s="32"/>
    </row>
    <row r="42" spans="1:41" ht="15.75" customHeight="1" x14ac:dyDescent="0.2">
      <c r="A42" s="127" t="s">
        <v>313</v>
      </c>
      <c r="B42" s="19" t="s">
        <v>1759</v>
      </c>
      <c r="C42" s="125">
        <v>2015</v>
      </c>
      <c r="D42" s="125">
        <v>62</v>
      </c>
      <c r="E42" s="26" t="s">
        <v>1760</v>
      </c>
      <c r="F42" s="131">
        <v>489988.30414999998</v>
      </c>
      <c r="G42" s="131">
        <v>140714.96280000001</v>
      </c>
      <c r="H42" s="26" t="s">
        <v>1950</v>
      </c>
      <c r="I42" s="26"/>
      <c r="J42" s="126">
        <v>42214</v>
      </c>
      <c r="K42" s="15">
        <v>51</v>
      </c>
      <c r="L42" s="26">
        <v>14</v>
      </c>
      <c r="M42" s="26">
        <v>3</v>
      </c>
      <c r="N42" s="155">
        <v>240</v>
      </c>
      <c r="O42" s="155">
        <v>1</v>
      </c>
      <c r="P42" s="26"/>
      <c r="Q42" s="15" t="s">
        <v>2096</v>
      </c>
      <c r="R42" s="15" t="s">
        <v>2097</v>
      </c>
      <c r="S42" s="15" t="s">
        <v>2098</v>
      </c>
      <c r="T42" s="15">
        <v>7.1</v>
      </c>
      <c r="U42" s="15">
        <v>5.6</v>
      </c>
      <c r="V42" s="15">
        <v>2.2000000000000002</v>
      </c>
      <c r="W42" s="15">
        <v>2.1</v>
      </c>
      <c r="X42" s="15">
        <v>2.67</v>
      </c>
      <c r="Y42" s="15">
        <v>3.33</v>
      </c>
      <c r="Z42" s="15">
        <v>1</v>
      </c>
      <c r="AA42" s="26">
        <v>144</v>
      </c>
      <c r="AB42" s="26"/>
      <c r="AC42" s="26"/>
      <c r="AD42" s="26"/>
      <c r="AE42" s="26" t="s">
        <v>1369</v>
      </c>
      <c r="AF42" s="26" t="s">
        <v>1393</v>
      </c>
      <c r="AG42" s="26" t="s">
        <v>1842</v>
      </c>
      <c r="AH42" s="19" t="s">
        <v>1664</v>
      </c>
      <c r="AO42" s="32"/>
    </row>
    <row r="43" spans="1:41" ht="15.75" customHeight="1" x14ac:dyDescent="0.2">
      <c r="A43" s="124" t="s">
        <v>313</v>
      </c>
      <c r="B43" s="19" t="s">
        <v>1759</v>
      </c>
      <c r="C43" s="125">
        <v>2015</v>
      </c>
      <c r="D43" s="125">
        <v>63</v>
      </c>
      <c r="E43" s="26" t="s">
        <v>1760</v>
      </c>
      <c r="F43" s="131">
        <v>490510.74239999999</v>
      </c>
      <c r="G43" s="131">
        <v>140875.56132000001</v>
      </c>
      <c r="H43" s="26" t="s">
        <v>1951</v>
      </c>
      <c r="I43" s="26"/>
      <c r="J43" s="126">
        <v>42213</v>
      </c>
      <c r="K43" s="15">
        <v>70</v>
      </c>
      <c r="L43" s="26">
        <v>14</v>
      </c>
      <c r="M43" s="26">
        <v>5</v>
      </c>
      <c r="N43" s="155">
        <v>10</v>
      </c>
      <c r="O43" s="155">
        <v>2</v>
      </c>
      <c r="P43" s="26"/>
      <c r="Q43" s="15" t="s">
        <v>2099</v>
      </c>
      <c r="R43" s="15" t="s">
        <v>2100</v>
      </c>
      <c r="S43" s="15" t="s">
        <v>2101</v>
      </c>
      <c r="T43" s="15">
        <v>7.2</v>
      </c>
      <c r="U43" s="15">
        <v>5.8</v>
      </c>
      <c r="V43" s="15">
        <v>1.9</v>
      </c>
      <c r="W43" s="15">
        <v>2</v>
      </c>
      <c r="X43" s="15">
        <v>2.71</v>
      </c>
      <c r="Y43" s="15">
        <v>3.29</v>
      </c>
      <c r="Z43" s="15">
        <v>1</v>
      </c>
      <c r="AA43" s="26">
        <v>144</v>
      </c>
      <c r="AB43" s="26"/>
      <c r="AC43" s="26"/>
      <c r="AD43" s="26"/>
      <c r="AE43" s="26" t="s">
        <v>1369</v>
      </c>
      <c r="AF43" s="26" t="s">
        <v>1393</v>
      </c>
      <c r="AG43" s="26"/>
      <c r="AO43" s="32"/>
    </row>
    <row r="44" spans="1:41" ht="15.75" customHeight="1" x14ac:dyDescent="0.2">
      <c r="A44" s="127" t="s">
        <v>313</v>
      </c>
      <c r="B44" s="19" t="s">
        <v>1759</v>
      </c>
      <c r="C44" s="125">
        <v>2015</v>
      </c>
      <c r="D44" s="125">
        <v>65</v>
      </c>
      <c r="E44" s="26" t="s">
        <v>1760</v>
      </c>
      <c r="F44" s="131">
        <v>490705.85993699997</v>
      </c>
      <c r="G44" s="131">
        <v>140086.49852299999</v>
      </c>
      <c r="H44" s="26" t="s">
        <v>1952</v>
      </c>
      <c r="I44" s="26"/>
      <c r="J44" s="126">
        <v>42214</v>
      </c>
      <c r="K44" s="15">
        <v>98</v>
      </c>
      <c r="L44" s="26">
        <v>14</v>
      </c>
      <c r="M44" s="26">
        <v>3</v>
      </c>
      <c r="N44" s="155">
        <v>45</v>
      </c>
      <c r="O44" s="155">
        <v>2</v>
      </c>
      <c r="P44" s="26"/>
      <c r="Q44" s="15" t="s">
        <v>2102</v>
      </c>
      <c r="R44" s="15" t="s">
        <v>2103</v>
      </c>
      <c r="S44" s="15" t="s">
        <v>2104</v>
      </c>
      <c r="T44" s="15">
        <v>7.2</v>
      </c>
      <c r="U44" s="15">
        <v>5.9</v>
      </c>
      <c r="V44" s="15">
        <v>1.8</v>
      </c>
      <c r="W44" s="15">
        <v>2</v>
      </c>
      <c r="X44" s="15">
        <v>2.85</v>
      </c>
      <c r="Y44" s="15">
        <v>3.15</v>
      </c>
      <c r="Z44" s="15">
        <v>1</v>
      </c>
      <c r="AA44" s="26">
        <v>144</v>
      </c>
      <c r="AB44" s="26"/>
      <c r="AC44" s="26"/>
      <c r="AD44" s="26"/>
      <c r="AE44" s="26" t="s">
        <v>1369</v>
      </c>
      <c r="AF44" s="26" t="s">
        <v>1393</v>
      </c>
      <c r="AG44" s="26"/>
      <c r="AO44" s="32"/>
    </row>
    <row r="45" spans="1:41" ht="15.75" customHeight="1" x14ac:dyDescent="0.2">
      <c r="A45" s="124" t="s">
        <v>313</v>
      </c>
      <c r="B45" s="19" t="s">
        <v>1759</v>
      </c>
      <c r="C45" s="125">
        <v>2015</v>
      </c>
      <c r="D45" s="125">
        <v>66</v>
      </c>
      <c r="E45" s="26" t="s">
        <v>1760</v>
      </c>
      <c r="F45" s="131">
        <v>490900.62411999999</v>
      </c>
      <c r="G45" s="131">
        <v>140122.90395000001</v>
      </c>
      <c r="H45" s="26" t="s">
        <v>1953</v>
      </c>
      <c r="I45" s="26"/>
      <c r="J45" s="126">
        <v>42214</v>
      </c>
      <c r="K45" s="15">
        <v>96</v>
      </c>
      <c r="L45" s="26">
        <v>14</v>
      </c>
      <c r="M45" s="26">
        <v>22</v>
      </c>
      <c r="N45" s="155">
        <v>272</v>
      </c>
      <c r="O45" s="155">
        <v>2</v>
      </c>
      <c r="P45" s="26"/>
      <c r="Q45" s="15" t="s">
        <v>2105</v>
      </c>
      <c r="R45" s="15" t="s">
        <v>2106</v>
      </c>
      <c r="S45" s="15" t="s">
        <v>2107</v>
      </c>
      <c r="T45" s="15">
        <v>7.5</v>
      </c>
      <c r="U45" s="15">
        <v>5.7</v>
      </c>
      <c r="V45" s="15">
        <v>1.4</v>
      </c>
      <c r="W45" s="15">
        <v>2.1</v>
      </c>
      <c r="X45" s="15">
        <v>2.72</v>
      </c>
      <c r="Y45" s="15">
        <v>3.28</v>
      </c>
      <c r="Z45" s="15">
        <v>1</v>
      </c>
      <c r="AA45" s="26">
        <v>144</v>
      </c>
      <c r="AB45" s="26"/>
      <c r="AC45" s="26"/>
      <c r="AD45" s="26"/>
      <c r="AE45" s="26" t="s">
        <v>1369</v>
      </c>
      <c r="AF45" s="26" t="s">
        <v>1393</v>
      </c>
      <c r="AG45" s="26"/>
      <c r="AO45" s="32"/>
    </row>
    <row r="46" spans="1:41" ht="15.75" customHeight="1" x14ac:dyDescent="0.2">
      <c r="A46" s="127" t="s">
        <v>313</v>
      </c>
      <c r="B46" s="19" t="s">
        <v>1759</v>
      </c>
      <c r="C46" s="125">
        <v>2015</v>
      </c>
      <c r="D46" s="125">
        <v>68</v>
      </c>
      <c r="E46" s="26" t="s">
        <v>1760</v>
      </c>
      <c r="F46" s="131">
        <v>490928.71438999998</v>
      </c>
      <c r="G46" s="131">
        <v>140528.37737</v>
      </c>
      <c r="H46" s="26" t="s">
        <v>1954</v>
      </c>
      <c r="I46" s="26"/>
      <c r="J46" s="126">
        <v>42213</v>
      </c>
      <c r="K46" s="15">
        <v>75</v>
      </c>
      <c r="L46" s="26">
        <v>14</v>
      </c>
      <c r="M46" s="26">
        <v>5</v>
      </c>
      <c r="N46" s="155">
        <v>310</v>
      </c>
      <c r="O46" s="155">
        <v>2</v>
      </c>
      <c r="P46" s="26"/>
      <c r="Q46" s="15" t="s">
        <v>2108</v>
      </c>
      <c r="R46" s="15" t="s">
        <v>2109</v>
      </c>
      <c r="S46" s="15" t="s">
        <v>2110</v>
      </c>
      <c r="T46" s="15">
        <v>7.2</v>
      </c>
      <c r="U46" s="15">
        <v>5.9</v>
      </c>
      <c r="V46" s="15">
        <v>1.8</v>
      </c>
      <c r="W46" s="15">
        <v>2</v>
      </c>
      <c r="X46" s="15">
        <v>2.92</v>
      </c>
      <c r="Y46" s="15">
        <v>3.08</v>
      </c>
      <c r="Z46" s="15">
        <v>1</v>
      </c>
      <c r="AA46" s="26"/>
      <c r="AB46" s="26">
        <v>138</v>
      </c>
      <c r="AC46" s="26"/>
      <c r="AD46" s="26"/>
      <c r="AE46" s="26" t="s">
        <v>1369</v>
      </c>
      <c r="AF46" s="26" t="s">
        <v>1393</v>
      </c>
      <c r="AG46" s="26"/>
      <c r="AO46" s="32"/>
    </row>
    <row r="47" spans="1:41" ht="15.75" customHeight="1" x14ac:dyDescent="0.2">
      <c r="A47" s="124" t="s">
        <v>313</v>
      </c>
      <c r="B47" s="19" t="s">
        <v>1759</v>
      </c>
      <c r="C47" s="125">
        <v>2015</v>
      </c>
      <c r="D47" s="125">
        <v>69</v>
      </c>
      <c r="E47" s="26" t="s">
        <v>1760</v>
      </c>
      <c r="F47" s="131">
        <v>491214.29057999997</v>
      </c>
      <c r="G47" s="131">
        <v>139967.34878</v>
      </c>
      <c r="H47" s="26" t="s">
        <v>1955</v>
      </c>
      <c r="I47" s="26"/>
      <c r="J47" s="126">
        <v>42214</v>
      </c>
      <c r="K47" s="15">
        <v>97</v>
      </c>
      <c r="L47" s="26">
        <v>14</v>
      </c>
      <c r="M47" s="26">
        <v>6</v>
      </c>
      <c r="N47" s="155">
        <v>150</v>
      </c>
      <c r="O47" s="155">
        <v>2</v>
      </c>
      <c r="P47" s="26"/>
      <c r="Q47" s="15" t="s">
        <v>2111</v>
      </c>
      <c r="R47" s="15" t="s">
        <v>2112</v>
      </c>
      <c r="S47" s="15" t="s">
        <v>2113</v>
      </c>
      <c r="T47" s="15">
        <v>7</v>
      </c>
      <c r="U47" s="15">
        <v>6</v>
      </c>
      <c r="V47" s="15">
        <v>2</v>
      </c>
      <c r="W47" s="15">
        <v>2</v>
      </c>
      <c r="X47" s="15">
        <v>3</v>
      </c>
      <c r="Y47" s="15">
        <v>3</v>
      </c>
      <c r="Z47" s="15">
        <v>1</v>
      </c>
      <c r="AA47" s="26"/>
      <c r="AB47" s="26"/>
      <c r="AC47" s="26"/>
      <c r="AD47" s="26"/>
      <c r="AE47" s="26" t="s">
        <v>1369</v>
      </c>
      <c r="AF47" s="26" t="s">
        <v>1393</v>
      </c>
      <c r="AG47" s="26" t="s">
        <v>1846</v>
      </c>
      <c r="AH47" s="19" t="s">
        <v>1664</v>
      </c>
      <c r="AO47" s="32"/>
    </row>
    <row r="48" spans="1:41" ht="15.75" customHeight="1" x14ac:dyDescent="0.2">
      <c r="A48" s="127" t="s">
        <v>313</v>
      </c>
      <c r="B48" s="19" t="s">
        <v>1759</v>
      </c>
      <c r="C48" s="125">
        <v>2015</v>
      </c>
      <c r="D48" s="125">
        <v>70</v>
      </c>
      <c r="E48" s="26" t="s">
        <v>1763</v>
      </c>
      <c r="F48" s="131">
        <v>491189.88630700001</v>
      </c>
      <c r="G48" s="131">
        <v>140715.044009</v>
      </c>
      <c r="H48" s="26" t="s">
        <v>1956</v>
      </c>
      <c r="I48" s="26"/>
      <c r="J48" s="126">
        <v>42213</v>
      </c>
      <c r="K48" s="15">
        <v>81</v>
      </c>
      <c r="L48" s="26">
        <v>14</v>
      </c>
      <c r="M48" s="26">
        <v>8</v>
      </c>
      <c r="N48" s="155">
        <v>20</v>
      </c>
      <c r="O48" s="155">
        <v>2</v>
      </c>
      <c r="P48" s="26"/>
      <c r="Q48" s="15" t="s">
        <v>2114</v>
      </c>
      <c r="R48" s="15" t="s">
        <v>2115</v>
      </c>
      <c r="S48" s="15" t="s">
        <v>2116</v>
      </c>
      <c r="T48" s="15">
        <v>7</v>
      </c>
      <c r="U48" s="15">
        <v>5.7</v>
      </c>
      <c r="V48" s="15">
        <v>2.5</v>
      </c>
      <c r="W48" s="15">
        <v>2.1</v>
      </c>
      <c r="X48" s="15">
        <v>2.48</v>
      </c>
      <c r="Y48" s="15">
        <v>3.48</v>
      </c>
      <c r="Z48" s="15">
        <v>1.1100000000000001</v>
      </c>
      <c r="AA48" s="26">
        <v>144</v>
      </c>
      <c r="AB48" s="26">
        <v>115</v>
      </c>
      <c r="AC48" s="26"/>
      <c r="AD48" s="26"/>
      <c r="AE48" s="26" t="s">
        <v>1369</v>
      </c>
      <c r="AF48" s="26" t="s">
        <v>1393</v>
      </c>
      <c r="AG48" s="26" t="s">
        <v>1848</v>
      </c>
      <c r="AH48" s="19" t="s">
        <v>1664</v>
      </c>
      <c r="AI48" s="19" t="s">
        <v>1665</v>
      </c>
      <c r="AO48" s="32" t="s">
        <v>1766</v>
      </c>
    </row>
    <row r="49" spans="1:41" ht="15.75" customHeight="1" x14ac:dyDescent="0.2">
      <c r="A49" s="124" t="s">
        <v>313</v>
      </c>
      <c r="B49" s="19" t="s">
        <v>1759</v>
      </c>
      <c r="C49" s="125">
        <v>2015</v>
      </c>
      <c r="D49" s="125">
        <v>71</v>
      </c>
      <c r="E49" s="26" t="s">
        <v>1763</v>
      </c>
      <c r="F49" s="131">
        <v>490199.03999999998</v>
      </c>
      <c r="G49" s="131">
        <v>140840.48000000001</v>
      </c>
      <c r="H49" s="26" t="s">
        <v>1957</v>
      </c>
      <c r="I49" s="26"/>
      <c r="J49" s="126">
        <v>42213</v>
      </c>
      <c r="K49" s="15">
        <v>52</v>
      </c>
      <c r="L49" s="26">
        <v>14</v>
      </c>
      <c r="M49" s="26">
        <v>0</v>
      </c>
      <c r="N49" s="155" t="s">
        <v>1839</v>
      </c>
      <c r="O49" s="155" t="s">
        <v>1839</v>
      </c>
      <c r="P49" s="26"/>
      <c r="Q49" s="15" t="s">
        <v>2117</v>
      </c>
      <c r="R49" s="15" t="s">
        <v>2118</v>
      </c>
      <c r="S49" s="15" t="s">
        <v>2119</v>
      </c>
      <c r="T49" s="15">
        <v>7</v>
      </c>
      <c r="U49" s="15">
        <v>7.1</v>
      </c>
      <c r="V49" s="15">
        <v>3.2</v>
      </c>
      <c r="W49" s="15">
        <v>2.2999999999999998</v>
      </c>
      <c r="X49" s="15">
        <v>3.03</v>
      </c>
      <c r="Y49" s="15">
        <v>2.97</v>
      </c>
      <c r="Z49" s="15">
        <v>1</v>
      </c>
      <c r="AA49" s="26"/>
      <c r="AB49" s="26"/>
      <c r="AC49" s="26"/>
      <c r="AD49" s="26"/>
      <c r="AE49" s="26" t="s">
        <v>1369</v>
      </c>
      <c r="AF49" s="26" t="s">
        <v>1393</v>
      </c>
      <c r="AG49" s="26" t="s">
        <v>1843</v>
      </c>
      <c r="AH49" s="19" t="s">
        <v>1665</v>
      </c>
      <c r="AI49" s="19" t="s">
        <v>1664</v>
      </c>
      <c r="AK49" s="19" t="s">
        <v>1677</v>
      </c>
      <c r="AN49" s="19" t="s">
        <v>1677</v>
      </c>
      <c r="AO49" s="32" t="s">
        <v>1766</v>
      </c>
    </row>
    <row r="50" spans="1:41" ht="15.75" customHeight="1" x14ac:dyDescent="0.2">
      <c r="A50" s="127" t="s">
        <v>313</v>
      </c>
      <c r="B50" s="19" t="s">
        <v>1759</v>
      </c>
      <c r="C50" s="125">
        <v>2015</v>
      </c>
      <c r="D50" s="125">
        <v>72</v>
      </c>
      <c r="E50" s="26" t="s">
        <v>1763</v>
      </c>
      <c r="F50" s="131">
        <v>490222</v>
      </c>
      <c r="G50" s="131">
        <v>140831</v>
      </c>
      <c r="H50" s="26" t="s">
        <v>1958</v>
      </c>
      <c r="I50" s="26"/>
      <c r="J50" s="126">
        <v>42213</v>
      </c>
      <c r="K50" s="15">
        <v>59</v>
      </c>
      <c r="L50" s="26">
        <v>14</v>
      </c>
      <c r="M50" s="26">
        <v>0</v>
      </c>
      <c r="N50" s="155" t="s">
        <v>1839</v>
      </c>
      <c r="O50" s="155" t="s">
        <v>1839</v>
      </c>
      <c r="P50" s="26"/>
      <c r="Q50" s="15" t="s">
        <v>2120</v>
      </c>
      <c r="R50" s="15" t="s">
        <v>2121</v>
      </c>
      <c r="S50" s="15" t="s">
        <v>2122</v>
      </c>
      <c r="T50" s="15">
        <v>7.7</v>
      </c>
      <c r="U50" s="15">
        <v>8</v>
      </c>
      <c r="V50" s="15">
        <v>2.8</v>
      </c>
      <c r="W50" s="15">
        <v>1.9</v>
      </c>
      <c r="X50" s="15">
        <v>1.86</v>
      </c>
      <c r="Y50" s="15">
        <v>4.1399999999999997</v>
      </c>
      <c r="Z50" s="15">
        <v>1.1100000000000001</v>
      </c>
      <c r="AA50" s="26"/>
      <c r="AB50" s="26"/>
      <c r="AC50" s="26"/>
      <c r="AD50" s="26"/>
      <c r="AE50" s="26" t="s">
        <v>1371</v>
      </c>
      <c r="AF50" s="26" t="s">
        <v>1397</v>
      </c>
      <c r="AG50" s="26" t="s">
        <v>1843</v>
      </c>
      <c r="AH50" s="19" t="s">
        <v>1665</v>
      </c>
      <c r="AI50" s="19" t="s">
        <v>1664</v>
      </c>
      <c r="AK50" s="19" t="s">
        <v>1677</v>
      </c>
      <c r="AN50" s="19" t="s">
        <v>1677</v>
      </c>
      <c r="AO50" s="32" t="s">
        <v>1766</v>
      </c>
    </row>
    <row r="51" spans="1:41" ht="15.75" customHeight="1" x14ac:dyDescent="0.2">
      <c r="A51" s="124" t="s">
        <v>313</v>
      </c>
      <c r="B51" s="19" t="s">
        <v>1759</v>
      </c>
      <c r="C51" s="125">
        <v>2015</v>
      </c>
      <c r="D51" s="125">
        <v>73</v>
      </c>
      <c r="E51" s="26" t="s">
        <v>1763</v>
      </c>
      <c r="F51" s="131">
        <v>490236.69</v>
      </c>
      <c r="G51" s="131">
        <v>140813.76000000001</v>
      </c>
      <c r="H51" s="26" t="s">
        <v>1959</v>
      </c>
      <c r="I51" s="26"/>
      <c r="J51" s="126">
        <v>42213</v>
      </c>
      <c r="K51" s="15">
        <v>66</v>
      </c>
      <c r="L51" s="26">
        <v>14</v>
      </c>
      <c r="M51" s="26">
        <v>4</v>
      </c>
      <c r="N51" s="155">
        <v>0</v>
      </c>
      <c r="O51" s="155">
        <v>2</v>
      </c>
      <c r="P51" s="26"/>
      <c r="Q51" s="15" t="s">
        <v>2123</v>
      </c>
      <c r="R51" s="15" t="s">
        <v>2124</v>
      </c>
      <c r="S51" s="15" t="s">
        <v>2125</v>
      </c>
      <c r="T51" s="15">
        <v>7.4</v>
      </c>
      <c r="U51" s="15">
        <v>7.4</v>
      </c>
      <c r="V51" s="15">
        <v>2.9</v>
      </c>
      <c r="W51" s="15">
        <v>2.2999999999999998</v>
      </c>
      <c r="X51" s="15">
        <v>2.91</v>
      </c>
      <c r="Y51" s="15">
        <v>3.06</v>
      </c>
      <c r="Z51" s="15">
        <v>1.07</v>
      </c>
      <c r="AA51" s="26"/>
      <c r="AB51" s="26"/>
      <c r="AC51" s="26"/>
      <c r="AD51" s="26"/>
      <c r="AE51" s="26" t="s">
        <v>1369</v>
      </c>
      <c r="AF51" s="26" t="s">
        <v>1393</v>
      </c>
      <c r="AG51" s="26" t="s">
        <v>1765</v>
      </c>
      <c r="AH51" s="19" t="s">
        <v>1665</v>
      </c>
      <c r="AO51" s="32" t="s">
        <v>1766</v>
      </c>
    </row>
    <row r="52" spans="1:41" ht="15.75" customHeight="1" x14ac:dyDescent="0.2">
      <c r="A52" s="127" t="s">
        <v>313</v>
      </c>
      <c r="B52" s="19" t="s">
        <v>1759</v>
      </c>
      <c r="C52" s="125">
        <v>2015</v>
      </c>
      <c r="D52" s="125">
        <v>74</v>
      </c>
      <c r="E52" s="26" t="s">
        <v>1763</v>
      </c>
      <c r="F52" s="131">
        <v>490307.31</v>
      </c>
      <c r="G52" s="131">
        <v>140798.35999999999</v>
      </c>
      <c r="H52" s="26" t="s">
        <v>1960</v>
      </c>
      <c r="I52" s="26"/>
      <c r="J52" s="126">
        <v>42213</v>
      </c>
      <c r="K52" s="15">
        <v>67</v>
      </c>
      <c r="L52" s="26">
        <v>14</v>
      </c>
      <c r="M52" s="26">
        <v>4</v>
      </c>
      <c r="N52" s="155">
        <v>50</v>
      </c>
      <c r="O52" s="155">
        <v>2</v>
      </c>
      <c r="P52" s="26"/>
      <c r="Q52" s="15" t="s">
        <v>2126</v>
      </c>
      <c r="R52" s="15" t="s">
        <v>2127</v>
      </c>
      <c r="S52" s="15" t="s">
        <v>2128</v>
      </c>
      <c r="T52" s="15">
        <v>7.1</v>
      </c>
      <c r="U52" s="15">
        <v>6.1</v>
      </c>
      <c r="V52" s="15">
        <v>2.2000000000000002</v>
      </c>
      <c r="W52" s="15">
        <v>2.2000000000000002</v>
      </c>
      <c r="X52" s="15">
        <v>3.03</v>
      </c>
      <c r="Y52" s="15">
        <v>2.97</v>
      </c>
      <c r="Z52" s="15">
        <v>1</v>
      </c>
      <c r="AA52" s="26">
        <v>144</v>
      </c>
      <c r="AB52" s="26"/>
      <c r="AC52" s="26"/>
      <c r="AD52" s="26"/>
      <c r="AE52" s="26" t="s">
        <v>1369</v>
      </c>
      <c r="AF52" s="26" t="s">
        <v>1393</v>
      </c>
      <c r="AG52" s="26" t="s">
        <v>1765</v>
      </c>
      <c r="AH52" s="19" t="s">
        <v>1665</v>
      </c>
      <c r="AO52" s="32" t="s">
        <v>1766</v>
      </c>
    </row>
    <row r="53" spans="1:41" ht="15.75" customHeight="1" x14ac:dyDescent="0.2">
      <c r="A53" s="124" t="s">
        <v>313</v>
      </c>
      <c r="B53" s="19" t="s">
        <v>1759</v>
      </c>
      <c r="C53" s="125">
        <v>2015</v>
      </c>
      <c r="D53" s="125">
        <v>75</v>
      </c>
      <c r="E53" s="26" t="s">
        <v>1763</v>
      </c>
      <c r="F53" s="131">
        <v>490317.53</v>
      </c>
      <c r="G53" s="131">
        <v>140878.07</v>
      </c>
      <c r="H53" s="26" t="s">
        <v>1961</v>
      </c>
      <c r="I53" s="26"/>
      <c r="J53" s="126">
        <v>42213</v>
      </c>
      <c r="K53" s="15">
        <v>81</v>
      </c>
      <c r="L53" s="26">
        <v>14</v>
      </c>
      <c r="M53" s="26">
        <v>3</v>
      </c>
      <c r="N53" s="155">
        <v>276</v>
      </c>
      <c r="O53" s="155">
        <v>2</v>
      </c>
      <c r="P53" s="26"/>
      <c r="Q53" s="15" t="s">
        <v>2129</v>
      </c>
      <c r="R53" s="15" t="s">
        <v>2130</v>
      </c>
      <c r="S53" s="15" t="s">
        <v>2131</v>
      </c>
      <c r="T53" s="15">
        <v>7.5</v>
      </c>
      <c r="U53" s="15">
        <v>7.3</v>
      </c>
      <c r="V53" s="15">
        <v>2.2000000000000002</v>
      </c>
      <c r="W53" s="15">
        <v>1.7</v>
      </c>
      <c r="X53" s="15">
        <v>2.73</v>
      </c>
      <c r="Y53" s="15">
        <v>3.27</v>
      </c>
      <c r="Z53" s="15">
        <v>1</v>
      </c>
      <c r="AA53" s="26"/>
      <c r="AB53" s="26"/>
      <c r="AC53" s="26"/>
      <c r="AD53" s="26"/>
      <c r="AE53" s="26" t="s">
        <v>1371</v>
      </c>
      <c r="AF53" s="26" t="s">
        <v>1397</v>
      </c>
      <c r="AG53" s="26" t="s">
        <v>1765</v>
      </c>
      <c r="AH53" s="19" t="s">
        <v>1665</v>
      </c>
      <c r="AO53" s="32" t="s">
        <v>1766</v>
      </c>
    </row>
    <row r="54" spans="1:41" ht="15.75" customHeight="1" x14ac:dyDescent="0.2">
      <c r="A54" s="127"/>
      <c r="C54" s="125"/>
      <c r="D54" s="125"/>
      <c r="E54" s="26"/>
      <c r="F54" s="131"/>
      <c r="G54" s="131"/>
      <c r="H54" s="26"/>
      <c r="I54" s="26"/>
      <c r="J54" s="126"/>
      <c r="K54" s="15"/>
      <c r="L54" s="26"/>
      <c r="M54" s="26"/>
      <c r="N54" s="155"/>
      <c r="O54" s="155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O54" s="32"/>
    </row>
    <row r="55" spans="1:41" ht="15.75" customHeight="1" x14ac:dyDescent="0.2">
      <c r="A55" s="124"/>
      <c r="C55" s="125"/>
      <c r="D55" s="125"/>
      <c r="E55" s="26"/>
      <c r="F55" s="131"/>
      <c r="G55" s="131"/>
      <c r="H55" s="26"/>
      <c r="I55" s="26"/>
      <c r="J55" s="126"/>
      <c r="K55" s="15"/>
      <c r="L55" s="26"/>
      <c r="M55" s="26"/>
      <c r="N55" s="155"/>
      <c r="O55" s="155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O55" s="32"/>
    </row>
    <row r="56" spans="1:41" ht="15.75" customHeight="1" x14ac:dyDescent="0.2">
      <c r="A56" s="127"/>
      <c r="C56" s="125"/>
      <c r="D56" s="125"/>
      <c r="E56" s="26"/>
      <c r="F56" s="131"/>
      <c r="G56" s="131"/>
      <c r="H56" s="26"/>
      <c r="I56" s="26"/>
      <c r="J56" s="126"/>
      <c r="K56" s="15"/>
      <c r="L56" s="26"/>
      <c r="M56" s="26"/>
      <c r="N56" s="155"/>
      <c r="O56" s="155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O56" s="32"/>
    </row>
    <row r="57" spans="1:41" ht="15.75" customHeight="1" x14ac:dyDescent="0.2">
      <c r="A57" s="124"/>
      <c r="C57" s="125"/>
      <c r="D57" s="125"/>
      <c r="E57" s="26"/>
      <c r="F57" s="131"/>
      <c r="G57" s="131"/>
      <c r="H57" s="26"/>
      <c r="I57" s="26"/>
      <c r="J57" s="126"/>
      <c r="K57" s="15"/>
      <c r="L57" s="26"/>
      <c r="M57" s="26"/>
      <c r="N57" s="155"/>
      <c r="O57" s="155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O57" s="32"/>
    </row>
    <row r="58" spans="1:41" ht="15.75" customHeight="1" x14ac:dyDescent="0.2">
      <c r="A58" s="127"/>
      <c r="C58" s="125"/>
      <c r="D58" s="125"/>
      <c r="E58" s="26"/>
      <c r="F58" s="131"/>
      <c r="G58" s="131"/>
      <c r="H58" s="26"/>
      <c r="I58" s="26"/>
      <c r="J58" s="126"/>
      <c r="K58" s="15"/>
      <c r="L58" s="26"/>
      <c r="M58" s="26"/>
      <c r="N58" s="156"/>
      <c r="O58" s="155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O58" s="32"/>
    </row>
    <row r="59" spans="1:41" ht="15.75" customHeight="1" x14ac:dyDescent="0.2">
      <c r="A59" s="124"/>
      <c r="C59" s="125"/>
      <c r="D59" s="125"/>
      <c r="E59" s="26"/>
      <c r="F59" s="131"/>
      <c r="G59" s="131"/>
      <c r="H59" s="26"/>
      <c r="I59" s="26"/>
      <c r="J59" s="126"/>
      <c r="K59" s="15"/>
      <c r="L59" s="26"/>
      <c r="M59" s="26"/>
      <c r="N59" s="156"/>
      <c r="O59" s="155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O59" s="32"/>
    </row>
    <row r="60" spans="1:41" ht="14.25" customHeight="1" x14ac:dyDescent="0.2">
      <c r="A60" s="26"/>
      <c r="B60" s="26"/>
      <c r="C60" s="125"/>
      <c r="D60" s="125"/>
      <c r="E60" s="26"/>
      <c r="F60" s="131"/>
      <c r="G60" s="131"/>
      <c r="H60" s="26"/>
      <c r="I60" s="26"/>
      <c r="J60" s="126"/>
      <c r="K60" s="15"/>
      <c r="L60" s="26"/>
      <c r="M60" s="26"/>
      <c r="N60" s="156"/>
      <c r="O60" s="155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31"/>
      <c r="AE60" s="26"/>
      <c r="AF60" s="26"/>
      <c r="AG60" s="26"/>
      <c r="AO60" s="32"/>
    </row>
    <row r="61" spans="1:41" ht="14.25" customHeight="1" x14ac:dyDescent="0.2">
      <c r="A61" s="26"/>
      <c r="B61" s="26"/>
      <c r="C61" s="125"/>
      <c r="D61" s="125"/>
      <c r="E61" s="26"/>
      <c r="F61" s="131"/>
      <c r="G61" s="131"/>
      <c r="H61" s="26"/>
      <c r="I61" s="26"/>
      <c r="J61" s="126"/>
      <c r="K61" s="15"/>
      <c r="L61" s="26"/>
      <c r="M61" s="26"/>
      <c r="N61" s="155"/>
      <c r="O61" s="155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N61" s="19"/>
      <c r="AO61" s="32"/>
    </row>
    <row r="62" spans="1:41" ht="14.25" customHeight="1" x14ac:dyDescent="0.2">
      <c r="A62" s="30"/>
      <c r="B62" s="26"/>
      <c r="C62" s="130"/>
      <c r="D62" s="125"/>
      <c r="E62" s="30"/>
      <c r="F62" s="133"/>
      <c r="G62" s="133"/>
      <c r="H62" s="30"/>
      <c r="I62" s="30"/>
      <c r="J62" s="154"/>
      <c r="K62" s="15"/>
      <c r="L62" s="30"/>
      <c r="M62" s="157"/>
      <c r="N62" s="157"/>
      <c r="O62" s="157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2"/>
      <c r="AO62" s="32"/>
    </row>
  </sheetData>
  <dataConsolidate/>
  <pageMargins left="0.75" right="0.75" top="1" bottom="1" header="0.5" footer="0.5"/>
  <pageSetup paperSize="9" orientation="portrait" horizontalDpi="4294967293" verticalDpi="300" r:id="rId1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AO1954"/>
  <sheetViews>
    <sheetView zoomScaleNormal="100" zoomScaleSheetLayoutView="50" workbookViewId="0">
      <pane ySplit="1" topLeftCell="A2" activePane="bottomLeft" state="frozen"/>
      <selection activeCell="D1" sqref="D1"/>
      <selection pane="bottomLeft"/>
    </sheetView>
  </sheetViews>
  <sheetFormatPr defaultRowHeight="15" customHeight="1" x14ac:dyDescent="0.2"/>
  <cols>
    <col min="1" max="1" width="8.5546875" style="5" customWidth="1"/>
    <col min="2" max="2" width="5.6640625" style="19" customWidth="1"/>
    <col min="3" max="3" width="5.44140625" style="5" bestFit="1" customWidth="1"/>
    <col min="4" max="4" width="7.77734375" style="5" customWidth="1"/>
    <col min="5" max="5" width="9.44140625" style="135" customWidth="1"/>
    <col min="6" max="6" width="27.21875" style="5" bestFit="1" customWidth="1"/>
    <col min="7" max="31" width="6.88671875" style="5" customWidth="1"/>
    <col min="32" max="32" width="13.109375" style="121" customWidth="1"/>
    <col min="33" max="33" width="9.33203125" style="5" customWidth="1"/>
    <col min="34" max="34" width="113.5546875" style="5" bestFit="1" customWidth="1"/>
    <col min="35" max="35" width="10.6640625" style="5" customWidth="1"/>
    <col min="36" max="36" width="10.77734375" style="5" customWidth="1"/>
    <col min="37" max="37" width="10.33203125" style="5" customWidth="1"/>
    <col min="38" max="38" width="7.77734375" style="5" customWidth="1"/>
    <col min="39" max="39" width="7.6640625" style="5" customWidth="1"/>
    <col min="40" max="40" width="7.5546875" style="5" customWidth="1"/>
    <col min="41" max="41" width="8.88671875" style="5"/>
    <col min="42" max="16384" width="8.88671875" style="22"/>
  </cols>
  <sheetData>
    <row r="1" spans="1:41" s="23" customFormat="1" ht="27" customHeight="1" x14ac:dyDescent="0.2">
      <c r="A1" s="206" t="s">
        <v>219</v>
      </c>
      <c r="B1" s="202" t="s">
        <v>220</v>
      </c>
      <c r="C1" s="203" t="s">
        <v>222</v>
      </c>
      <c r="D1" s="203" t="s">
        <v>223</v>
      </c>
      <c r="E1" s="203" t="s">
        <v>224</v>
      </c>
      <c r="F1" s="203" t="s">
        <v>221</v>
      </c>
      <c r="G1" s="203" t="s">
        <v>1686</v>
      </c>
      <c r="H1" s="203" t="s">
        <v>1687</v>
      </c>
      <c r="I1" s="203" t="s">
        <v>1688</v>
      </c>
      <c r="J1" s="203" t="s">
        <v>1689</v>
      </c>
      <c r="K1" s="203" t="s">
        <v>1690</v>
      </c>
      <c r="L1" s="203" t="s">
        <v>1691</v>
      </c>
      <c r="M1" s="203" t="s">
        <v>1692</v>
      </c>
      <c r="N1" s="203" t="s">
        <v>1693</v>
      </c>
      <c r="O1" s="203" t="s">
        <v>1694</v>
      </c>
      <c r="P1" s="203" t="s">
        <v>1695</v>
      </c>
      <c r="Q1" s="203" t="s">
        <v>1696</v>
      </c>
      <c r="R1" s="203" t="s">
        <v>1697</v>
      </c>
      <c r="S1" s="203" t="s">
        <v>1698</v>
      </c>
      <c r="T1" s="203" t="s">
        <v>1699</v>
      </c>
      <c r="U1" s="203" t="s">
        <v>1700</v>
      </c>
      <c r="V1" s="203" t="s">
        <v>1701</v>
      </c>
      <c r="W1" s="203" t="s">
        <v>1702</v>
      </c>
      <c r="X1" s="203" t="s">
        <v>1703</v>
      </c>
      <c r="Y1" s="203" t="s">
        <v>1704</v>
      </c>
      <c r="Z1" s="203" t="s">
        <v>1705</v>
      </c>
      <c r="AA1" s="203" t="s">
        <v>1706</v>
      </c>
      <c r="AB1" s="203" t="s">
        <v>1707</v>
      </c>
      <c r="AC1" s="203" t="s">
        <v>1708</v>
      </c>
      <c r="AD1" s="203" t="s">
        <v>1709</v>
      </c>
      <c r="AE1" s="203" t="s">
        <v>1710</v>
      </c>
      <c r="AF1" s="207" t="s">
        <v>1681</v>
      </c>
      <c r="AG1" s="208" t="s">
        <v>1336</v>
      </c>
      <c r="AH1" s="203" t="s">
        <v>1444</v>
      </c>
      <c r="AI1" s="203" t="s">
        <v>1475</v>
      </c>
      <c r="AJ1" s="203" t="s">
        <v>1476</v>
      </c>
      <c r="AK1" s="203" t="s">
        <v>1477</v>
      </c>
      <c r="AL1" s="203" t="s">
        <v>1746</v>
      </c>
      <c r="AM1" s="203" t="s">
        <v>1747</v>
      </c>
      <c r="AN1" s="203" t="s">
        <v>1748</v>
      </c>
      <c r="AO1" s="205" t="s">
        <v>1474</v>
      </c>
    </row>
    <row r="2" spans="1:41" s="24" customFormat="1" ht="15" customHeight="1" x14ac:dyDescent="0.2">
      <c r="A2" s="141" t="s">
        <v>313</v>
      </c>
      <c r="B2" s="137" t="s">
        <v>1759</v>
      </c>
      <c r="C2" s="141">
        <v>2015</v>
      </c>
      <c r="D2" s="183">
        <v>2</v>
      </c>
      <c r="E2" s="135">
        <v>278</v>
      </c>
      <c r="F2" s="184" t="s">
        <v>132</v>
      </c>
      <c r="G2" s="185">
        <v>0</v>
      </c>
      <c r="H2" s="185">
        <v>1</v>
      </c>
      <c r="I2" s="185">
        <v>1</v>
      </c>
      <c r="J2" s="185">
        <v>0</v>
      </c>
      <c r="K2" s="185">
        <v>0</v>
      </c>
      <c r="L2" s="185">
        <v>0</v>
      </c>
      <c r="M2" s="185">
        <v>0</v>
      </c>
      <c r="N2" s="185">
        <v>0</v>
      </c>
      <c r="O2" s="185">
        <v>0</v>
      </c>
      <c r="P2" s="185">
        <v>0</v>
      </c>
      <c r="Q2" s="185">
        <v>1</v>
      </c>
      <c r="R2" s="185">
        <v>0</v>
      </c>
      <c r="S2" s="185">
        <v>0</v>
      </c>
      <c r="T2" s="185">
        <v>0</v>
      </c>
      <c r="U2" s="185">
        <v>0</v>
      </c>
      <c r="V2" s="185">
        <v>0</v>
      </c>
      <c r="W2" s="185">
        <v>1</v>
      </c>
      <c r="X2" s="185">
        <v>1</v>
      </c>
      <c r="Y2" s="185">
        <v>0</v>
      </c>
      <c r="Z2" s="185">
        <v>0</v>
      </c>
      <c r="AA2" s="185">
        <v>1</v>
      </c>
      <c r="AB2" s="185">
        <v>1</v>
      </c>
      <c r="AC2" s="185">
        <v>1</v>
      </c>
      <c r="AD2" s="185">
        <v>0</v>
      </c>
      <c r="AE2" s="185">
        <v>0</v>
      </c>
      <c r="AF2" s="186">
        <v>15</v>
      </c>
      <c r="AG2" s="183">
        <v>8</v>
      </c>
      <c r="AH2" s="5"/>
      <c r="AI2" s="5"/>
      <c r="AJ2" s="5"/>
      <c r="AK2" s="5"/>
      <c r="AL2" s="5"/>
      <c r="AM2" s="5"/>
      <c r="AN2" s="5"/>
      <c r="AO2" s="5"/>
    </row>
    <row r="3" spans="1:41" ht="15" customHeight="1" x14ac:dyDescent="0.2">
      <c r="A3" s="141" t="s">
        <v>313</v>
      </c>
      <c r="B3" s="187" t="s">
        <v>1759</v>
      </c>
      <c r="C3" s="141">
        <v>2015</v>
      </c>
      <c r="D3" s="188">
        <v>2</v>
      </c>
      <c r="E3" s="135">
        <v>1576</v>
      </c>
      <c r="F3" s="189" t="s">
        <v>882</v>
      </c>
      <c r="G3" s="188">
        <v>1</v>
      </c>
      <c r="H3" s="188">
        <v>1</v>
      </c>
      <c r="I3" s="188">
        <v>1</v>
      </c>
      <c r="J3" s="188">
        <v>1</v>
      </c>
      <c r="K3" s="188">
        <v>1</v>
      </c>
      <c r="L3" s="188">
        <v>1</v>
      </c>
      <c r="M3" s="188">
        <v>1</v>
      </c>
      <c r="N3" s="188">
        <v>1</v>
      </c>
      <c r="O3" s="188">
        <v>1</v>
      </c>
      <c r="P3" s="188">
        <v>1</v>
      </c>
      <c r="Q3" s="188">
        <v>1</v>
      </c>
      <c r="R3" s="188">
        <v>1</v>
      </c>
      <c r="S3" s="188">
        <v>1</v>
      </c>
      <c r="T3" s="188">
        <v>1</v>
      </c>
      <c r="U3" s="188">
        <v>1</v>
      </c>
      <c r="V3" s="188">
        <v>1</v>
      </c>
      <c r="W3" s="188">
        <v>1</v>
      </c>
      <c r="X3" s="188">
        <v>1</v>
      </c>
      <c r="Y3" s="188">
        <v>1</v>
      </c>
      <c r="Z3" s="188">
        <v>1</v>
      </c>
      <c r="AA3" s="188">
        <v>1</v>
      </c>
      <c r="AB3" s="188">
        <v>0</v>
      </c>
      <c r="AC3" s="188">
        <v>1</v>
      </c>
      <c r="AD3" s="188">
        <v>1</v>
      </c>
      <c r="AE3" s="188">
        <v>1</v>
      </c>
      <c r="AF3" s="190">
        <v>70</v>
      </c>
      <c r="AG3" s="183">
        <v>24</v>
      </c>
      <c r="AI3" s="5" t="s">
        <v>1656</v>
      </c>
      <c r="AL3" s="5" t="s">
        <v>1434</v>
      </c>
      <c r="AO3" s="5" t="s">
        <v>1434</v>
      </c>
    </row>
    <row r="4" spans="1:41" ht="15" customHeight="1" x14ac:dyDescent="0.2">
      <c r="A4" s="141" t="s">
        <v>313</v>
      </c>
      <c r="B4" s="187" t="s">
        <v>1759</v>
      </c>
      <c r="C4" s="141">
        <v>2015</v>
      </c>
      <c r="D4" s="188">
        <v>2</v>
      </c>
      <c r="E4" s="135">
        <v>2694</v>
      </c>
      <c r="F4" s="189" t="s">
        <v>570</v>
      </c>
      <c r="G4" s="188">
        <v>1</v>
      </c>
      <c r="H4" s="188">
        <v>1</v>
      </c>
      <c r="I4" s="188">
        <v>1</v>
      </c>
      <c r="J4" s="188">
        <v>1</v>
      </c>
      <c r="K4" s="188">
        <v>1</v>
      </c>
      <c r="L4" s="188">
        <v>0</v>
      </c>
      <c r="M4" s="188">
        <v>1</v>
      </c>
      <c r="N4" s="188">
        <v>1</v>
      </c>
      <c r="O4" s="188">
        <v>1</v>
      </c>
      <c r="P4" s="188">
        <v>1</v>
      </c>
      <c r="Q4" s="188">
        <v>1</v>
      </c>
      <c r="R4" s="188">
        <v>1</v>
      </c>
      <c r="S4" s="188">
        <v>1</v>
      </c>
      <c r="T4" s="188">
        <v>1</v>
      </c>
      <c r="U4" s="188">
        <v>1</v>
      </c>
      <c r="V4" s="188">
        <v>1</v>
      </c>
      <c r="W4" s="188">
        <v>1</v>
      </c>
      <c r="X4" s="188">
        <v>1</v>
      </c>
      <c r="Y4" s="188">
        <v>1</v>
      </c>
      <c r="Z4" s="188">
        <v>1</v>
      </c>
      <c r="AA4" s="188">
        <v>1</v>
      </c>
      <c r="AB4" s="188">
        <v>0</v>
      </c>
      <c r="AC4" s="188">
        <v>1</v>
      </c>
      <c r="AD4" s="188">
        <v>1</v>
      </c>
      <c r="AE4" s="188">
        <v>1</v>
      </c>
      <c r="AF4" s="191">
        <v>2</v>
      </c>
      <c r="AG4" s="183">
        <v>23</v>
      </c>
      <c r="AH4" s="5" t="s">
        <v>1851</v>
      </c>
      <c r="AI4" s="5" t="s">
        <v>1658</v>
      </c>
      <c r="AM4" s="5" t="s">
        <v>1672</v>
      </c>
      <c r="AO4" s="5" t="s">
        <v>1672</v>
      </c>
    </row>
    <row r="5" spans="1:41" ht="15" customHeight="1" x14ac:dyDescent="0.2">
      <c r="A5" s="141" t="s">
        <v>313</v>
      </c>
      <c r="B5" s="137" t="s">
        <v>1759</v>
      </c>
      <c r="C5" s="141">
        <v>2015</v>
      </c>
      <c r="D5" s="183">
        <v>2</v>
      </c>
      <c r="E5" s="135">
        <v>2388</v>
      </c>
      <c r="F5" s="184" t="s">
        <v>646</v>
      </c>
      <c r="G5" s="185">
        <v>0</v>
      </c>
      <c r="H5" s="185">
        <v>0</v>
      </c>
      <c r="I5" s="185">
        <v>1</v>
      </c>
      <c r="J5" s="185">
        <v>1</v>
      </c>
      <c r="K5" s="185">
        <v>0</v>
      </c>
      <c r="L5" s="185">
        <v>0</v>
      </c>
      <c r="M5" s="185">
        <v>0</v>
      </c>
      <c r="N5" s="185">
        <v>0</v>
      </c>
      <c r="O5" s="185">
        <v>0</v>
      </c>
      <c r="P5" s="185">
        <v>0</v>
      </c>
      <c r="Q5" s="185">
        <v>0</v>
      </c>
      <c r="R5" s="185">
        <v>0</v>
      </c>
      <c r="S5" s="185">
        <v>0</v>
      </c>
      <c r="T5" s="185">
        <v>0</v>
      </c>
      <c r="U5" s="185">
        <v>0</v>
      </c>
      <c r="V5" s="185">
        <v>0</v>
      </c>
      <c r="W5" s="185">
        <v>0</v>
      </c>
      <c r="X5" s="185">
        <v>0</v>
      </c>
      <c r="Y5" s="185">
        <v>0</v>
      </c>
      <c r="Z5" s="185">
        <v>0</v>
      </c>
      <c r="AA5" s="185">
        <v>0</v>
      </c>
      <c r="AB5" s="185">
        <v>0</v>
      </c>
      <c r="AC5" s="185">
        <v>0</v>
      </c>
      <c r="AD5" s="185">
        <v>0</v>
      </c>
      <c r="AE5" s="185">
        <v>0</v>
      </c>
      <c r="AF5" s="186">
        <v>0.1</v>
      </c>
      <c r="AG5" s="183">
        <v>2</v>
      </c>
      <c r="AI5" s="5" t="s">
        <v>1655</v>
      </c>
      <c r="AL5" s="5" t="s">
        <v>1668</v>
      </c>
      <c r="AM5" s="5" t="s">
        <v>1671</v>
      </c>
      <c r="AO5" s="5" t="s">
        <v>1671</v>
      </c>
    </row>
    <row r="6" spans="1:41" ht="15" customHeight="1" x14ac:dyDescent="0.2">
      <c r="A6" s="136" t="s">
        <v>313</v>
      </c>
      <c r="B6" s="137" t="s">
        <v>1759</v>
      </c>
      <c r="C6" s="136">
        <v>2015</v>
      </c>
      <c r="D6" s="136">
        <v>2</v>
      </c>
      <c r="E6" s="135">
        <v>541</v>
      </c>
      <c r="F6" s="192" t="s">
        <v>1313</v>
      </c>
      <c r="G6" s="136">
        <v>1</v>
      </c>
      <c r="H6" s="136">
        <v>1</v>
      </c>
      <c r="I6" s="136">
        <v>1</v>
      </c>
      <c r="J6" s="136">
        <v>1</v>
      </c>
      <c r="K6" s="136">
        <v>1</v>
      </c>
      <c r="L6" s="136">
        <v>1</v>
      </c>
      <c r="M6" s="136">
        <v>1</v>
      </c>
      <c r="N6" s="136">
        <v>1</v>
      </c>
      <c r="O6" s="136">
        <v>1</v>
      </c>
      <c r="P6" s="136">
        <v>1</v>
      </c>
      <c r="Q6" s="136">
        <v>1</v>
      </c>
      <c r="R6" s="136">
        <v>1</v>
      </c>
      <c r="S6" s="136">
        <v>1</v>
      </c>
      <c r="T6" s="136">
        <v>0</v>
      </c>
      <c r="U6" s="136">
        <v>0</v>
      </c>
      <c r="V6" s="136">
        <v>1</v>
      </c>
      <c r="W6" s="136">
        <v>1</v>
      </c>
      <c r="X6" s="136">
        <v>1</v>
      </c>
      <c r="Y6" s="136">
        <v>1</v>
      </c>
      <c r="Z6" s="136">
        <v>0</v>
      </c>
      <c r="AA6" s="136">
        <v>1</v>
      </c>
      <c r="AB6" s="136">
        <v>1</v>
      </c>
      <c r="AC6" s="136">
        <v>1</v>
      </c>
      <c r="AD6" s="136">
        <v>1</v>
      </c>
      <c r="AE6" s="136">
        <v>1</v>
      </c>
      <c r="AF6" s="139">
        <v>30</v>
      </c>
      <c r="AG6" s="183">
        <v>22</v>
      </c>
      <c r="AH6" s="140"/>
      <c r="AI6" s="140"/>
      <c r="AJ6" s="140"/>
      <c r="AK6" s="140"/>
      <c r="AL6" s="140"/>
      <c r="AM6" s="140"/>
      <c r="AN6" s="140"/>
      <c r="AO6" s="140"/>
    </row>
    <row r="7" spans="1:41" ht="15" customHeight="1" x14ac:dyDescent="0.2">
      <c r="A7" s="141" t="s">
        <v>313</v>
      </c>
      <c r="B7" s="137" t="s">
        <v>1759</v>
      </c>
      <c r="C7" s="141">
        <v>2015</v>
      </c>
      <c r="D7" s="183">
        <v>2</v>
      </c>
      <c r="E7" s="135">
        <v>2416</v>
      </c>
      <c r="F7" s="184" t="s">
        <v>640</v>
      </c>
      <c r="G7" s="185">
        <v>0</v>
      </c>
      <c r="H7" s="185">
        <v>1</v>
      </c>
      <c r="I7" s="185">
        <v>0</v>
      </c>
      <c r="J7" s="185">
        <v>1</v>
      </c>
      <c r="K7" s="185">
        <v>1</v>
      </c>
      <c r="L7" s="185">
        <v>1</v>
      </c>
      <c r="M7" s="185">
        <v>1</v>
      </c>
      <c r="N7" s="185">
        <v>1</v>
      </c>
      <c r="O7" s="185">
        <v>1</v>
      </c>
      <c r="P7" s="185">
        <v>1</v>
      </c>
      <c r="Q7" s="185">
        <v>0</v>
      </c>
      <c r="R7" s="185">
        <v>0</v>
      </c>
      <c r="S7" s="185">
        <v>0</v>
      </c>
      <c r="T7" s="185">
        <v>0</v>
      </c>
      <c r="U7" s="185">
        <v>0</v>
      </c>
      <c r="V7" s="185">
        <v>0</v>
      </c>
      <c r="W7" s="185">
        <v>1</v>
      </c>
      <c r="X7" s="185">
        <v>1</v>
      </c>
      <c r="Y7" s="185">
        <v>0</v>
      </c>
      <c r="Z7" s="185">
        <v>0</v>
      </c>
      <c r="AA7" s="185">
        <v>1</v>
      </c>
      <c r="AB7" s="185">
        <v>1</v>
      </c>
      <c r="AC7" s="185">
        <v>1</v>
      </c>
      <c r="AD7" s="185">
        <v>1</v>
      </c>
      <c r="AE7" s="185">
        <v>1</v>
      </c>
      <c r="AF7" s="186">
        <v>0.1</v>
      </c>
      <c r="AG7" s="183">
        <v>15</v>
      </c>
      <c r="AI7" s="5" t="s">
        <v>1655</v>
      </c>
      <c r="AL7" s="5" t="s">
        <v>1668</v>
      </c>
      <c r="AM7" s="5" t="s">
        <v>1671</v>
      </c>
      <c r="AO7" s="5" t="s">
        <v>1671</v>
      </c>
    </row>
    <row r="8" spans="1:41" ht="15" customHeight="1" x14ac:dyDescent="0.2">
      <c r="A8" s="141" t="s">
        <v>313</v>
      </c>
      <c r="B8" s="137" t="s">
        <v>1759</v>
      </c>
      <c r="C8" s="141">
        <v>2015</v>
      </c>
      <c r="D8" s="183">
        <v>2</v>
      </c>
      <c r="E8" s="135">
        <v>971</v>
      </c>
      <c r="F8" s="184" t="s">
        <v>1125</v>
      </c>
      <c r="G8" s="185">
        <v>0</v>
      </c>
      <c r="H8" s="185">
        <v>1</v>
      </c>
      <c r="I8" s="185">
        <v>1</v>
      </c>
      <c r="J8" s="185">
        <v>1</v>
      </c>
      <c r="K8" s="185">
        <v>1</v>
      </c>
      <c r="L8" s="185">
        <v>0</v>
      </c>
      <c r="M8" s="185">
        <v>0</v>
      </c>
      <c r="N8" s="185">
        <v>0</v>
      </c>
      <c r="O8" s="185">
        <v>1</v>
      </c>
      <c r="P8" s="185">
        <v>0</v>
      </c>
      <c r="Q8" s="185">
        <v>1</v>
      </c>
      <c r="R8" s="185">
        <v>1</v>
      </c>
      <c r="S8" s="185">
        <v>0</v>
      </c>
      <c r="T8" s="185">
        <v>0</v>
      </c>
      <c r="U8" s="185">
        <v>0</v>
      </c>
      <c r="V8" s="185">
        <v>1</v>
      </c>
      <c r="W8" s="185">
        <v>1</v>
      </c>
      <c r="X8" s="185">
        <v>1</v>
      </c>
      <c r="Y8" s="185">
        <v>1</v>
      </c>
      <c r="Z8" s="185">
        <v>0</v>
      </c>
      <c r="AA8" s="185">
        <v>1</v>
      </c>
      <c r="AB8" s="185">
        <v>1</v>
      </c>
      <c r="AC8" s="185">
        <v>0</v>
      </c>
      <c r="AD8" s="185">
        <v>1</v>
      </c>
      <c r="AE8" s="185">
        <v>0</v>
      </c>
      <c r="AF8" s="186">
        <v>1</v>
      </c>
      <c r="AG8" s="183">
        <v>14</v>
      </c>
    </row>
    <row r="9" spans="1:41" ht="15" customHeight="1" x14ac:dyDescent="0.2">
      <c r="A9" s="141" t="s">
        <v>313</v>
      </c>
      <c r="B9" s="137" t="s">
        <v>1759</v>
      </c>
      <c r="C9" s="141">
        <v>2015</v>
      </c>
      <c r="D9" s="183">
        <v>2</v>
      </c>
      <c r="E9" s="135">
        <v>1894</v>
      </c>
      <c r="F9" s="184" t="s">
        <v>795</v>
      </c>
      <c r="G9" s="185">
        <v>1</v>
      </c>
      <c r="H9" s="185">
        <v>1</v>
      </c>
      <c r="I9" s="185">
        <v>1</v>
      </c>
      <c r="J9" s="185">
        <v>1</v>
      </c>
      <c r="K9" s="185">
        <v>1</v>
      </c>
      <c r="L9" s="185">
        <v>1</v>
      </c>
      <c r="M9" s="185">
        <v>1</v>
      </c>
      <c r="N9" s="185">
        <v>1</v>
      </c>
      <c r="O9" s="185">
        <v>1</v>
      </c>
      <c r="P9" s="185">
        <v>1</v>
      </c>
      <c r="Q9" s="185">
        <v>1</v>
      </c>
      <c r="R9" s="185">
        <v>1</v>
      </c>
      <c r="S9" s="185">
        <v>1</v>
      </c>
      <c r="T9" s="185">
        <v>1</v>
      </c>
      <c r="U9" s="185">
        <v>1</v>
      </c>
      <c r="V9" s="185">
        <v>1</v>
      </c>
      <c r="W9" s="185">
        <v>1</v>
      </c>
      <c r="X9" s="185">
        <v>1</v>
      </c>
      <c r="Y9" s="185">
        <v>1</v>
      </c>
      <c r="Z9" s="185">
        <v>1</v>
      </c>
      <c r="AA9" s="185">
        <v>1</v>
      </c>
      <c r="AB9" s="185">
        <v>0</v>
      </c>
      <c r="AC9" s="185">
        <v>1</v>
      </c>
      <c r="AD9" s="185">
        <v>1</v>
      </c>
      <c r="AE9" s="185">
        <v>1</v>
      </c>
      <c r="AF9" s="186">
        <v>2</v>
      </c>
      <c r="AG9" s="183">
        <v>24</v>
      </c>
    </row>
    <row r="10" spans="1:41" ht="15" customHeight="1" x14ac:dyDescent="0.2">
      <c r="A10" s="141" t="s">
        <v>313</v>
      </c>
      <c r="B10" s="137" t="s">
        <v>1759</v>
      </c>
      <c r="C10" s="141">
        <v>2015</v>
      </c>
      <c r="D10" s="183">
        <v>2</v>
      </c>
      <c r="E10" s="135">
        <v>1066</v>
      </c>
      <c r="F10" s="184" t="s">
        <v>1082</v>
      </c>
      <c r="G10" s="185">
        <v>0</v>
      </c>
      <c r="H10" s="185">
        <v>0</v>
      </c>
      <c r="I10" s="185">
        <v>0</v>
      </c>
      <c r="J10" s="185">
        <v>0</v>
      </c>
      <c r="K10" s="185">
        <v>1</v>
      </c>
      <c r="L10" s="185">
        <v>0</v>
      </c>
      <c r="M10" s="185">
        <v>0</v>
      </c>
      <c r="N10" s="185">
        <v>0</v>
      </c>
      <c r="O10" s="185">
        <v>1</v>
      </c>
      <c r="P10" s="185">
        <v>1</v>
      </c>
      <c r="Q10" s="185">
        <v>1</v>
      </c>
      <c r="R10" s="185">
        <v>0</v>
      </c>
      <c r="S10" s="185">
        <v>0</v>
      </c>
      <c r="T10" s="185">
        <v>1</v>
      </c>
      <c r="U10" s="185">
        <v>1</v>
      </c>
      <c r="V10" s="185">
        <v>0</v>
      </c>
      <c r="W10" s="185">
        <v>0</v>
      </c>
      <c r="X10" s="185">
        <v>0</v>
      </c>
      <c r="Y10" s="185">
        <v>1</v>
      </c>
      <c r="Z10" s="185">
        <v>0</v>
      </c>
      <c r="AA10" s="185">
        <v>0</v>
      </c>
      <c r="AB10" s="185">
        <v>1</v>
      </c>
      <c r="AC10" s="185">
        <v>0</v>
      </c>
      <c r="AD10" s="185">
        <v>0</v>
      </c>
      <c r="AE10" s="185">
        <v>0</v>
      </c>
      <c r="AF10" s="186">
        <v>8</v>
      </c>
      <c r="AG10" s="183">
        <v>8</v>
      </c>
    </row>
    <row r="11" spans="1:41" ht="15" customHeight="1" x14ac:dyDescent="0.2">
      <c r="A11" s="141" t="s">
        <v>313</v>
      </c>
      <c r="B11" s="137" t="s">
        <v>1759</v>
      </c>
      <c r="C11" s="141">
        <v>2015</v>
      </c>
      <c r="D11" s="183">
        <v>3</v>
      </c>
      <c r="E11" s="135">
        <v>2607</v>
      </c>
      <c r="F11" s="184" t="s">
        <v>616</v>
      </c>
      <c r="G11" s="185">
        <v>1</v>
      </c>
      <c r="H11" s="185">
        <v>0</v>
      </c>
      <c r="I11" s="185">
        <v>0</v>
      </c>
      <c r="J11" s="185">
        <v>0</v>
      </c>
      <c r="K11" s="185">
        <v>0</v>
      </c>
      <c r="L11" s="185">
        <v>0</v>
      </c>
      <c r="M11" s="185">
        <v>0</v>
      </c>
      <c r="N11" s="185">
        <v>0</v>
      </c>
      <c r="O11" s="185">
        <v>0</v>
      </c>
      <c r="P11" s="185">
        <v>0</v>
      </c>
      <c r="Q11" s="185">
        <v>0</v>
      </c>
      <c r="R11" s="185">
        <v>0</v>
      </c>
      <c r="S11" s="185">
        <v>0</v>
      </c>
      <c r="T11" s="185">
        <v>0</v>
      </c>
      <c r="U11" s="185">
        <v>0</v>
      </c>
      <c r="V11" s="185">
        <v>0</v>
      </c>
      <c r="W11" s="185">
        <v>0</v>
      </c>
      <c r="X11" s="185">
        <v>0</v>
      </c>
      <c r="Y11" s="185">
        <v>0</v>
      </c>
      <c r="Z11" s="185">
        <v>0</v>
      </c>
      <c r="AA11" s="185">
        <v>0</v>
      </c>
      <c r="AB11" s="185">
        <v>0</v>
      </c>
      <c r="AC11" s="185">
        <v>0</v>
      </c>
      <c r="AD11" s="185">
        <v>0</v>
      </c>
      <c r="AE11" s="185">
        <v>0</v>
      </c>
      <c r="AF11" s="186">
        <v>0.1</v>
      </c>
      <c r="AG11" s="183">
        <v>1</v>
      </c>
      <c r="AI11" s="5" t="s">
        <v>1655</v>
      </c>
      <c r="AL11" s="5" t="s">
        <v>1668</v>
      </c>
      <c r="AO11" s="5" t="s">
        <v>1668</v>
      </c>
    </row>
    <row r="12" spans="1:41" ht="15" customHeight="1" x14ac:dyDescent="0.2">
      <c r="A12" s="141" t="s">
        <v>313</v>
      </c>
      <c r="B12" s="137" t="s">
        <v>1759</v>
      </c>
      <c r="C12" s="141">
        <v>2015</v>
      </c>
      <c r="D12" s="183">
        <v>3</v>
      </c>
      <c r="E12" s="135">
        <v>278</v>
      </c>
      <c r="F12" s="184" t="s">
        <v>132</v>
      </c>
      <c r="G12" s="185">
        <v>0</v>
      </c>
      <c r="H12" s="185">
        <v>0</v>
      </c>
      <c r="I12" s="185">
        <v>0</v>
      </c>
      <c r="J12" s="185">
        <v>0</v>
      </c>
      <c r="K12" s="185">
        <v>1</v>
      </c>
      <c r="L12" s="185">
        <v>0</v>
      </c>
      <c r="M12" s="185">
        <v>0</v>
      </c>
      <c r="N12" s="185">
        <v>0</v>
      </c>
      <c r="O12" s="185">
        <v>0</v>
      </c>
      <c r="P12" s="185">
        <v>0</v>
      </c>
      <c r="Q12" s="185">
        <v>0</v>
      </c>
      <c r="R12" s="185">
        <v>1</v>
      </c>
      <c r="S12" s="185">
        <v>0</v>
      </c>
      <c r="T12" s="185">
        <v>0</v>
      </c>
      <c r="U12" s="185">
        <v>0</v>
      </c>
      <c r="V12" s="185">
        <v>0</v>
      </c>
      <c r="W12" s="185">
        <v>0</v>
      </c>
      <c r="X12" s="185">
        <v>0</v>
      </c>
      <c r="Y12" s="185">
        <v>0</v>
      </c>
      <c r="Z12" s="185">
        <v>0</v>
      </c>
      <c r="AA12" s="185">
        <v>0</v>
      </c>
      <c r="AB12" s="185">
        <v>0</v>
      </c>
      <c r="AC12" s="185">
        <v>0</v>
      </c>
      <c r="AD12" s="185">
        <v>0</v>
      </c>
      <c r="AE12" s="185">
        <v>0</v>
      </c>
      <c r="AF12" s="186">
        <v>1</v>
      </c>
      <c r="AG12" s="183">
        <v>2</v>
      </c>
    </row>
    <row r="13" spans="1:41" ht="15" customHeight="1" x14ac:dyDescent="0.2">
      <c r="A13" s="141" t="s">
        <v>313</v>
      </c>
      <c r="B13" s="187" t="s">
        <v>1759</v>
      </c>
      <c r="C13" s="141">
        <v>2015</v>
      </c>
      <c r="D13" s="188">
        <v>3</v>
      </c>
      <c r="E13" s="135">
        <v>1576</v>
      </c>
      <c r="F13" s="192" t="s">
        <v>882</v>
      </c>
      <c r="G13" s="188">
        <v>0</v>
      </c>
      <c r="H13" s="188">
        <v>1</v>
      </c>
      <c r="I13" s="188">
        <v>1</v>
      </c>
      <c r="J13" s="188">
        <v>1</v>
      </c>
      <c r="K13" s="188">
        <v>0</v>
      </c>
      <c r="L13" s="188">
        <v>0</v>
      </c>
      <c r="M13" s="188">
        <v>1</v>
      </c>
      <c r="N13" s="188">
        <v>1</v>
      </c>
      <c r="O13" s="188">
        <v>0</v>
      </c>
      <c r="P13" s="188">
        <v>0</v>
      </c>
      <c r="Q13" s="188">
        <v>0</v>
      </c>
      <c r="R13" s="188">
        <v>1</v>
      </c>
      <c r="S13" s="188">
        <v>1</v>
      </c>
      <c r="T13" s="188">
        <v>0</v>
      </c>
      <c r="U13" s="188">
        <v>1</v>
      </c>
      <c r="V13" s="188">
        <v>0</v>
      </c>
      <c r="W13" s="188">
        <v>1</v>
      </c>
      <c r="X13" s="188">
        <v>1</v>
      </c>
      <c r="Y13" s="188">
        <v>1</v>
      </c>
      <c r="Z13" s="188">
        <v>0</v>
      </c>
      <c r="AA13" s="188">
        <v>0</v>
      </c>
      <c r="AB13" s="188">
        <v>0</v>
      </c>
      <c r="AC13" s="188">
        <v>1</v>
      </c>
      <c r="AD13" s="188">
        <v>1</v>
      </c>
      <c r="AE13" s="188">
        <v>1</v>
      </c>
      <c r="AF13" s="191">
        <v>8</v>
      </c>
      <c r="AG13" s="183">
        <v>14</v>
      </c>
    </row>
    <row r="14" spans="1:41" ht="15" customHeight="1" x14ac:dyDescent="0.2">
      <c r="A14" s="141" t="s">
        <v>313</v>
      </c>
      <c r="B14" s="187" t="s">
        <v>1759</v>
      </c>
      <c r="C14" s="141">
        <v>2015</v>
      </c>
      <c r="D14" s="183">
        <v>3</v>
      </c>
      <c r="E14" s="135">
        <v>2359</v>
      </c>
      <c r="F14" s="184" t="s">
        <v>665</v>
      </c>
      <c r="G14" s="185">
        <v>0</v>
      </c>
      <c r="H14" s="185">
        <v>1</v>
      </c>
      <c r="I14" s="185">
        <v>1</v>
      </c>
      <c r="J14" s="185">
        <v>1</v>
      </c>
      <c r="K14" s="185">
        <v>1</v>
      </c>
      <c r="L14" s="185">
        <v>0</v>
      </c>
      <c r="M14" s="185">
        <v>0</v>
      </c>
      <c r="N14" s="185">
        <v>0</v>
      </c>
      <c r="O14" s="185">
        <v>0</v>
      </c>
      <c r="P14" s="185">
        <v>0</v>
      </c>
      <c r="Q14" s="185">
        <v>0</v>
      </c>
      <c r="R14" s="185">
        <v>0</v>
      </c>
      <c r="S14" s="185">
        <v>1</v>
      </c>
      <c r="T14" s="185">
        <v>0</v>
      </c>
      <c r="U14" s="185">
        <v>0</v>
      </c>
      <c r="V14" s="185">
        <v>0</v>
      </c>
      <c r="W14" s="185">
        <v>0</v>
      </c>
      <c r="X14" s="185">
        <v>1</v>
      </c>
      <c r="Y14" s="185">
        <v>0</v>
      </c>
      <c r="Z14" s="185">
        <v>0</v>
      </c>
      <c r="AA14" s="185">
        <v>0</v>
      </c>
      <c r="AB14" s="185">
        <v>0</v>
      </c>
      <c r="AC14" s="185">
        <v>1</v>
      </c>
      <c r="AD14" s="185">
        <v>0</v>
      </c>
      <c r="AE14" s="185">
        <v>0</v>
      </c>
      <c r="AF14" s="186">
        <v>0.1</v>
      </c>
      <c r="AG14" s="183">
        <v>7</v>
      </c>
      <c r="AI14" s="5" t="s">
        <v>1655</v>
      </c>
      <c r="AL14" s="5" t="s">
        <v>1668</v>
      </c>
      <c r="AO14" s="5" t="s">
        <v>1668</v>
      </c>
    </row>
    <row r="15" spans="1:41" ht="15" customHeight="1" x14ac:dyDescent="0.2">
      <c r="A15" s="141" t="s">
        <v>313</v>
      </c>
      <c r="B15" s="187" t="s">
        <v>1759</v>
      </c>
      <c r="C15" s="141">
        <v>2015</v>
      </c>
      <c r="D15" s="183">
        <v>3</v>
      </c>
      <c r="E15" s="135">
        <v>2362</v>
      </c>
      <c r="F15" s="184" t="s">
        <v>663</v>
      </c>
      <c r="G15" s="185">
        <v>0</v>
      </c>
      <c r="H15" s="185">
        <v>0</v>
      </c>
      <c r="I15" s="185">
        <v>0</v>
      </c>
      <c r="J15" s="185">
        <v>0</v>
      </c>
      <c r="K15" s="185">
        <v>0</v>
      </c>
      <c r="L15" s="185">
        <v>0</v>
      </c>
      <c r="M15" s="185">
        <v>0</v>
      </c>
      <c r="N15" s="185">
        <v>0</v>
      </c>
      <c r="O15" s="185">
        <v>0</v>
      </c>
      <c r="P15" s="185">
        <v>1</v>
      </c>
      <c r="Q15" s="185">
        <v>0</v>
      </c>
      <c r="R15" s="185">
        <v>0</v>
      </c>
      <c r="S15" s="185">
        <v>0</v>
      </c>
      <c r="T15" s="185">
        <v>0</v>
      </c>
      <c r="U15" s="185">
        <v>0</v>
      </c>
      <c r="V15" s="185">
        <v>0</v>
      </c>
      <c r="W15" s="185">
        <v>0</v>
      </c>
      <c r="X15" s="185">
        <v>0</v>
      </c>
      <c r="Y15" s="185">
        <v>0</v>
      </c>
      <c r="Z15" s="185">
        <v>0</v>
      </c>
      <c r="AA15" s="185">
        <v>0</v>
      </c>
      <c r="AB15" s="185">
        <v>0</v>
      </c>
      <c r="AC15" s="185">
        <v>1</v>
      </c>
      <c r="AD15" s="185">
        <v>0</v>
      </c>
      <c r="AE15" s="185">
        <v>0</v>
      </c>
      <c r="AF15" s="186">
        <v>0.1</v>
      </c>
      <c r="AG15" s="183">
        <v>2</v>
      </c>
      <c r="AI15" s="5" t="s">
        <v>1655</v>
      </c>
      <c r="AL15" s="5" t="s">
        <v>1668</v>
      </c>
      <c r="AO15" s="5" t="s">
        <v>1668</v>
      </c>
    </row>
    <row r="16" spans="1:41" ht="15" customHeight="1" x14ac:dyDescent="0.2">
      <c r="A16" s="141" t="s">
        <v>313</v>
      </c>
      <c r="B16" s="187" t="s">
        <v>1759</v>
      </c>
      <c r="C16" s="141">
        <v>2015</v>
      </c>
      <c r="D16" s="183">
        <v>3</v>
      </c>
      <c r="E16" s="135">
        <v>478</v>
      </c>
      <c r="F16" s="184" t="s">
        <v>24</v>
      </c>
      <c r="G16" s="185">
        <v>1</v>
      </c>
      <c r="H16" s="185">
        <v>1</v>
      </c>
      <c r="I16" s="185">
        <v>1</v>
      </c>
      <c r="J16" s="185">
        <v>1</v>
      </c>
      <c r="K16" s="185">
        <v>1</v>
      </c>
      <c r="L16" s="185">
        <v>1</v>
      </c>
      <c r="M16" s="185">
        <v>1</v>
      </c>
      <c r="N16" s="185">
        <v>1</v>
      </c>
      <c r="O16" s="185">
        <v>1</v>
      </c>
      <c r="P16" s="185">
        <v>1</v>
      </c>
      <c r="Q16" s="185">
        <v>1</v>
      </c>
      <c r="R16" s="185">
        <v>1</v>
      </c>
      <c r="S16" s="185">
        <v>1</v>
      </c>
      <c r="T16" s="185">
        <v>1</v>
      </c>
      <c r="U16" s="185">
        <v>1</v>
      </c>
      <c r="V16" s="185">
        <v>1</v>
      </c>
      <c r="W16" s="185">
        <v>1</v>
      </c>
      <c r="X16" s="185">
        <v>1</v>
      </c>
      <c r="Y16" s="185">
        <v>1</v>
      </c>
      <c r="Z16" s="185">
        <v>1</v>
      </c>
      <c r="AA16" s="185">
        <v>1</v>
      </c>
      <c r="AB16" s="185">
        <v>0</v>
      </c>
      <c r="AC16" s="185">
        <v>1</v>
      </c>
      <c r="AD16" s="185">
        <v>1</v>
      </c>
      <c r="AE16" s="185">
        <v>1</v>
      </c>
      <c r="AF16" s="186">
        <v>20</v>
      </c>
      <c r="AG16" s="183">
        <v>24</v>
      </c>
      <c r="AH16" s="5" t="s">
        <v>1780</v>
      </c>
      <c r="AI16" s="5" t="s">
        <v>1659</v>
      </c>
    </row>
    <row r="17" spans="1:41" ht="15" customHeight="1" x14ac:dyDescent="0.2">
      <c r="A17" s="141" t="s">
        <v>313</v>
      </c>
      <c r="B17" s="187" t="s">
        <v>1759</v>
      </c>
      <c r="C17" s="141">
        <v>2015</v>
      </c>
      <c r="D17" s="183">
        <v>3</v>
      </c>
      <c r="E17" s="135">
        <v>1638</v>
      </c>
      <c r="F17" s="184" t="s">
        <v>861</v>
      </c>
      <c r="G17" s="185">
        <v>1</v>
      </c>
      <c r="H17" s="185">
        <v>0</v>
      </c>
      <c r="I17" s="185">
        <v>1</v>
      </c>
      <c r="J17" s="185">
        <v>1</v>
      </c>
      <c r="K17" s="185">
        <v>0</v>
      </c>
      <c r="L17" s="185">
        <v>1</v>
      </c>
      <c r="M17" s="185">
        <v>0</v>
      </c>
      <c r="N17" s="185">
        <v>0</v>
      </c>
      <c r="O17" s="185">
        <v>1</v>
      </c>
      <c r="P17" s="185">
        <v>0</v>
      </c>
      <c r="Q17" s="185">
        <v>1</v>
      </c>
      <c r="R17" s="185">
        <v>1</v>
      </c>
      <c r="S17" s="185">
        <v>1</v>
      </c>
      <c r="T17" s="185">
        <v>1</v>
      </c>
      <c r="U17" s="185">
        <v>0</v>
      </c>
      <c r="V17" s="185">
        <v>1</v>
      </c>
      <c r="W17" s="185">
        <v>0</v>
      </c>
      <c r="X17" s="185">
        <v>1</v>
      </c>
      <c r="Y17" s="185">
        <v>0</v>
      </c>
      <c r="Z17" s="185">
        <v>0</v>
      </c>
      <c r="AA17" s="185">
        <v>0</v>
      </c>
      <c r="AB17" s="185">
        <v>0</v>
      </c>
      <c r="AC17" s="185">
        <v>1</v>
      </c>
      <c r="AD17" s="185">
        <v>1</v>
      </c>
      <c r="AE17" s="185">
        <v>0</v>
      </c>
      <c r="AF17" s="186">
        <v>2</v>
      </c>
      <c r="AG17" s="183">
        <v>13</v>
      </c>
    </row>
    <row r="18" spans="1:41" ht="15" customHeight="1" x14ac:dyDescent="0.2">
      <c r="A18" s="141" t="s">
        <v>313</v>
      </c>
      <c r="B18" s="137" t="s">
        <v>1759</v>
      </c>
      <c r="C18" s="141">
        <v>2015</v>
      </c>
      <c r="D18" s="183">
        <v>3</v>
      </c>
      <c r="E18" s="135">
        <v>541</v>
      </c>
      <c r="F18" s="184" t="s">
        <v>1313</v>
      </c>
      <c r="G18" s="185">
        <v>1</v>
      </c>
      <c r="H18" s="185">
        <v>1</v>
      </c>
      <c r="I18" s="185">
        <v>1</v>
      </c>
      <c r="J18" s="185">
        <v>1</v>
      </c>
      <c r="K18" s="185">
        <v>1</v>
      </c>
      <c r="L18" s="185">
        <v>0</v>
      </c>
      <c r="M18" s="185">
        <v>1</v>
      </c>
      <c r="N18" s="185">
        <v>1</v>
      </c>
      <c r="O18" s="185">
        <v>1</v>
      </c>
      <c r="P18" s="185">
        <v>1</v>
      </c>
      <c r="Q18" s="185">
        <v>1</v>
      </c>
      <c r="R18" s="185">
        <v>1</v>
      </c>
      <c r="S18" s="185">
        <v>1</v>
      </c>
      <c r="T18" s="185">
        <v>1</v>
      </c>
      <c r="U18" s="185">
        <v>1</v>
      </c>
      <c r="V18" s="185">
        <v>1</v>
      </c>
      <c r="W18" s="185">
        <v>1</v>
      </c>
      <c r="X18" s="185">
        <v>1</v>
      </c>
      <c r="Y18" s="185">
        <v>1</v>
      </c>
      <c r="Z18" s="185">
        <v>1</v>
      </c>
      <c r="AA18" s="185">
        <v>1</v>
      </c>
      <c r="AB18" s="185">
        <v>1</v>
      </c>
      <c r="AC18" s="185">
        <v>0</v>
      </c>
      <c r="AD18" s="185">
        <v>1</v>
      </c>
      <c r="AE18" s="185">
        <v>1</v>
      </c>
      <c r="AF18" s="186">
        <v>25</v>
      </c>
      <c r="AG18" s="183">
        <v>23</v>
      </c>
    </row>
    <row r="19" spans="1:41" ht="15" customHeight="1" x14ac:dyDescent="0.2">
      <c r="A19" s="141" t="s">
        <v>313</v>
      </c>
      <c r="B19" s="187" t="s">
        <v>1759</v>
      </c>
      <c r="C19" s="141">
        <v>2015</v>
      </c>
      <c r="D19" s="183">
        <v>3</v>
      </c>
      <c r="E19" s="135">
        <v>2695</v>
      </c>
      <c r="F19" s="184" t="s">
        <v>569</v>
      </c>
      <c r="G19" s="185">
        <v>1</v>
      </c>
      <c r="H19" s="185">
        <v>0</v>
      </c>
      <c r="I19" s="185">
        <v>1</v>
      </c>
      <c r="J19" s="185">
        <v>1</v>
      </c>
      <c r="K19" s="185">
        <v>1</v>
      </c>
      <c r="L19" s="185">
        <v>0</v>
      </c>
      <c r="M19" s="185">
        <v>1</v>
      </c>
      <c r="N19" s="185">
        <v>1</v>
      </c>
      <c r="O19" s="185">
        <v>0</v>
      </c>
      <c r="P19" s="185">
        <v>0</v>
      </c>
      <c r="Q19" s="185">
        <v>1</v>
      </c>
      <c r="R19" s="185">
        <v>1</v>
      </c>
      <c r="S19" s="185">
        <v>1</v>
      </c>
      <c r="T19" s="185">
        <v>1</v>
      </c>
      <c r="U19" s="185">
        <v>1</v>
      </c>
      <c r="V19" s="185">
        <v>0</v>
      </c>
      <c r="W19" s="185">
        <v>1</v>
      </c>
      <c r="X19" s="185">
        <v>1</v>
      </c>
      <c r="Y19" s="185">
        <v>1</v>
      </c>
      <c r="Z19" s="185">
        <v>1</v>
      </c>
      <c r="AA19" s="185">
        <v>0</v>
      </c>
      <c r="AB19" s="185">
        <v>0</v>
      </c>
      <c r="AC19" s="185">
        <v>1</v>
      </c>
      <c r="AD19" s="185">
        <v>0</v>
      </c>
      <c r="AE19" s="185">
        <v>0</v>
      </c>
      <c r="AF19" s="186">
        <v>5</v>
      </c>
      <c r="AG19" s="183">
        <v>16</v>
      </c>
    </row>
    <row r="20" spans="1:41" ht="15" customHeight="1" x14ac:dyDescent="0.2">
      <c r="A20" s="141" t="s">
        <v>313</v>
      </c>
      <c r="B20" s="137" t="s">
        <v>1759</v>
      </c>
      <c r="C20" s="141">
        <v>2015</v>
      </c>
      <c r="D20" s="183">
        <v>3</v>
      </c>
      <c r="E20" s="135">
        <v>2620</v>
      </c>
      <c r="F20" s="184" t="s">
        <v>605</v>
      </c>
      <c r="G20" s="185">
        <v>1</v>
      </c>
      <c r="H20" s="185">
        <v>1</v>
      </c>
      <c r="I20" s="185">
        <v>1</v>
      </c>
      <c r="J20" s="185">
        <v>0</v>
      </c>
      <c r="K20" s="185">
        <v>1</v>
      </c>
      <c r="L20" s="185">
        <v>1</v>
      </c>
      <c r="M20" s="185">
        <v>1</v>
      </c>
      <c r="N20" s="185">
        <v>1</v>
      </c>
      <c r="O20" s="185">
        <v>1</v>
      </c>
      <c r="P20" s="185">
        <v>0</v>
      </c>
      <c r="Q20" s="185">
        <v>1</v>
      </c>
      <c r="R20" s="185">
        <v>0</v>
      </c>
      <c r="S20" s="185">
        <v>0</v>
      </c>
      <c r="T20" s="185">
        <v>0</v>
      </c>
      <c r="U20" s="185">
        <v>0</v>
      </c>
      <c r="V20" s="185">
        <v>0</v>
      </c>
      <c r="W20" s="185">
        <v>0</v>
      </c>
      <c r="X20" s="185">
        <v>0</v>
      </c>
      <c r="Y20" s="185">
        <v>0</v>
      </c>
      <c r="Z20" s="185">
        <v>0</v>
      </c>
      <c r="AA20" s="185">
        <v>0</v>
      </c>
      <c r="AB20" s="185">
        <v>0</v>
      </c>
      <c r="AC20" s="185">
        <v>0</v>
      </c>
      <c r="AD20" s="185">
        <v>1</v>
      </c>
      <c r="AE20" s="185">
        <v>0</v>
      </c>
      <c r="AF20" s="186">
        <v>0.1</v>
      </c>
      <c r="AG20" s="183">
        <v>10</v>
      </c>
      <c r="AI20" s="5" t="s">
        <v>1655</v>
      </c>
      <c r="AL20" s="5" t="s">
        <v>1668</v>
      </c>
      <c r="AO20" s="5" t="s">
        <v>1668</v>
      </c>
    </row>
    <row r="21" spans="1:41" ht="15" customHeight="1" x14ac:dyDescent="0.2">
      <c r="A21" s="141" t="s">
        <v>313</v>
      </c>
      <c r="B21" s="187" t="s">
        <v>1759</v>
      </c>
      <c r="C21" s="141">
        <v>2015</v>
      </c>
      <c r="D21" s="183">
        <v>3</v>
      </c>
      <c r="E21" s="135">
        <v>1894</v>
      </c>
      <c r="F21" s="184" t="s">
        <v>795</v>
      </c>
      <c r="G21" s="185">
        <v>0</v>
      </c>
      <c r="H21" s="185">
        <v>1</v>
      </c>
      <c r="I21" s="185">
        <v>1</v>
      </c>
      <c r="J21" s="185">
        <v>1</v>
      </c>
      <c r="K21" s="185">
        <v>1</v>
      </c>
      <c r="L21" s="185">
        <v>0</v>
      </c>
      <c r="M21" s="185">
        <v>1</v>
      </c>
      <c r="N21" s="185">
        <v>1</v>
      </c>
      <c r="O21" s="185">
        <v>0</v>
      </c>
      <c r="P21" s="185">
        <v>0</v>
      </c>
      <c r="Q21" s="185">
        <v>0</v>
      </c>
      <c r="R21" s="185">
        <v>0</v>
      </c>
      <c r="S21" s="185">
        <v>0</v>
      </c>
      <c r="T21" s="185">
        <v>0</v>
      </c>
      <c r="U21" s="185">
        <v>0</v>
      </c>
      <c r="V21" s="185">
        <v>1</v>
      </c>
      <c r="W21" s="185">
        <v>0</v>
      </c>
      <c r="X21" s="185">
        <v>0</v>
      </c>
      <c r="Y21" s="185">
        <v>1</v>
      </c>
      <c r="Z21" s="185">
        <v>0</v>
      </c>
      <c r="AA21" s="185">
        <v>0</v>
      </c>
      <c r="AB21" s="185">
        <v>0</v>
      </c>
      <c r="AC21" s="185">
        <v>1</v>
      </c>
      <c r="AD21" s="185">
        <v>1</v>
      </c>
      <c r="AE21" s="185">
        <v>0</v>
      </c>
      <c r="AF21" s="186">
        <v>0.1</v>
      </c>
      <c r="AG21" s="183">
        <v>10</v>
      </c>
      <c r="AI21" s="5" t="s">
        <v>1655</v>
      </c>
      <c r="AL21" s="5" t="s">
        <v>1668</v>
      </c>
      <c r="AO21" s="5" t="s">
        <v>1668</v>
      </c>
    </row>
    <row r="22" spans="1:41" ht="15" customHeight="1" x14ac:dyDescent="0.2">
      <c r="A22" s="141" t="s">
        <v>313</v>
      </c>
      <c r="B22" s="187" t="s">
        <v>1759</v>
      </c>
      <c r="C22" s="141">
        <v>2015</v>
      </c>
      <c r="D22" s="183">
        <v>3</v>
      </c>
      <c r="E22" s="135">
        <v>1046</v>
      </c>
      <c r="F22" s="184" t="s">
        <v>1095</v>
      </c>
      <c r="G22" s="185">
        <v>0</v>
      </c>
      <c r="H22" s="185">
        <v>0</v>
      </c>
      <c r="I22" s="185">
        <v>0</v>
      </c>
      <c r="J22" s="185">
        <v>0</v>
      </c>
      <c r="K22" s="185">
        <v>0</v>
      </c>
      <c r="L22" s="185">
        <v>0</v>
      </c>
      <c r="M22" s="185">
        <v>0</v>
      </c>
      <c r="N22" s="185">
        <v>0</v>
      </c>
      <c r="O22" s="185">
        <v>0</v>
      </c>
      <c r="P22" s="185">
        <v>0</v>
      </c>
      <c r="Q22" s="185">
        <v>0</v>
      </c>
      <c r="R22" s="185">
        <v>0</v>
      </c>
      <c r="S22" s="185">
        <v>0</v>
      </c>
      <c r="T22" s="185">
        <v>0</v>
      </c>
      <c r="U22" s="185">
        <v>0</v>
      </c>
      <c r="V22" s="185">
        <v>0</v>
      </c>
      <c r="W22" s="185">
        <v>0</v>
      </c>
      <c r="X22" s="185">
        <v>0</v>
      </c>
      <c r="Y22" s="185">
        <v>0</v>
      </c>
      <c r="Z22" s="185">
        <v>0</v>
      </c>
      <c r="AA22" s="185">
        <v>0</v>
      </c>
      <c r="AB22" s="185">
        <v>0</v>
      </c>
      <c r="AC22" s="185">
        <v>0</v>
      </c>
      <c r="AD22" s="185">
        <v>0</v>
      </c>
      <c r="AE22" s="185">
        <v>1</v>
      </c>
      <c r="AF22" s="186">
        <v>0.1</v>
      </c>
      <c r="AG22" s="183">
        <v>1</v>
      </c>
    </row>
    <row r="23" spans="1:41" ht="15" customHeight="1" x14ac:dyDescent="0.2">
      <c r="A23" s="141" t="s">
        <v>313</v>
      </c>
      <c r="B23" s="187" t="s">
        <v>1759</v>
      </c>
      <c r="C23" s="141">
        <v>2015</v>
      </c>
      <c r="D23" s="183">
        <v>3</v>
      </c>
      <c r="E23" s="135">
        <v>1914</v>
      </c>
      <c r="F23" s="184" t="s">
        <v>791</v>
      </c>
      <c r="G23" s="185">
        <v>1</v>
      </c>
      <c r="H23" s="185">
        <v>1</v>
      </c>
      <c r="I23" s="185">
        <v>0</v>
      </c>
      <c r="J23" s="185">
        <v>0</v>
      </c>
      <c r="K23" s="185">
        <v>0</v>
      </c>
      <c r="L23" s="185">
        <v>1</v>
      </c>
      <c r="M23" s="185">
        <v>0</v>
      </c>
      <c r="N23" s="185">
        <v>0</v>
      </c>
      <c r="O23" s="185">
        <v>0</v>
      </c>
      <c r="P23" s="185">
        <v>0</v>
      </c>
      <c r="Q23" s="185">
        <v>1</v>
      </c>
      <c r="R23" s="185">
        <v>0</v>
      </c>
      <c r="S23" s="185">
        <v>0</v>
      </c>
      <c r="T23" s="185">
        <v>0</v>
      </c>
      <c r="U23" s="185">
        <v>1</v>
      </c>
      <c r="V23" s="185">
        <v>1</v>
      </c>
      <c r="W23" s="185">
        <v>1</v>
      </c>
      <c r="X23" s="185">
        <v>0</v>
      </c>
      <c r="Y23" s="185">
        <v>0</v>
      </c>
      <c r="Z23" s="185">
        <v>0</v>
      </c>
      <c r="AA23" s="185">
        <v>1</v>
      </c>
      <c r="AB23" s="185">
        <v>1</v>
      </c>
      <c r="AC23" s="185">
        <v>1</v>
      </c>
      <c r="AD23" s="185">
        <v>1</v>
      </c>
      <c r="AE23" s="185">
        <v>0</v>
      </c>
      <c r="AF23" s="186">
        <v>3</v>
      </c>
      <c r="AG23" s="183">
        <v>11</v>
      </c>
      <c r="AH23" s="4"/>
    </row>
    <row r="24" spans="1:41" ht="15" customHeight="1" x14ac:dyDescent="0.2">
      <c r="A24" s="141" t="s">
        <v>313</v>
      </c>
      <c r="B24" s="187" t="s">
        <v>1759</v>
      </c>
      <c r="C24" s="141">
        <v>2015</v>
      </c>
      <c r="D24" s="183">
        <v>6</v>
      </c>
      <c r="E24" s="135">
        <v>278</v>
      </c>
      <c r="F24" s="184" t="s">
        <v>132</v>
      </c>
      <c r="G24" s="185">
        <v>1</v>
      </c>
      <c r="H24" s="185">
        <v>1</v>
      </c>
      <c r="I24" s="185">
        <v>1</v>
      </c>
      <c r="J24" s="185">
        <v>1</v>
      </c>
      <c r="K24" s="185">
        <v>0</v>
      </c>
      <c r="L24" s="185">
        <v>1</v>
      </c>
      <c r="M24" s="185">
        <v>1</v>
      </c>
      <c r="N24" s="185">
        <v>1</v>
      </c>
      <c r="O24" s="185">
        <v>1</v>
      </c>
      <c r="P24" s="185">
        <v>0</v>
      </c>
      <c r="Q24" s="185">
        <v>0</v>
      </c>
      <c r="R24" s="185">
        <v>0</v>
      </c>
      <c r="S24" s="185">
        <v>0</v>
      </c>
      <c r="T24" s="185">
        <v>0</v>
      </c>
      <c r="U24" s="185">
        <v>0</v>
      </c>
      <c r="V24" s="185">
        <v>1</v>
      </c>
      <c r="W24" s="185">
        <v>0</v>
      </c>
      <c r="X24" s="185">
        <v>0</v>
      </c>
      <c r="Y24" s="185">
        <v>1</v>
      </c>
      <c r="Z24" s="185">
        <v>1</v>
      </c>
      <c r="AA24" s="185">
        <v>1</v>
      </c>
      <c r="AB24" s="185">
        <v>1</v>
      </c>
      <c r="AC24" s="185">
        <v>0</v>
      </c>
      <c r="AD24" s="185">
        <v>0</v>
      </c>
      <c r="AE24" s="185">
        <v>0</v>
      </c>
      <c r="AF24" s="186">
        <v>1</v>
      </c>
      <c r="AG24" s="183">
        <v>13</v>
      </c>
    </row>
    <row r="25" spans="1:41" ht="15" customHeight="1" x14ac:dyDescent="0.2">
      <c r="A25" s="141" t="s">
        <v>313</v>
      </c>
      <c r="B25" s="187" t="s">
        <v>1759</v>
      </c>
      <c r="C25" s="141">
        <v>2015</v>
      </c>
      <c r="D25" s="183">
        <v>6</v>
      </c>
      <c r="E25" s="135">
        <v>3192</v>
      </c>
      <c r="F25" s="192" t="s">
        <v>424</v>
      </c>
      <c r="G25" s="183">
        <v>0</v>
      </c>
      <c r="H25" s="183">
        <v>0</v>
      </c>
      <c r="I25" s="183">
        <v>0</v>
      </c>
      <c r="J25" s="183">
        <v>0</v>
      </c>
      <c r="K25" s="183">
        <v>0</v>
      </c>
      <c r="L25" s="183">
        <v>0</v>
      </c>
      <c r="M25" s="183">
        <v>0</v>
      </c>
      <c r="N25" s="183">
        <v>0</v>
      </c>
      <c r="O25" s="183">
        <v>0</v>
      </c>
      <c r="P25" s="183">
        <v>0</v>
      </c>
      <c r="Q25" s="183">
        <v>0</v>
      </c>
      <c r="R25" s="183">
        <v>0</v>
      </c>
      <c r="S25" s="183">
        <v>0</v>
      </c>
      <c r="T25" s="183">
        <v>0</v>
      </c>
      <c r="U25" s="183">
        <v>0</v>
      </c>
      <c r="V25" s="183">
        <v>0</v>
      </c>
      <c r="W25" s="183">
        <v>0</v>
      </c>
      <c r="X25" s="183">
        <v>0</v>
      </c>
      <c r="Y25" s="183">
        <v>0</v>
      </c>
      <c r="Z25" s="183">
        <v>0</v>
      </c>
      <c r="AA25" s="183">
        <v>0</v>
      </c>
      <c r="AB25" s="183">
        <v>0</v>
      </c>
      <c r="AC25" s="183">
        <v>0</v>
      </c>
      <c r="AD25" s="183">
        <v>1</v>
      </c>
      <c r="AE25" s="183">
        <v>0</v>
      </c>
      <c r="AF25" s="190">
        <v>0.1</v>
      </c>
      <c r="AG25" s="183">
        <v>1</v>
      </c>
      <c r="AH25" s="5" t="s">
        <v>1852</v>
      </c>
      <c r="AI25" s="5" t="s">
        <v>1655</v>
      </c>
      <c r="AJ25" s="5" t="s">
        <v>1657</v>
      </c>
      <c r="AL25" s="5" t="s">
        <v>1668</v>
      </c>
      <c r="AM25" s="5" t="s">
        <v>1672</v>
      </c>
      <c r="AO25" s="5" t="s">
        <v>1672</v>
      </c>
    </row>
    <row r="26" spans="1:41" ht="15" customHeight="1" x14ac:dyDescent="0.2">
      <c r="A26" s="141" t="s">
        <v>313</v>
      </c>
      <c r="B26" s="187" t="s">
        <v>1759</v>
      </c>
      <c r="C26" s="141">
        <v>2015</v>
      </c>
      <c r="D26" s="183">
        <v>6</v>
      </c>
      <c r="E26" s="135">
        <v>494</v>
      </c>
      <c r="F26" s="184" t="s">
        <v>22</v>
      </c>
      <c r="G26" s="185">
        <v>1</v>
      </c>
      <c r="H26" s="185">
        <v>1</v>
      </c>
      <c r="I26" s="185">
        <v>1</v>
      </c>
      <c r="J26" s="185">
        <v>1</v>
      </c>
      <c r="K26" s="185">
        <v>1</v>
      </c>
      <c r="L26" s="185">
        <v>1</v>
      </c>
      <c r="M26" s="185">
        <v>1</v>
      </c>
      <c r="N26" s="185">
        <v>1</v>
      </c>
      <c r="O26" s="185">
        <v>1</v>
      </c>
      <c r="P26" s="185">
        <v>1</v>
      </c>
      <c r="Q26" s="185">
        <v>0</v>
      </c>
      <c r="R26" s="185">
        <v>1</v>
      </c>
      <c r="S26" s="185">
        <v>1</v>
      </c>
      <c r="T26" s="185">
        <v>1</v>
      </c>
      <c r="U26" s="185">
        <v>1</v>
      </c>
      <c r="V26" s="185">
        <v>0</v>
      </c>
      <c r="W26" s="185">
        <v>1</v>
      </c>
      <c r="X26" s="185">
        <v>1</v>
      </c>
      <c r="Y26" s="185">
        <v>1</v>
      </c>
      <c r="Z26" s="185">
        <v>1</v>
      </c>
      <c r="AA26" s="185">
        <v>1</v>
      </c>
      <c r="AB26" s="185">
        <v>1</v>
      </c>
      <c r="AC26" s="185">
        <v>0</v>
      </c>
      <c r="AD26" s="185">
        <v>1</v>
      </c>
      <c r="AE26" s="185">
        <v>1</v>
      </c>
      <c r="AF26" s="186">
        <v>3</v>
      </c>
      <c r="AG26" s="183">
        <v>22</v>
      </c>
    </row>
    <row r="27" spans="1:41" ht="15" customHeight="1" x14ac:dyDescent="0.2">
      <c r="A27" s="141" t="s">
        <v>313</v>
      </c>
      <c r="B27" s="187" t="s">
        <v>1759</v>
      </c>
      <c r="C27" s="141">
        <v>2015</v>
      </c>
      <c r="D27" s="183">
        <v>6</v>
      </c>
      <c r="E27" s="135">
        <v>542</v>
      </c>
      <c r="F27" s="184" t="s">
        <v>1312</v>
      </c>
      <c r="G27" s="185">
        <v>1</v>
      </c>
      <c r="H27" s="185">
        <v>1</v>
      </c>
      <c r="I27" s="185">
        <v>1</v>
      </c>
      <c r="J27" s="185">
        <v>1</v>
      </c>
      <c r="K27" s="185">
        <v>1</v>
      </c>
      <c r="L27" s="185">
        <v>1</v>
      </c>
      <c r="M27" s="185">
        <v>1</v>
      </c>
      <c r="N27" s="185">
        <v>1</v>
      </c>
      <c r="O27" s="185">
        <v>1</v>
      </c>
      <c r="P27" s="185">
        <v>1</v>
      </c>
      <c r="Q27" s="185">
        <v>1</v>
      </c>
      <c r="R27" s="185">
        <v>1</v>
      </c>
      <c r="S27" s="185">
        <v>1</v>
      </c>
      <c r="T27" s="185">
        <v>1</v>
      </c>
      <c r="U27" s="185">
        <v>1</v>
      </c>
      <c r="V27" s="185">
        <v>1</v>
      </c>
      <c r="W27" s="185">
        <v>1</v>
      </c>
      <c r="X27" s="185">
        <v>1</v>
      </c>
      <c r="Y27" s="185">
        <v>1</v>
      </c>
      <c r="Z27" s="185">
        <v>1</v>
      </c>
      <c r="AA27" s="185">
        <v>1</v>
      </c>
      <c r="AB27" s="185">
        <v>1</v>
      </c>
      <c r="AC27" s="185">
        <v>1</v>
      </c>
      <c r="AD27" s="185">
        <v>1</v>
      </c>
      <c r="AE27" s="185">
        <v>1</v>
      </c>
      <c r="AF27" s="186">
        <v>15</v>
      </c>
      <c r="AG27" s="183">
        <v>25</v>
      </c>
    </row>
    <row r="28" spans="1:41" ht="15" customHeight="1" x14ac:dyDescent="0.2">
      <c r="A28" s="141" t="s">
        <v>313</v>
      </c>
      <c r="B28" s="187" t="s">
        <v>1759</v>
      </c>
      <c r="C28" s="141">
        <v>2015</v>
      </c>
      <c r="D28" s="183">
        <v>6</v>
      </c>
      <c r="E28" s="135">
        <v>546</v>
      </c>
      <c r="F28" s="184" t="s">
        <v>1310</v>
      </c>
      <c r="G28" s="185">
        <v>1</v>
      </c>
      <c r="H28" s="185">
        <v>1</v>
      </c>
      <c r="I28" s="185">
        <v>1</v>
      </c>
      <c r="J28" s="185">
        <v>1</v>
      </c>
      <c r="K28" s="185">
        <v>1</v>
      </c>
      <c r="L28" s="185">
        <v>1</v>
      </c>
      <c r="M28" s="185">
        <v>0</v>
      </c>
      <c r="N28" s="185">
        <v>1</v>
      </c>
      <c r="O28" s="185">
        <v>1</v>
      </c>
      <c r="P28" s="185">
        <v>1</v>
      </c>
      <c r="Q28" s="185">
        <v>1</v>
      </c>
      <c r="R28" s="185">
        <v>1</v>
      </c>
      <c r="S28" s="185">
        <v>1</v>
      </c>
      <c r="T28" s="185">
        <v>1</v>
      </c>
      <c r="U28" s="185">
        <v>1</v>
      </c>
      <c r="V28" s="185">
        <v>1</v>
      </c>
      <c r="W28" s="185">
        <v>1</v>
      </c>
      <c r="X28" s="185">
        <v>0</v>
      </c>
      <c r="Y28" s="185">
        <v>1</v>
      </c>
      <c r="Z28" s="185">
        <v>1</v>
      </c>
      <c r="AA28" s="185">
        <v>1</v>
      </c>
      <c r="AB28" s="185">
        <v>1</v>
      </c>
      <c r="AC28" s="185">
        <v>1</v>
      </c>
      <c r="AD28" s="185">
        <v>1</v>
      </c>
      <c r="AE28" s="185">
        <v>1</v>
      </c>
      <c r="AF28" s="186">
        <v>3</v>
      </c>
      <c r="AG28" s="183">
        <v>23</v>
      </c>
    </row>
    <row r="29" spans="1:41" ht="15" customHeight="1" x14ac:dyDescent="0.2">
      <c r="A29" s="141" t="s">
        <v>313</v>
      </c>
      <c r="B29" s="187" t="s">
        <v>1759</v>
      </c>
      <c r="C29" s="141">
        <v>2015</v>
      </c>
      <c r="D29" s="183">
        <v>6</v>
      </c>
      <c r="E29" s="135">
        <v>876</v>
      </c>
      <c r="F29" s="184" t="s">
        <v>1163</v>
      </c>
      <c r="G29" s="185">
        <v>1</v>
      </c>
      <c r="H29" s="185">
        <v>1</v>
      </c>
      <c r="I29" s="185">
        <v>1</v>
      </c>
      <c r="J29" s="185">
        <v>1</v>
      </c>
      <c r="K29" s="185">
        <v>1</v>
      </c>
      <c r="L29" s="185">
        <v>1</v>
      </c>
      <c r="M29" s="185">
        <v>1</v>
      </c>
      <c r="N29" s="185">
        <v>1</v>
      </c>
      <c r="O29" s="185">
        <v>1</v>
      </c>
      <c r="P29" s="185">
        <v>1</v>
      </c>
      <c r="Q29" s="185">
        <v>1</v>
      </c>
      <c r="R29" s="185">
        <v>1</v>
      </c>
      <c r="S29" s="185">
        <v>1</v>
      </c>
      <c r="T29" s="185">
        <v>1</v>
      </c>
      <c r="U29" s="185">
        <v>1</v>
      </c>
      <c r="V29" s="185">
        <v>1</v>
      </c>
      <c r="W29" s="185">
        <v>1</v>
      </c>
      <c r="X29" s="185">
        <v>1</v>
      </c>
      <c r="Y29" s="185">
        <v>1</v>
      </c>
      <c r="Z29" s="185">
        <v>1</v>
      </c>
      <c r="AA29" s="185">
        <v>1</v>
      </c>
      <c r="AB29" s="185">
        <v>1</v>
      </c>
      <c r="AC29" s="185">
        <v>1</v>
      </c>
      <c r="AD29" s="185">
        <v>1</v>
      </c>
      <c r="AE29" s="185">
        <v>1</v>
      </c>
      <c r="AF29" s="186">
        <v>15</v>
      </c>
      <c r="AG29" s="183">
        <v>25</v>
      </c>
    </row>
    <row r="30" spans="1:41" ht="15" customHeight="1" x14ac:dyDescent="0.2">
      <c r="A30" s="141" t="s">
        <v>313</v>
      </c>
      <c r="B30" s="187" t="s">
        <v>1759</v>
      </c>
      <c r="C30" s="141">
        <v>2015</v>
      </c>
      <c r="D30" s="183">
        <v>6</v>
      </c>
      <c r="E30" s="135">
        <v>901</v>
      </c>
      <c r="F30" s="192" t="s">
        <v>1149</v>
      </c>
      <c r="G30" s="183">
        <v>0</v>
      </c>
      <c r="H30" s="183">
        <v>0</v>
      </c>
      <c r="I30" s="183">
        <v>0</v>
      </c>
      <c r="J30" s="183">
        <v>1</v>
      </c>
      <c r="K30" s="183">
        <v>0</v>
      </c>
      <c r="L30" s="183">
        <v>1</v>
      </c>
      <c r="M30" s="183">
        <v>1</v>
      </c>
      <c r="N30" s="183">
        <v>1</v>
      </c>
      <c r="O30" s="183">
        <v>0</v>
      </c>
      <c r="P30" s="183">
        <v>0</v>
      </c>
      <c r="Q30" s="183">
        <v>0</v>
      </c>
      <c r="R30" s="183">
        <v>0</v>
      </c>
      <c r="S30" s="183">
        <v>1</v>
      </c>
      <c r="T30" s="183">
        <v>0</v>
      </c>
      <c r="U30" s="183">
        <v>1</v>
      </c>
      <c r="V30" s="183">
        <v>1</v>
      </c>
      <c r="W30" s="183">
        <v>0</v>
      </c>
      <c r="X30" s="183">
        <v>1</v>
      </c>
      <c r="Y30" s="183">
        <v>1</v>
      </c>
      <c r="Z30" s="183">
        <v>1</v>
      </c>
      <c r="AA30" s="183">
        <v>1</v>
      </c>
      <c r="AB30" s="183">
        <v>1</v>
      </c>
      <c r="AC30" s="183"/>
      <c r="AD30" s="183"/>
      <c r="AE30" s="183">
        <v>1</v>
      </c>
      <c r="AF30" s="190">
        <v>0.1</v>
      </c>
      <c r="AG30" s="183">
        <v>13</v>
      </c>
      <c r="AI30" s="5" t="s">
        <v>1655</v>
      </c>
      <c r="AL30" s="5" t="s">
        <v>1668</v>
      </c>
      <c r="AO30" s="5" t="s">
        <v>1668</v>
      </c>
    </row>
    <row r="31" spans="1:41" ht="15" customHeight="1" x14ac:dyDescent="0.2">
      <c r="A31" s="141" t="s">
        <v>313</v>
      </c>
      <c r="B31" s="187" t="s">
        <v>1759</v>
      </c>
      <c r="C31" s="141">
        <v>2015</v>
      </c>
      <c r="D31" s="183">
        <v>6</v>
      </c>
      <c r="E31" s="135">
        <v>4292</v>
      </c>
      <c r="F31" s="192" t="s">
        <v>368</v>
      </c>
      <c r="G31" s="183">
        <v>1</v>
      </c>
      <c r="H31" s="183">
        <v>0</v>
      </c>
      <c r="I31" s="183">
        <v>0</v>
      </c>
      <c r="J31" s="183">
        <v>0</v>
      </c>
      <c r="K31" s="183">
        <v>0</v>
      </c>
      <c r="L31" s="183">
        <v>0</v>
      </c>
      <c r="M31" s="183">
        <v>0</v>
      </c>
      <c r="N31" s="183">
        <v>0</v>
      </c>
      <c r="O31" s="183">
        <v>0</v>
      </c>
      <c r="P31" s="183">
        <v>0</v>
      </c>
      <c r="Q31" s="183">
        <v>0</v>
      </c>
      <c r="R31" s="183">
        <v>0</v>
      </c>
      <c r="S31" s="183">
        <v>0</v>
      </c>
      <c r="T31" s="183">
        <v>0</v>
      </c>
      <c r="U31" s="183">
        <v>0</v>
      </c>
      <c r="V31" s="183">
        <v>0</v>
      </c>
      <c r="W31" s="183">
        <v>0</v>
      </c>
      <c r="X31" s="183">
        <v>0</v>
      </c>
      <c r="Y31" s="183">
        <v>0</v>
      </c>
      <c r="Z31" s="183">
        <v>0</v>
      </c>
      <c r="AA31" s="183">
        <v>0</v>
      </c>
      <c r="AB31" s="183">
        <v>0</v>
      </c>
      <c r="AC31" s="183">
        <v>0</v>
      </c>
      <c r="AD31" s="183">
        <v>0</v>
      </c>
      <c r="AE31" s="183">
        <v>0</v>
      </c>
      <c r="AF31" s="190">
        <v>5</v>
      </c>
      <c r="AG31" s="183">
        <v>1</v>
      </c>
      <c r="AH31" s="5" t="s">
        <v>1782</v>
      </c>
      <c r="AI31" s="5" t="s">
        <v>1662</v>
      </c>
    </row>
    <row r="32" spans="1:41" ht="15" customHeight="1" x14ac:dyDescent="0.2">
      <c r="A32" s="141" t="s">
        <v>313</v>
      </c>
      <c r="B32" s="194" t="s">
        <v>1759</v>
      </c>
      <c r="C32" s="141">
        <v>2015</v>
      </c>
      <c r="D32" s="188">
        <v>6</v>
      </c>
      <c r="E32" s="195">
        <v>1109</v>
      </c>
      <c r="F32" s="196" t="s">
        <v>1065</v>
      </c>
      <c r="G32" s="197">
        <v>0</v>
      </c>
      <c r="H32" s="197">
        <v>0</v>
      </c>
      <c r="I32" s="197">
        <v>0</v>
      </c>
      <c r="J32" s="197">
        <v>1</v>
      </c>
      <c r="K32" s="197">
        <v>1</v>
      </c>
      <c r="L32" s="197">
        <v>1</v>
      </c>
      <c r="M32" s="197">
        <v>1</v>
      </c>
      <c r="N32" s="197">
        <v>1</v>
      </c>
      <c r="O32" s="197">
        <v>1</v>
      </c>
      <c r="P32" s="197">
        <v>1</v>
      </c>
      <c r="Q32" s="197">
        <v>1</v>
      </c>
      <c r="R32" s="197">
        <v>1</v>
      </c>
      <c r="S32" s="197">
        <v>1</v>
      </c>
      <c r="T32" s="197">
        <v>0</v>
      </c>
      <c r="U32" s="197">
        <v>1</v>
      </c>
      <c r="V32" s="197">
        <v>1</v>
      </c>
      <c r="W32" s="197">
        <v>1</v>
      </c>
      <c r="X32" s="197">
        <v>1</v>
      </c>
      <c r="Y32" s="197">
        <v>1</v>
      </c>
      <c r="Z32" s="197">
        <v>1</v>
      </c>
      <c r="AA32" s="197">
        <v>1</v>
      </c>
      <c r="AB32" s="197">
        <v>1</v>
      </c>
      <c r="AC32" s="197">
        <v>1</v>
      </c>
      <c r="AD32" s="197">
        <v>0</v>
      </c>
      <c r="AE32" s="197">
        <v>1</v>
      </c>
      <c r="AF32" s="198">
        <v>10</v>
      </c>
      <c r="AG32" s="188">
        <v>20</v>
      </c>
      <c r="AH32" s="4"/>
      <c r="AI32" s="4"/>
      <c r="AJ32" s="4"/>
      <c r="AK32" s="4"/>
      <c r="AL32" s="4"/>
      <c r="AM32" s="4"/>
      <c r="AN32" s="4"/>
      <c r="AO32" s="4"/>
    </row>
    <row r="33" spans="1:41" ht="15" customHeight="1" x14ac:dyDescent="0.2">
      <c r="A33" s="197" t="s">
        <v>313</v>
      </c>
      <c r="B33" s="199" t="s">
        <v>1759</v>
      </c>
      <c r="C33" s="197">
        <v>2015</v>
      </c>
      <c r="D33" s="200">
        <v>6</v>
      </c>
      <c r="E33" s="201">
        <v>6026</v>
      </c>
      <c r="F33" s="196" t="s">
        <v>252</v>
      </c>
      <c r="G33" s="197">
        <v>1</v>
      </c>
      <c r="H33" s="197">
        <v>0</v>
      </c>
      <c r="I33" s="197">
        <v>0</v>
      </c>
      <c r="J33" s="197">
        <v>1</v>
      </c>
      <c r="K33" s="197">
        <v>1</v>
      </c>
      <c r="L33" s="197">
        <v>0</v>
      </c>
      <c r="M33" s="197">
        <v>0</v>
      </c>
      <c r="N33" s="197">
        <v>0</v>
      </c>
      <c r="O33" s="197">
        <v>0</v>
      </c>
      <c r="P33" s="197">
        <v>1</v>
      </c>
      <c r="Q33" s="197">
        <v>1</v>
      </c>
      <c r="R33" s="197">
        <v>1</v>
      </c>
      <c r="S33" s="197">
        <v>1</v>
      </c>
      <c r="T33" s="197">
        <v>0</v>
      </c>
      <c r="U33" s="197">
        <v>1</v>
      </c>
      <c r="V33" s="197">
        <v>0</v>
      </c>
      <c r="W33" s="197">
        <v>0</v>
      </c>
      <c r="X33" s="197">
        <v>1</v>
      </c>
      <c r="Y33" s="197">
        <v>0</v>
      </c>
      <c r="Z33" s="197">
        <v>0</v>
      </c>
      <c r="AA33" s="197">
        <v>0</v>
      </c>
      <c r="AB33" s="197">
        <v>1</v>
      </c>
      <c r="AC33" s="197">
        <v>1</v>
      </c>
      <c r="AD33" s="197">
        <v>1</v>
      </c>
      <c r="AE33" s="197">
        <v>1</v>
      </c>
      <c r="AF33" s="198">
        <v>15</v>
      </c>
      <c r="AG33" s="200">
        <v>13</v>
      </c>
      <c r="AH33" s="22"/>
      <c r="AI33" s="22"/>
      <c r="AJ33" s="22"/>
      <c r="AK33" s="22"/>
      <c r="AL33" s="22" t="s">
        <v>1434</v>
      </c>
      <c r="AM33" s="22"/>
      <c r="AN33" s="22"/>
      <c r="AO33" s="22" t="s">
        <v>1434</v>
      </c>
    </row>
    <row r="34" spans="1:41" ht="15" customHeight="1" x14ac:dyDescent="0.2">
      <c r="A34" s="141" t="s">
        <v>313</v>
      </c>
      <c r="B34" s="194" t="s">
        <v>1759</v>
      </c>
      <c r="C34" s="141">
        <v>2015</v>
      </c>
      <c r="D34" s="188">
        <v>6</v>
      </c>
      <c r="E34" s="195">
        <v>1971</v>
      </c>
      <c r="F34" s="189" t="s">
        <v>769</v>
      </c>
      <c r="G34" s="188">
        <v>0</v>
      </c>
      <c r="H34" s="188">
        <v>0</v>
      </c>
      <c r="I34" s="188">
        <v>0</v>
      </c>
      <c r="J34" s="188">
        <v>0</v>
      </c>
      <c r="K34" s="188">
        <v>0</v>
      </c>
      <c r="L34" s="188">
        <v>0</v>
      </c>
      <c r="M34" s="188">
        <v>0</v>
      </c>
      <c r="N34" s="188">
        <v>0</v>
      </c>
      <c r="O34" s="188">
        <v>0</v>
      </c>
      <c r="P34" s="188">
        <v>0</v>
      </c>
      <c r="Q34" s="188">
        <v>0</v>
      </c>
      <c r="R34" s="188">
        <v>1</v>
      </c>
      <c r="S34" s="188">
        <v>0</v>
      </c>
      <c r="T34" s="188">
        <v>0</v>
      </c>
      <c r="U34" s="188">
        <v>0</v>
      </c>
      <c r="V34" s="188">
        <v>0</v>
      </c>
      <c r="W34" s="188">
        <v>0</v>
      </c>
      <c r="X34" s="188">
        <v>0</v>
      </c>
      <c r="Y34" s="188">
        <v>0</v>
      </c>
      <c r="Z34" s="188">
        <v>0</v>
      </c>
      <c r="AA34" s="188">
        <v>0</v>
      </c>
      <c r="AB34" s="188">
        <v>1</v>
      </c>
      <c r="AC34" s="188">
        <v>0</v>
      </c>
      <c r="AD34" s="188">
        <v>0</v>
      </c>
      <c r="AE34" s="188">
        <v>0</v>
      </c>
      <c r="AF34" s="191">
        <v>2</v>
      </c>
      <c r="AG34" s="188">
        <v>2</v>
      </c>
      <c r="AH34" s="4"/>
      <c r="AI34" s="4"/>
      <c r="AJ34" s="4"/>
      <c r="AK34" s="4"/>
      <c r="AL34" s="4"/>
      <c r="AM34" s="4"/>
      <c r="AN34" s="4"/>
      <c r="AO34" s="4"/>
    </row>
    <row r="35" spans="1:41" ht="15" customHeight="1" x14ac:dyDescent="0.2">
      <c r="A35" s="141" t="s">
        <v>313</v>
      </c>
      <c r="B35" s="187" t="s">
        <v>1759</v>
      </c>
      <c r="C35" s="141">
        <v>2015</v>
      </c>
      <c r="D35" s="183">
        <v>6</v>
      </c>
      <c r="E35" s="135">
        <v>1972</v>
      </c>
      <c r="F35" s="184" t="s">
        <v>768</v>
      </c>
      <c r="G35" s="185">
        <v>1</v>
      </c>
      <c r="H35" s="185">
        <v>1</v>
      </c>
      <c r="I35" s="185">
        <v>1</v>
      </c>
      <c r="J35" s="185">
        <v>1</v>
      </c>
      <c r="K35" s="185">
        <v>1</v>
      </c>
      <c r="L35" s="185">
        <v>1</v>
      </c>
      <c r="M35" s="185">
        <v>1</v>
      </c>
      <c r="N35" s="185">
        <v>1</v>
      </c>
      <c r="O35" s="185">
        <v>1</v>
      </c>
      <c r="P35" s="185">
        <v>1</v>
      </c>
      <c r="Q35" s="185">
        <v>1</v>
      </c>
      <c r="R35" s="185">
        <v>1</v>
      </c>
      <c r="S35" s="185">
        <v>1</v>
      </c>
      <c r="T35" s="185">
        <v>1</v>
      </c>
      <c r="U35" s="185">
        <v>1</v>
      </c>
      <c r="V35" s="185">
        <v>1</v>
      </c>
      <c r="W35" s="185">
        <v>1</v>
      </c>
      <c r="X35" s="185">
        <v>1</v>
      </c>
      <c r="Y35" s="185">
        <v>1</v>
      </c>
      <c r="Z35" s="185">
        <v>1</v>
      </c>
      <c r="AA35" s="185">
        <v>1</v>
      </c>
      <c r="AB35" s="185">
        <v>1</v>
      </c>
      <c r="AC35" s="185">
        <v>0</v>
      </c>
      <c r="AD35" s="185">
        <v>0</v>
      </c>
      <c r="AE35" s="185">
        <v>1</v>
      </c>
      <c r="AF35" s="186">
        <v>40</v>
      </c>
      <c r="AG35" s="183">
        <v>23</v>
      </c>
      <c r="AH35" s="5" t="s">
        <v>1781</v>
      </c>
      <c r="AI35" s="5" t="s">
        <v>1660</v>
      </c>
      <c r="AL35" s="5" t="s">
        <v>1671</v>
      </c>
      <c r="AM35" s="5" t="s">
        <v>1669</v>
      </c>
      <c r="AO35" s="5" t="s">
        <v>1669</v>
      </c>
    </row>
    <row r="36" spans="1:41" ht="15" customHeight="1" x14ac:dyDescent="0.2">
      <c r="A36" s="141" t="s">
        <v>313</v>
      </c>
      <c r="B36" s="187" t="s">
        <v>1759</v>
      </c>
      <c r="C36" s="141">
        <v>2015</v>
      </c>
      <c r="D36" s="188">
        <v>6</v>
      </c>
      <c r="E36" s="135">
        <v>1984</v>
      </c>
      <c r="F36" s="192" t="s">
        <v>762</v>
      </c>
      <c r="G36" s="188">
        <v>1</v>
      </c>
      <c r="H36" s="188">
        <v>0</v>
      </c>
      <c r="I36" s="188">
        <v>0</v>
      </c>
      <c r="J36" s="188">
        <v>0</v>
      </c>
      <c r="K36" s="188">
        <v>0</v>
      </c>
      <c r="L36" s="188">
        <v>0</v>
      </c>
      <c r="M36" s="188">
        <v>0</v>
      </c>
      <c r="N36" s="188">
        <v>0</v>
      </c>
      <c r="O36" s="188">
        <v>0</v>
      </c>
      <c r="P36" s="188">
        <v>0</v>
      </c>
      <c r="Q36" s="188">
        <v>0</v>
      </c>
      <c r="R36" s="188">
        <v>0</v>
      </c>
      <c r="S36" s="188">
        <v>0</v>
      </c>
      <c r="T36" s="188">
        <v>0</v>
      </c>
      <c r="U36" s="188">
        <v>0</v>
      </c>
      <c r="V36" s="188">
        <v>0</v>
      </c>
      <c r="W36" s="188">
        <v>0</v>
      </c>
      <c r="X36" s="188">
        <v>0</v>
      </c>
      <c r="Y36" s="188">
        <v>0</v>
      </c>
      <c r="Z36" s="188">
        <v>0</v>
      </c>
      <c r="AA36" s="188">
        <v>0</v>
      </c>
      <c r="AB36" s="188">
        <v>0</v>
      </c>
      <c r="AC36" s="188">
        <v>0</v>
      </c>
      <c r="AD36" s="188">
        <v>0</v>
      </c>
      <c r="AE36" s="188">
        <v>0</v>
      </c>
      <c r="AF36" s="191"/>
      <c r="AG36" s="183">
        <v>1</v>
      </c>
      <c r="AH36" s="5" t="s">
        <v>1975</v>
      </c>
      <c r="AI36" s="5" t="s">
        <v>1660</v>
      </c>
      <c r="AJ36" s="5" t="s">
        <v>1653</v>
      </c>
      <c r="AK36" s="5" t="s">
        <v>1467</v>
      </c>
      <c r="AL36" s="5" t="s">
        <v>1432</v>
      </c>
      <c r="AM36" s="5" t="s">
        <v>1673</v>
      </c>
      <c r="AN36" s="5" t="s">
        <v>1676</v>
      </c>
      <c r="AO36" s="5" t="s">
        <v>1676</v>
      </c>
    </row>
    <row r="37" spans="1:41" ht="15" customHeight="1" x14ac:dyDescent="0.2">
      <c r="A37" s="141" t="s">
        <v>313</v>
      </c>
      <c r="B37" s="187" t="s">
        <v>1759</v>
      </c>
      <c r="C37" s="141">
        <v>2015</v>
      </c>
      <c r="D37" s="183">
        <v>7</v>
      </c>
      <c r="E37" s="135">
        <v>278</v>
      </c>
      <c r="F37" s="192" t="s">
        <v>132</v>
      </c>
      <c r="G37" s="183">
        <v>1</v>
      </c>
      <c r="H37" s="183">
        <v>1</v>
      </c>
      <c r="I37" s="183">
        <v>1</v>
      </c>
      <c r="J37" s="183">
        <v>1</v>
      </c>
      <c r="K37" s="183">
        <v>1</v>
      </c>
      <c r="L37" s="183">
        <v>0</v>
      </c>
      <c r="M37" s="183">
        <v>0</v>
      </c>
      <c r="N37" s="183">
        <v>1</v>
      </c>
      <c r="O37" s="183">
        <v>1</v>
      </c>
      <c r="P37" s="183">
        <v>0</v>
      </c>
      <c r="Q37" s="183">
        <v>0</v>
      </c>
      <c r="R37" s="183">
        <v>0</v>
      </c>
      <c r="S37" s="183">
        <v>1</v>
      </c>
      <c r="T37" s="183">
        <v>1</v>
      </c>
      <c r="U37" s="183">
        <v>0</v>
      </c>
      <c r="V37" s="183">
        <v>1</v>
      </c>
      <c r="W37" s="183">
        <v>1</v>
      </c>
      <c r="X37" s="183">
        <v>1</v>
      </c>
      <c r="Y37" s="183">
        <v>0</v>
      </c>
      <c r="Z37" s="183">
        <v>1</v>
      </c>
      <c r="AA37" s="183">
        <v>0</v>
      </c>
      <c r="AB37" s="183">
        <v>1</v>
      </c>
      <c r="AC37" s="183">
        <v>1</v>
      </c>
      <c r="AD37" s="183">
        <v>0</v>
      </c>
      <c r="AE37" s="183">
        <v>1</v>
      </c>
      <c r="AF37" s="190">
        <v>20</v>
      </c>
      <c r="AG37" s="183">
        <v>16</v>
      </c>
    </row>
    <row r="38" spans="1:41" ht="15" customHeight="1" x14ac:dyDescent="0.2">
      <c r="A38" s="141" t="s">
        <v>313</v>
      </c>
      <c r="B38" s="187" t="s">
        <v>1759</v>
      </c>
      <c r="C38" s="141">
        <v>2015</v>
      </c>
      <c r="D38" s="183">
        <v>7</v>
      </c>
      <c r="E38" s="135">
        <v>1576</v>
      </c>
      <c r="F38" s="192" t="s">
        <v>882</v>
      </c>
      <c r="G38" s="183">
        <v>0</v>
      </c>
      <c r="H38" s="183">
        <v>0</v>
      </c>
      <c r="I38" s="183">
        <v>0</v>
      </c>
      <c r="J38" s="183">
        <v>0</v>
      </c>
      <c r="K38" s="183">
        <v>0</v>
      </c>
      <c r="L38" s="183">
        <v>1</v>
      </c>
      <c r="M38" s="183">
        <v>0</v>
      </c>
      <c r="N38" s="183">
        <v>0</v>
      </c>
      <c r="O38" s="183">
        <v>0</v>
      </c>
      <c r="P38" s="183">
        <v>0</v>
      </c>
      <c r="Q38" s="183">
        <v>1</v>
      </c>
      <c r="R38" s="183">
        <v>0</v>
      </c>
      <c r="S38" s="183">
        <v>0</v>
      </c>
      <c r="T38" s="183">
        <v>0</v>
      </c>
      <c r="U38" s="183">
        <v>0</v>
      </c>
      <c r="V38" s="183">
        <v>0</v>
      </c>
      <c r="W38" s="183">
        <v>0</v>
      </c>
      <c r="X38" s="183">
        <v>0</v>
      </c>
      <c r="Y38" s="183">
        <v>0</v>
      </c>
      <c r="Z38" s="183">
        <v>1</v>
      </c>
      <c r="AA38" s="183">
        <v>1</v>
      </c>
      <c r="AB38" s="183">
        <v>0</v>
      </c>
      <c r="AC38" s="183">
        <v>0</v>
      </c>
      <c r="AD38" s="183">
        <v>0</v>
      </c>
      <c r="AE38" s="183">
        <v>0</v>
      </c>
      <c r="AF38" s="190">
        <v>0.1</v>
      </c>
      <c r="AG38" s="183">
        <v>4</v>
      </c>
      <c r="AH38" s="5" t="s">
        <v>1784</v>
      </c>
      <c r="AI38" s="5" t="s">
        <v>1655</v>
      </c>
      <c r="AJ38" s="5" t="s">
        <v>1659</v>
      </c>
      <c r="AL38" s="5" t="s">
        <v>1668</v>
      </c>
      <c r="AM38" s="5" t="s">
        <v>1671</v>
      </c>
      <c r="AN38" s="5" t="s">
        <v>1676</v>
      </c>
      <c r="AO38" s="5" t="s">
        <v>1676</v>
      </c>
    </row>
    <row r="39" spans="1:41" ht="15" customHeight="1" x14ac:dyDescent="0.2">
      <c r="A39" s="141" t="s">
        <v>313</v>
      </c>
      <c r="B39" s="187" t="s">
        <v>1759</v>
      </c>
      <c r="C39" s="141">
        <v>2015</v>
      </c>
      <c r="D39" s="183">
        <v>7</v>
      </c>
      <c r="E39" s="135">
        <v>2694</v>
      </c>
      <c r="F39" s="192" t="s">
        <v>570</v>
      </c>
      <c r="G39" s="183">
        <v>0</v>
      </c>
      <c r="H39" s="183">
        <v>0</v>
      </c>
      <c r="I39" s="183">
        <v>0</v>
      </c>
      <c r="J39" s="183">
        <v>0</v>
      </c>
      <c r="K39" s="183">
        <v>0</v>
      </c>
      <c r="L39" s="183">
        <v>0</v>
      </c>
      <c r="M39" s="183">
        <v>0</v>
      </c>
      <c r="N39" s="183">
        <v>0</v>
      </c>
      <c r="O39" s="183">
        <v>0</v>
      </c>
      <c r="P39" s="183">
        <v>1</v>
      </c>
      <c r="Q39" s="183">
        <v>0</v>
      </c>
      <c r="R39" s="183">
        <v>0</v>
      </c>
      <c r="S39" s="183">
        <v>0</v>
      </c>
      <c r="T39" s="183">
        <v>0</v>
      </c>
      <c r="U39" s="183">
        <v>0</v>
      </c>
      <c r="V39" s="183">
        <v>0</v>
      </c>
      <c r="W39" s="183">
        <v>0</v>
      </c>
      <c r="X39" s="183">
        <v>0</v>
      </c>
      <c r="Y39" s="183">
        <v>0</v>
      </c>
      <c r="Z39" s="183">
        <v>0</v>
      </c>
      <c r="AA39" s="183">
        <v>0</v>
      </c>
      <c r="AB39" s="183">
        <v>0</v>
      </c>
      <c r="AC39" s="183">
        <v>0</v>
      </c>
      <c r="AD39" s="183">
        <v>0</v>
      </c>
      <c r="AE39" s="183">
        <v>0</v>
      </c>
      <c r="AF39" s="190">
        <v>0.1</v>
      </c>
      <c r="AG39" s="183">
        <v>1</v>
      </c>
      <c r="AH39" s="5" t="s">
        <v>1783</v>
      </c>
      <c r="AI39" s="5" t="s">
        <v>1660</v>
      </c>
      <c r="AJ39" s="5" t="s">
        <v>1655</v>
      </c>
      <c r="AK39" s="5" t="s">
        <v>1659</v>
      </c>
      <c r="AL39" s="5" t="s">
        <v>1433</v>
      </c>
      <c r="AM39" s="5" t="s">
        <v>1671</v>
      </c>
      <c r="AN39" s="5" t="s">
        <v>1469</v>
      </c>
      <c r="AO39" s="5" t="s">
        <v>1469</v>
      </c>
    </row>
    <row r="40" spans="1:41" ht="15" customHeight="1" x14ac:dyDescent="0.2">
      <c r="A40" s="141" t="s">
        <v>313</v>
      </c>
      <c r="B40" s="187" t="s">
        <v>1759</v>
      </c>
      <c r="C40" s="141">
        <v>2015</v>
      </c>
      <c r="D40" s="183">
        <v>7</v>
      </c>
      <c r="E40" s="135">
        <v>6003</v>
      </c>
      <c r="F40" s="192" t="s">
        <v>288</v>
      </c>
      <c r="G40" s="183">
        <v>1</v>
      </c>
      <c r="H40" s="183">
        <v>1</v>
      </c>
      <c r="I40" s="183">
        <v>1</v>
      </c>
      <c r="J40" s="183">
        <v>0</v>
      </c>
      <c r="K40" s="183">
        <v>1</v>
      </c>
      <c r="L40" s="183">
        <v>0</v>
      </c>
      <c r="M40" s="183">
        <v>1</v>
      </c>
      <c r="N40" s="183">
        <v>1</v>
      </c>
      <c r="O40" s="183">
        <v>0</v>
      </c>
      <c r="P40" s="183">
        <v>1</v>
      </c>
      <c r="Q40" s="183">
        <v>1</v>
      </c>
      <c r="R40" s="183">
        <v>1</v>
      </c>
      <c r="S40" s="183">
        <v>1</v>
      </c>
      <c r="T40" s="183">
        <v>0</v>
      </c>
      <c r="U40" s="183">
        <v>1</v>
      </c>
      <c r="V40" s="183">
        <v>1</v>
      </c>
      <c r="W40" s="183">
        <v>0</v>
      </c>
      <c r="X40" s="183">
        <v>1</v>
      </c>
      <c r="Y40" s="183">
        <v>1</v>
      </c>
      <c r="Z40" s="183">
        <v>1</v>
      </c>
      <c r="AA40" s="183">
        <v>1</v>
      </c>
      <c r="AB40" s="183">
        <v>0</v>
      </c>
      <c r="AC40" s="183">
        <v>0</v>
      </c>
      <c r="AD40" s="183">
        <v>0</v>
      </c>
      <c r="AE40" s="183">
        <v>0</v>
      </c>
      <c r="AF40" s="190">
        <v>0.1</v>
      </c>
      <c r="AG40" s="183">
        <v>16</v>
      </c>
      <c r="AI40" s="5" t="s">
        <v>1655</v>
      </c>
      <c r="AL40" s="5" t="s">
        <v>1668</v>
      </c>
      <c r="AO40" s="5" t="s">
        <v>1668</v>
      </c>
    </row>
    <row r="41" spans="1:41" ht="15" customHeight="1" x14ac:dyDescent="0.2">
      <c r="A41" s="141" t="s">
        <v>313</v>
      </c>
      <c r="B41" s="187" t="s">
        <v>1759</v>
      </c>
      <c r="C41" s="141">
        <v>2015</v>
      </c>
      <c r="D41" s="183">
        <v>7</v>
      </c>
      <c r="E41" s="135">
        <v>2359</v>
      </c>
      <c r="F41" s="189" t="s">
        <v>665</v>
      </c>
      <c r="G41" s="183">
        <v>1</v>
      </c>
      <c r="H41" s="183">
        <v>0</v>
      </c>
      <c r="I41" s="183">
        <v>1</v>
      </c>
      <c r="J41" s="183">
        <v>1</v>
      </c>
      <c r="K41" s="183">
        <v>1</v>
      </c>
      <c r="L41" s="183">
        <v>1</v>
      </c>
      <c r="M41" s="183">
        <v>1</v>
      </c>
      <c r="N41" s="183">
        <v>0</v>
      </c>
      <c r="O41" s="183">
        <v>1</v>
      </c>
      <c r="P41" s="183">
        <v>1</v>
      </c>
      <c r="Q41" s="183">
        <v>0</v>
      </c>
      <c r="R41" s="183">
        <v>1</v>
      </c>
      <c r="S41" s="183">
        <v>1</v>
      </c>
      <c r="T41" s="183">
        <v>0</v>
      </c>
      <c r="U41" s="183">
        <v>1</v>
      </c>
      <c r="V41" s="183">
        <v>1</v>
      </c>
      <c r="W41" s="183">
        <v>0</v>
      </c>
      <c r="X41" s="183">
        <v>1</v>
      </c>
      <c r="Y41" s="183">
        <v>1</v>
      </c>
      <c r="Z41" s="183">
        <v>1</v>
      </c>
      <c r="AA41" s="183">
        <v>1</v>
      </c>
      <c r="AB41" s="183">
        <v>1</v>
      </c>
      <c r="AC41" s="183">
        <v>0</v>
      </c>
      <c r="AD41" s="183">
        <v>1</v>
      </c>
      <c r="AE41" s="183">
        <v>1</v>
      </c>
      <c r="AF41" s="190">
        <v>0.1</v>
      </c>
      <c r="AG41" s="183">
        <v>19</v>
      </c>
      <c r="AI41" s="5" t="s">
        <v>1655</v>
      </c>
      <c r="AL41" s="5" t="s">
        <v>1668</v>
      </c>
      <c r="AO41" s="5" t="s">
        <v>1668</v>
      </c>
    </row>
    <row r="42" spans="1:41" ht="15" customHeight="1" x14ac:dyDescent="0.2">
      <c r="A42" s="141" t="s">
        <v>313</v>
      </c>
      <c r="B42" s="187" t="s">
        <v>1759</v>
      </c>
      <c r="C42" s="141">
        <v>2015</v>
      </c>
      <c r="D42" s="183">
        <v>7</v>
      </c>
      <c r="E42" s="135">
        <v>2362</v>
      </c>
      <c r="F42" s="192" t="s">
        <v>663</v>
      </c>
      <c r="G42" s="183">
        <v>0</v>
      </c>
      <c r="H42" s="183">
        <v>1</v>
      </c>
      <c r="I42" s="183">
        <v>0</v>
      </c>
      <c r="J42" s="183">
        <v>1</v>
      </c>
      <c r="K42" s="183">
        <v>1</v>
      </c>
      <c r="L42" s="183">
        <v>0</v>
      </c>
      <c r="M42" s="183">
        <v>1</v>
      </c>
      <c r="N42" s="183">
        <v>0</v>
      </c>
      <c r="O42" s="183">
        <v>1</v>
      </c>
      <c r="P42" s="183">
        <v>1</v>
      </c>
      <c r="Q42" s="183">
        <v>1</v>
      </c>
      <c r="R42" s="183">
        <v>1</v>
      </c>
      <c r="S42" s="183">
        <v>0</v>
      </c>
      <c r="T42" s="183">
        <v>0</v>
      </c>
      <c r="U42" s="183">
        <v>0</v>
      </c>
      <c r="V42" s="183">
        <v>0</v>
      </c>
      <c r="W42" s="183">
        <v>0</v>
      </c>
      <c r="X42" s="183">
        <v>1</v>
      </c>
      <c r="Y42" s="183">
        <v>1</v>
      </c>
      <c r="Z42" s="183">
        <v>1</v>
      </c>
      <c r="AA42" s="183">
        <v>0</v>
      </c>
      <c r="AB42" s="183">
        <v>0</v>
      </c>
      <c r="AC42" s="183">
        <v>1</v>
      </c>
      <c r="AD42" s="183">
        <v>0</v>
      </c>
      <c r="AE42" s="183">
        <v>1</v>
      </c>
      <c r="AF42" s="190">
        <v>1</v>
      </c>
      <c r="AG42" s="183">
        <v>13</v>
      </c>
    </row>
    <row r="43" spans="1:41" ht="15" customHeight="1" x14ac:dyDescent="0.2">
      <c r="A43" s="141" t="s">
        <v>313</v>
      </c>
      <c r="B43" s="187" t="s">
        <v>1759</v>
      </c>
      <c r="C43" s="141">
        <v>2015</v>
      </c>
      <c r="D43" s="183">
        <v>7</v>
      </c>
      <c r="E43" s="135">
        <v>2366</v>
      </c>
      <c r="F43" s="192" t="s">
        <v>660</v>
      </c>
      <c r="G43" s="183">
        <v>0</v>
      </c>
      <c r="H43" s="183">
        <v>1</v>
      </c>
      <c r="I43" s="183">
        <v>0</v>
      </c>
      <c r="J43" s="183">
        <v>0</v>
      </c>
      <c r="K43" s="183">
        <v>0</v>
      </c>
      <c r="L43" s="183">
        <v>0</v>
      </c>
      <c r="M43" s="183">
        <v>0</v>
      </c>
      <c r="N43" s="183">
        <v>1</v>
      </c>
      <c r="O43" s="183">
        <v>1</v>
      </c>
      <c r="P43" s="183">
        <v>0</v>
      </c>
      <c r="Q43" s="183">
        <v>0</v>
      </c>
      <c r="R43" s="183">
        <v>0</v>
      </c>
      <c r="S43" s="183">
        <v>0</v>
      </c>
      <c r="T43" s="183">
        <v>0</v>
      </c>
      <c r="U43" s="183">
        <v>0</v>
      </c>
      <c r="V43" s="183">
        <v>0</v>
      </c>
      <c r="W43" s="183">
        <v>0</v>
      </c>
      <c r="X43" s="183">
        <v>0</v>
      </c>
      <c r="Y43" s="183">
        <v>0</v>
      </c>
      <c r="Z43" s="183">
        <v>0</v>
      </c>
      <c r="AA43" s="183">
        <v>0</v>
      </c>
      <c r="AB43" s="183">
        <v>0</v>
      </c>
      <c r="AC43" s="183">
        <v>0</v>
      </c>
      <c r="AD43" s="183">
        <v>1</v>
      </c>
      <c r="AE43" s="183">
        <v>1</v>
      </c>
      <c r="AF43" s="190">
        <v>0.1</v>
      </c>
      <c r="AG43" s="183">
        <v>5</v>
      </c>
      <c r="AI43" s="5" t="s">
        <v>1655</v>
      </c>
      <c r="AL43" s="5" t="s">
        <v>1668</v>
      </c>
      <c r="AO43" s="5" t="s">
        <v>1668</v>
      </c>
    </row>
    <row r="44" spans="1:41" ht="15" customHeight="1" x14ac:dyDescent="0.2">
      <c r="A44" s="141" t="s">
        <v>313</v>
      </c>
      <c r="B44" s="187" t="s">
        <v>1759</v>
      </c>
      <c r="C44" s="141">
        <v>2015</v>
      </c>
      <c r="D44" s="183">
        <v>7</v>
      </c>
      <c r="E44" s="135">
        <v>478</v>
      </c>
      <c r="F44" s="189" t="s">
        <v>24</v>
      </c>
      <c r="G44" s="183">
        <v>0</v>
      </c>
      <c r="H44" s="183">
        <v>0</v>
      </c>
      <c r="I44" s="183">
        <v>0</v>
      </c>
      <c r="J44" s="183">
        <v>0</v>
      </c>
      <c r="K44" s="183">
        <v>0</v>
      </c>
      <c r="L44" s="183">
        <v>0</v>
      </c>
      <c r="M44" s="183">
        <v>0</v>
      </c>
      <c r="N44" s="183">
        <v>0</v>
      </c>
      <c r="O44" s="183">
        <v>0</v>
      </c>
      <c r="P44" s="183">
        <v>0</v>
      </c>
      <c r="Q44" s="183">
        <v>0</v>
      </c>
      <c r="R44" s="183">
        <v>0</v>
      </c>
      <c r="S44" s="183">
        <v>0</v>
      </c>
      <c r="T44" s="183">
        <v>0</v>
      </c>
      <c r="U44" s="183">
        <v>0</v>
      </c>
      <c r="V44" s="183">
        <v>1</v>
      </c>
      <c r="W44" s="183">
        <v>0</v>
      </c>
      <c r="X44" s="183">
        <v>1</v>
      </c>
      <c r="Y44" s="183">
        <v>0</v>
      </c>
      <c r="Z44" s="183">
        <v>0</v>
      </c>
      <c r="AA44" s="183">
        <v>0</v>
      </c>
      <c r="AB44" s="183">
        <v>1</v>
      </c>
      <c r="AC44" s="183">
        <v>1</v>
      </c>
      <c r="AD44" s="183">
        <v>0</v>
      </c>
      <c r="AE44" s="183">
        <v>0</v>
      </c>
      <c r="AF44" s="190">
        <v>1</v>
      </c>
      <c r="AG44" s="183">
        <v>4</v>
      </c>
    </row>
    <row r="45" spans="1:41" ht="15" customHeight="1" x14ac:dyDescent="0.2">
      <c r="A45" s="141" t="s">
        <v>313</v>
      </c>
      <c r="B45" s="187" t="s">
        <v>1759</v>
      </c>
      <c r="C45" s="141">
        <v>2015</v>
      </c>
      <c r="D45" s="183">
        <v>7</v>
      </c>
      <c r="E45" s="135">
        <v>541</v>
      </c>
      <c r="F45" s="189" t="s">
        <v>1313</v>
      </c>
      <c r="G45" s="183">
        <v>1</v>
      </c>
      <c r="H45" s="183">
        <v>1</v>
      </c>
      <c r="I45" s="183">
        <v>1</v>
      </c>
      <c r="J45" s="183">
        <v>1</v>
      </c>
      <c r="K45" s="183">
        <v>1</v>
      </c>
      <c r="L45" s="183">
        <v>1</v>
      </c>
      <c r="M45" s="183">
        <v>1</v>
      </c>
      <c r="N45" s="183">
        <v>1</v>
      </c>
      <c r="O45" s="183">
        <v>1</v>
      </c>
      <c r="P45" s="183">
        <v>1</v>
      </c>
      <c r="Q45" s="183">
        <v>1</v>
      </c>
      <c r="R45" s="183">
        <v>1</v>
      </c>
      <c r="S45" s="183">
        <v>1</v>
      </c>
      <c r="T45" s="183">
        <v>1</v>
      </c>
      <c r="U45" s="183">
        <v>1</v>
      </c>
      <c r="V45" s="183">
        <v>1</v>
      </c>
      <c r="W45" s="183">
        <v>1</v>
      </c>
      <c r="X45" s="183">
        <v>1</v>
      </c>
      <c r="Y45" s="183">
        <v>1</v>
      </c>
      <c r="Z45" s="183">
        <v>1</v>
      </c>
      <c r="AA45" s="183">
        <v>1</v>
      </c>
      <c r="AB45" s="183">
        <v>1</v>
      </c>
      <c r="AC45" s="183">
        <v>1</v>
      </c>
      <c r="AD45" s="183">
        <v>1</v>
      </c>
      <c r="AE45" s="183">
        <v>1</v>
      </c>
      <c r="AF45" s="190">
        <v>30</v>
      </c>
      <c r="AG45" s="183">
        <v>25</v>
      </c>
    </row>
    <row r="46" spans="1:41" ht="15" customHeight="1" x14ac:dyDescent="0.2">
      <c r="A46" s="141" t="s">
        <v>313</v>
      </c>
      <c r="B46" s="187" t="s">
        <v>1759</v>
      </c>
      <c r="C46" s="141">
        <v>2015</v>
      </c>
      <c r="D46" s="188">
        <v>7</v>
      </c>
      <c r="E46" s="135" t="e">
        <v>#N/A</v>
      </c>
      <c r="F46" s="192" t="s">
        <v>1774</v>
      </c>
      <c r="G46" s="188">
        <v>1</v>
      </c>
      <c r="H46" s="188">
        <v>0</v>
      </c>
      <c r="I46" s="188">
        <v>0</v>
      </c>
      <c r="J46" s="188">
        <v>0</v>
      </c>
      <c r="K46" s="188">
        <v>0</v>
      </c>
      <c r="L46" s="188">
        <v>0</v>
      </c>
      <c r="M46" s="188">
        <v>0</v>
      </c>
      <c r="N46" s="188">
        <v>0</v>
      </c>
      <c r="O46" s="188">
        <v>0</v>
      </c>
      <c r="P46" s="188">
        <v>0</v>
      </c>
      <c r="Q46" s="188">
        <v>0</v>
      </c>
      <c r="R46" s="188">
        <v>0</v>
      </c>
      <c r="S46" s="188">
        <v>0</v>
      </c>
      <c r="T46" s="188">
        <v>0</v>
      </c>
      <c r="U46" s="188">
        <v>1</v>
      </c>
      <c r="V46" s="188">
        <v>1</v>
      </c>
      <c r="W46" s="188">
        <v>0</v>
      </c>
      <c r="X46" s="188">
        <v>0</v>
      </c>
      <c r="Y46" s="188">
        <v>0</v>
      </c>
      <c r="Z46" s="188">
        <v>0</v>
      </c>
      <c r="AA46" s="188">
        <v>0</v>
      </c>
      <c r="AB46" s="188">
        <v>0</v>
      </c>
      <c r="AC46" s="188">
        <v>0</v>
      </c>
      <c r="AD46" s="188">
        <v>0</v>
      </c>
      <c r="AE46" s="188">
        <v>0</v>
      </c>
      <c r="AF46" s="191">
        <v>0.1</v>
      </c>
      <c r="AG46" s="183">
        <v>3</v>
      </c>
      <c r="AI46" s="5" t="s">
        <v>1655</v>
      </c>
      <c r="AL46" s="5" t="s">
        <v>1668</v>
      </c>
      <c r="AM46" s="5" t="s">
        <v>1434</v>
      </c>
      <c r="AO46" s="5" t="s">
        <v>1434</v>
      </c>
    </row>
    <row r="47" spans="1:41" ht="15" customHeight="1" x14ac:dyDescent="0.2">
      <c r="A47" s="141" t="s">
        <v>313</v>
      </c>
      <c r="B47" s="187" t="s">
        <v>1759</v>
      </c>
      <c r="C47" s="141">
        <v>2015</v>
      </c>
      <c r="D47" s="183">
        <v>7</v>
      </c>
      <c r="E47" s="135">
        <v>2695</v>
      </c>
      <c r="F47" s="192" t="s">
        <v>569</v>
      </c>
      <c r="G47" s="183">
        <v>0</v>
      </c>
      <c r="H47" s="183">
        <v>0</v>
      </c>
      <c r="I47" s="183">
        <v>0</v>
      </c>
      <c r="J47" s="183">
        <v>1</v>
      </c>
      <c r="K47" s="183">
        <v>0</v>
      </c>
      <c r="L47" s="183">
        <v>0</v>
      </c>
      <c r="M47" s="183">
        <v>0</v>
      </c>
      <c r="N47" s="183">
        <v>0</v>
      </c>
      <c r="O47" s="183">
        <v>0</v>
      </c>
      <c r="P47" s="183">
        <v>0</v>
      </c>
      <c r="Q47" s="183">
        <v>0</v>
      </c>
      <c r="R47" s="183">
        <v>0</v>
      </c>
      <c r="S47" s="183">
        <v>0</v>
      </c>
      <c r="T47" s="183">
        <v>0</v>
      </c>
      <c r="U47" s="183">
        <v>0</v>
      </c>
      <c r="V47" s="183">
        <v>1</v>
      </c>
      <c r="W47" s="183">
        <v>0</v>
      </c>
      <c r="X47" s="183">
        <v>0</v>
      </c>
      <c r="Y47" s="183">
        <v>0</v>
      </c>
      <c r="Z47" s="183">
        <v>0</v>
      </c>
      <c r="AA47" s="183">
        <v>0</v>
      </c>
      <c r="AB47" s="183">
        <v>0</v>
      </c>
      <c r="AC47" s="183">
        <v>1</v>
      </c>
      <c r="AD47" s="183">
        <v>0</v>
      </c>
      <c r="AE47" s="183">
        <v>0</v>
      </c>
      <c r="AF47" s="190">
        <v>0.1</v>
      </c>
      <c r="AG47" s="183">
        <v>3</v>
      </c>
      <c r="AI47" s="5" t="s">
        <v>1655</v>
      </c>
      <c r="AL47" s="5" t="s">
        <v>1668</v>
      </c>
      <c r="AM47" s="5" t="s">
        <v>1671</v>
      </c>
      <c r="AO47" s="5" t="s">
        <v>1668</v>
      </c>
    </row>
    <row r="48" spans="1:41" ht="15" customHeight="1" x14ac:dyDescent="0.2">
      <c r="A48" s="141" t="s">
        <v>313</v>
      </c>
      <c r="B48" s="187" t="s">
        <v>1759</v>
      </c>
      <c r="C48" s="141">
        <v>2015</v>
      </c>
      <c r="D48" s="188">
        <v>7</v>
      </c>
      <c r="E48" s="135" t="e">
        <v>#N/A</v>
      </c>
      <c r="F48" s="192" t="s">
        <v>1773</v>
      </c>
      <c r="G48" s="188">
        <v>1</v>
      </c>
      <c r="H48" s="188">
        <v>1</v>
      </c>
      <c r="I48" s="188">
        <v>1</v>
      </c>
      <c r="J48" s="188">
        <v>1</v>
      </c>
      <c r="K48" s="188">
        <v>1</v>
      </c>
      <c r="L48" s="188">
        <v>1</v>
      </c>
      <c r="M48" s="188">
        <v>1</v>
      </c>
      <c r="N48" s="188">
        <v>0</v>
      </c>
      <c r="O48" s="188">
        <v>1</v>
      </c>
      <c r="P48" s="188">
        <v>0</v>
      </c>
      <c r="Q48" s="188">
        <v>1</v>
      </c>
      <c r="R48" s="188">
        <v>0</v>
      </c>
      <c r="S48" s="188">
        <v>1</v>
      </c>
      <c r="T48" s="188">
        <v>0</v>
      </c>
      <c r="U48" s="188">
        <v>1</v>
      </c>
      <c r="V48" s="188">
        <v>1</v>
      </c>
      <c r="W48" s="188">
        <v>1</v>
      </c>
      <c r="X48" s="188">
        <v>0</v>
      </c>
      <c r="Y48" s="188">
        <v>0</v>
      </c>
      <c r="Z48" s="188">
        <v>0</v>
      </c>
      <c r="AA48" s="188">
        <v>1</v>
      </c>
      <c r="AB48" s="188">
        <v>1</v>
      </c>
      <c r="AC48" s="188">
        <v>0</v>
      </c>
      <c r="AD48" s="188">
        <v>0</v>
      </c>
      <c r="AE48" s="188">
        <v>0</v>
      </c>
      <c r="AF48" s="191">
        <v>0.1</v>
      </c>
      <c r="AG48" s="183">
        <v>15</v>
      </c>
      <c r="AI48" s="5" t="s">
        <v>1655</v>
      </c>
      <c r="AL48" s="5" t="s">
        <v>1668</v>
      </c>
      <c r="AM48" s="5" t="s">
        <v>1434</v>
      </c>
      <c r="AO48" s="5" t="s">
        <v>1434</v>
      </c>
    </row>
    <row r="49" spans="1:41" ht="15" customHeight="1" x14ac:dyDescent="0.2">
      <c r="A49" s="141" t="s">
        <v>313</v>
      </c>
      <c r="B49" s="187" t="s">
        <v>1759</v>
      </c>
      <c r="C49" s="141">
        <v>2015</v>
      </c>
      <c r="D49" s="183">
        <v>7</v>
      </c>
      <c r="E49" s="135">
        <v>2620</v>
      </c>
      <c r="F49" s="192" t="s">
        <v>605</v>
      </c>
      <c r="G49" s="183">
        <v>1</v>
      </c>
      <c r="H49" s="183">
        <v>0</v>
      </c>
      <c r="I49" s="183">
        <v>1</v>
      </c>
      <c r="J49" s="183">
        <v>0</v>
      </c>
      <c r="K49" s="183">
        <v>0</v>
      </c>
      <c r="L49" s="183">
        <v>1</v>
      </c>
      <c r="M49" s="183">
        <v>1</v>
      </c>
      <c r="N49" s="183">
        <v>1</v>
      </c>
      <c r="O49" s="183">
        <v>1</v>
      </c>
      <c r="P49" s="183">
        <v>0</v>
      </c>
      <c r="Q49" s="183">
        <v>0</v>
      </c>
      <c r="R49" s="183">
        <v>0</v>
      </c>
      <c r="S49" s="183">
        <v>0</v>
      </c>
      <c r="T49" s="183">
        <v>0</v>
      </c>
      <c r="U49" s="183">
        <v>0</v>
      </c>
      <c r="V49" s="183">
        <v>1</v>
      </c>
      <c r="W49" s="183">
        <v>1</v>
      </c>
      <c r="X49" s="183">
        <v>0</v>
      </c>
      <c r="Y49" s="183">
        <v>0</v>
      </c>
      <c r="Z49" s="183">
        <v>0</v>
      </c>
      <c r="AA49" s="183">
        <v>0</v>
      </c>
      <c r="AB49" s="183">
        <v>1</v>
      </c>
      <c r="AC49" s="183">
        <v>1</v>
      </c>
      <c r="AD49" s="183">
        <v>1</v>
      </c>
      <c r="AE49" s="183">
        <v>0</v>
      </c>
      <c r="AF49" s="190">
        <v>1</v>
      </c>
      <c r="AG49" s="183">
        <v>11</v>
      </c>
    </row>
    <row r="50" spans="1:41" ht="15" customHeight="1" x14ac:dyDescent="0.2">
      <c r="A50" s="141" t="s">
        <v>313</v>
      </c>
      <c r="B50" s="187" t="s">
        <v>1759</v>
      </c>
      <c r="C50" s="141">
        <v>2015</v>
      </c>
      <c r="D50" s="183">
        <v>7</v>
      </c>
      <c r="E50" s="135">
        <v>1894</v>
      </c>
      <c r="F50" s="192" t="s">
        <v>795</v>
      </c>
      <c r="G50" s="183">
        <v>1</v>
      </c>
      <c r="H50" s="183">
        <v>0</v>
      </c>
      <c r="I50" s="183">
        <v>1</v>
      </c>
      <c r="J50" s="183">
        <v>1</v>
      </c>
      <c r="K50" s="183">
        <v>1</v>
      </c>
      <c r="L50" s="183">
        <v>1</v>
      </c>
      <c r="M50" s="183">
        <v>0</v>
      </c>
      <c r="N50" s="183">
        <v>0</v>
      </c>
      <c r="O50" s="183">
        <v>1</v>
      </c>
      <c r="P50" s="183">
        <v>1</v>
      </c>
      <c r="Q50" s="183">
        <v>1</v>
      </c>
      <c r="R50" s="183">
        <v>1</v>
      </c>
      <c r="S50" s="183">
        <v>1</v>
      </c>
      <c r="T50" s="183">
        <v>0</v>
      </c>
      <c r="U50" s="183">
        <v>1</v>
      </c>
      <c r="V50" s="183">
        <v>1</v>
      </c>
      <c r="W50" s="183">
        <v>0</v>
      </c>
      <c r="X50" s="183">
        <v>1</v>
      </c>
      <c r="Y50" s="183">
        <v>1</v>
      </c>
      <c r="Z50" s="183">
        <v>1</v>
      </c>
      <c r="AA50" s="183">
        <v>1</v>
      </c>
      <c r="AB50" s="183">
        <v>0</v>
      </c>
      <c r="AC50" s="183">
        <v>1</v>
      </c>
      <c r="AD50" s="183">
        <v>0</v>
      </c>
      <c r="AE50" s="183">
        <v>0</v>
      </c>
      <c r="AF50" s="190">
        <v>0.1</v>
      </c>
      <c r="AG50" s="183">
        <v>17</v>
      </c>
      <c r="AI50" s="5" t="s">
        <v>1655</v>
      </c>
      <c r="AJ50" s="5" t="s">
        <v>1659</v>
      </c>
      <c r="AL50" s="5" t="s">
        <v>1668</v>
      </c>
      <c r="AM50" s="5" t="s">
        <v>1671</v>
      </c>
      <c r="AO50" s="5" t="s">
        <v>1668</v>
      </c>
    </row>
    <row r="51" spans="1:41" ht="15" customHeight="1" x14ac:dyDescent="0.2">
      <c r="A51" s="141" t="s">
        <v>313</v>
      </c>
      <c r="B51" s="187" t="s">
        <v>1759</v>
      </c>
      <c r="C51" s="141">
        <v>2015</v>
      </c>
      <c r="D51" s="183">
        <v>7</v>
      </c>
      <c r="E51" s="135">
        <v>1066</v>
      </c>
      <c r="F51" s="192" t="s">
        <v>1082</v>
      </c>
      <c r="G51" s="183">
        <v>0</v>
      </c>
      <c r="H51" s="183">
        <v>0</v>
      </c>
      <c r="I51" s="183">
        <v>0</v>
      </c>
      <c r="J51" s="183">
        <v>1</v>
      </c>
      <c r="K51" s="183">
        <v>0</v>
      </c>
      <c r="L51" s="183">
        <v>0</v>
      </c>
      <c r="M51" s="183">
        <v>0</v>
      </c>
      <c r="N51" s="183">
        <v>0</v>
      </c>
      <c r="O51" s="183">
        <v>0</v>
      </c>
      <c r="P51" s="183">
        <v>0</v>
      </c>
      <c r="Q51" s="183">
        <v>1</v>
      </c>
      <c r="R51" s="183">
        <v>0</v>
      </c>
      <c r="S51" s="183">
        <v>0</v>
      </c>
      <c r="T51" s="183">
        <v>1</v>
      </c>
      <c r="U51" s="183">
        <v>1</v>
      </c>
      <c r="V51" s="183">
        <v>0</v>
      </c>
      <c r="W51" s="183">
        <v>1</v>
      </c>
      <c r="X51" s="183">
        <v>1</v>
      </c>
      <c r="Y51" s="183">
        <v>0</v>
      </c>
      <c r="Z51" s="183">
        <v>0</v>
      </c>
      <c r="AA51" s="183">
        <v>0</v>
      </c>
      <c r="AB51" s="183">
        <v>0</v>
      </c>
      <c r="AC51" s="183">
        <v>1</v>
      </c>
      <c r="AD51" s="183">
        <v>1</v>
      </c>
      <c r="AE51" s="183">
        <v>0</v>
      </c>
      <c r="AF51" s="190">
        <v>10</v>
      </c>
      <c r="AG51" s="183">
        <v>8</v>
      </c>
    </row>
    <row r="52" spans="1:41" ht="15" customHeight="1" x14ac:dyDescent="0.2">
      <c r="A52" s="141" t="s">
        <v>313</v>
      </c>
      <c r="B52" s="187" t="s">
        <v>1759</v>
      </c>
      <c r="C52" s="141">
        <v>2015</v>
      </c>
      <c r="D52" s="183">
        <v>7</v>
      </c>
      <c r="E52" s="135">
        <v>2628</v>
      </c>
      <c r="F52" s="192" t="s">
        <v>597</v>
      </c>
      <c r="G52" s="188">
        <v>0</v>
      </c>
      <c r="H52" s="188">
        <v>0</v>
      </c>
      <c r="I52" s="188">
        <v>0</v>
      </c>
      <c r="J52" s="188">
        <v>0</v>
      </c>
      <c r="K52" s="188">
        <v>1</v>
      </c>
      <c r="L52" s="188">
        <v>0</v>
      </c>
      <c r="M52" s="188">
        <v>0</v>
      </c>
      <c r="N52" s="188">
        <v>0</v>
      </c>
      <c r="O52" s="188">
        <v>0</v>
      </c>
      <c r="P52" s="188">
        <v>0</v>
      </c>
      <c r="Q52" s="188">
        <v>0</v>
      </c>
      <c r="R52" s="188">
        <v>0</v>
      </c>
      <c r="S52" s="188">
        <v>0</v>
      </c>
      <c r="T52" s="188">
        <v>0</v>
      </c>
      <c r="U52" s="188">
        <v>0</v>
      </c>
      <c r="V52" s="188">
        <v>0</v>
      </c>
      <c r="W52" s="188">
        <v>0</v>
      </c>
      <c r="X52" s="188">
        <v>0</v>
      </c>
      <c r="Y52" s="188">
        <v>0</v>
      </c>
      <c r="Z52" s="188">
        <v>0</v>
      </c>
      <c r="AA52" s="188">
        <v>0</v>
      </c>
      <c r="AB52" s="188">
        <v>0</v>
      </c>
      <c r="AC52" s="188">
        <v>0</v>
      </c>
      <c r="AD52" s="188">
        <v>0</v>
      </c>
      <c r="AE52" s="188">
        <v>0</v>
      </c>
      <c r="AF52" s="190">
        <v>0.1</v>
      </c>
      <c r="AG52" s="183">
        <v>1</v>
      </c>
      <c r="AI52" s="5" t="s">
        <v>1655</v>
      </c>
      <c r="AL52" s="5" t="s">
        <v>1668</v>
      </c>
      <c r="AO52" s="5" t="s">
        <v>1668</v>
      </c>
    </row>
    <row r="53" spans="1:41" ht="15" customHeight="1" x14ac:dyDescent="0.2">
      <c r="A53" s="141" t="s">
        <v>313</v>
      </c>
      <c r="B53" s="187" t="s">
        <v>1759</v>
      </c>
      <c r="C53" s="141">
        <v>2015</v>
      </c>
      <c r="D53" s="188">
        <v>7</v>
      </c>
      <c r="E53" s="135" t="e">
        <v>#N/A</v>
      </c>
      <c r="F53" s="192" t="s">
        <v>1772</v>
      </c>
      <c r="G53" s="188">
        <v>0</v>
      </c>
      <c r="H53" s="188">
        <v>0</v>
      </c>
      <c r="I53" s="188">
        <v>0</v>
      </c>
      <c r="J53" s="188">
        <v>0</v>
      </c>
      <c r="K53" s="188">
        <v>0</v>
      </c>
      <c r="L53" s="188">
        <v>0</v>
      </c>
      <c r="M53" s="188">
        <v>0</v>
      </c>
      <c r="N53" s="188">
        <v>0</v>
      </c>
      <c r="O53" s="188">
        <v>0</v>
      </c>
      <c r="P53" s="188">
        <v>0</v>
      </c>
      <c r="Q53" s="188">
        <v>0</v>
      </c>
      <c r="R53" s="188">
        <v>0</v>
      </c>
      <c r="S53" s="188">
        <v>0</v>
      </c>
      <c r="T53" s="188">
        <v>0</v>
      </c>
      <c r="U53" s="188">
        <v>0</v>
      </c>
      <c r="V53" s="188">
        <v>0</v>
      </c>
      <c r="W53" s="188">
        <v>0</v>
      </c>
      <c r="X53" s="188">
        <v>0</v>
      </c>
      <c r="Y53" s="188">
        <v>0</v>
      </c>
      <c r="Z53" s="188">
        <v>0</v>
      </c>
      <c r="AA53" s="188">
        <v>0</v>
      </c>
      <c r="AB53" s="188">
        <v>0</v>
      </c>
      <c r="AC53" s="188">
        <v>0</v>
      </c>
      <c r="AD53" s="188">
        <v>0</v>
      </c>
      <c r="AE53" s="188">
        <v>1</v>
      </c>
      <c r="AF53" s="191">
        <v>2</v>
      </c>
      <c r="AG53" s="183">
        <v>1</v>
      </c>
      <c r="AL53" s="5" t="s">
        <v>1434</v>
      </c>
      <c r="AO53" s="5" t="s">
        <v>1434</v>
      </c>
    </row>
    <row r="54" spans="1:41" ht="15" customHeight="1" x14ac:dyDescent="0.2">
      <c r="A54" s="141" t="s">
        <v>313</v>
      </c>
      <c r="B54" s="187" t="s">
        <v>1759</v>
      </c>
      <c r="C54" s="141">
        <v>2015</v>
      </c>
      <c r="D54" s="183">
        <v>8</v>
      </c>
      <c r="E54" s="135">
        <v>278</v>
      </c>
      <c r="F54" s="192" t="s">
        <v>132</v>
      </c>
      <c r="G54" s="183">
        <v>1</v>
      </c>
      <c r="H54" s="183">
        <v>1</v>
      </c>
      <c r="I54" s="183">
        <v>1</v>
      </c>
      <c r="J54" s="183">
        <v>1</v>
      </c>
      <c r="K54" s="183">
        <v>1</v>
      </c>
      <c r="L54" s="183">
        <v>1</v>
      </c>
      <c r="M54" s="183">
        <v>1</v>
      </c>
      <c r="N54" s="183">
        <v>1</v>
      </c>
      <c r="O54" s="183">
        <v>1</v>
      </c>
      <c r="P54" s="183">
        <v>1</v>
      </c>
      <c r="Q54" s="183">
        <v>1</v>
      </c>
      <c r="R54" s="183">
        <v>0</v>
      </c>
      <c r="S54" s="183">
        <v>1</v>
      </c>
      <c r="T54" s="183">
        <v>1</v>
      </c>
      <c r="U54" s="183">
        <v>1</v>
      </c>
      <c r="V54" s="183">
        <v>1</v>
      </c>
      <c r="W54" s="183">
        <v>1</v>
      </c>
      <c r="X54" s="183">
        <v>0</v>
      </c>
      <c r="Y54" s="183">
        <v>1</v>
      </c>
      <c r="Z54" s="183">
        <v>0</v>
      </c>
      <c r="AA54" s="183">
        <v>0</v>
      </c>
      <c r="AB54" s="183">
        <v>0</v>
      </c>
      <c r="AC54" s="183">
        <v>0</v>
      </c>
      <c r="AD54" s="183">
        <v>1</v>
      </c>
      <c r="AE54" s="183">
        <v>0</v>
      </c>
      <c r="AF54" s="190">
        <v>15</v>
      </c>
      <c r="AG54" s="183">
        <v>18</v>
      </c>
    </row>
    <row r="55" spans="1:41" ht="15" customHeight="1" x14ac:dyDescent="0.2">
      <c r="A55" s="141" t="s">
        <v>313</v>
      </c>
      <c r="B55" s="187" t="s">
        <v>1759</v>
      </c>
      <c r="C55" s="141">
        <v>2015</v>
      </c>
      <c r="D55" s="188">
        <v>8</v>
      </c>
      <c r="E55" s="135">
        <v>1576</v>
      </c>
      <c r="F55" s="192" t="s">
        <v>882</v>
      </c>
      <c r="G55" s="188">
        <v>1</v>
      </c>
      <c r="H55" s="188">
        <v>1</v>
      </c>
      <c r="I55" s="188">
        <v>1</v>
      </c>
      <c r="J55" s="188">
        <v>1</v>
      </c>
      <c r="K55" s="188">
        <v>1</v>
      </c>
      <c r="L55" s="188">
        <v>1</v>
      </c>
      <c r="M55" s="188">
        <v>0</v>
      </c>
      <c r="N55" s="188">
        <v>0</v>
      </c>
      <c r="O55" s="188">
        <v>0</v>
      </c>
      <c r="P55" s="188">
        <v>1</v>
      </c>
      <c r="Q55" s="188">
        <v>0</v>
      </c>
      <c r="R55" s="188">
        <v>0</v>
      </c>
      <c r="S55" s="188">
        <v>0</v>
      </c>
      <c r="T55" s="188">
        <v>1</v>
      </c>
      <c r="U55" s="188">
        <v>1</v>
      </c>
      <c r="V55" s="188">
        <v>1</v>
      </c>
      <c r="W55" s="188">
        <v>0</v>
      </c>
      <c r="X55" s="188">
        <v>1</v>
      </c>
      <c r="Y55" s="188">
        <v>1</v>
      </c>
      <c r="Z55" s="188">
        <v>1</v>
      </c>
      <c r="AA55" s="188">
        <v>0</v>
      </c>
      <c r="AB55" s="188">
        <v>0</v>
      </c>
      <c r="AC55" s="188">
        <v>1</v>
      </c>
      <c r="AD55" s="188">
        <v>1</v>
      </c>
      <c r="AE55" s="188">
        <v>1</v>
      </c>
      <c r="AF55" s="191">
        <v>4</v>
      </c>
      <c r="AG55" s="183">
        <v>16</v>
      </c>
      <c r="AL55" s="5" t="s">
        <v>1434</v>
      </c>
      <c r="AO55" s="5" t="s">
        <v>1434</v>
      </c>
    </row>
    <row r="56" spans="1:41" ht="15" customHeight="1" x14ac:dyDescent="0.2">
      <c r="A56" s="141" t="s">
        <v>313</v>
      </c>
      <c r="B56" s="187" t="s">
        <v>1759</v>
      </c>
      <c r="C56" s="141">
        <v>2015</v>
      </c>
      <c r="D56" s="188">
        <v>8</v>
      </c>
      <c r="E56" s="135">
        <v>2824</v>
      </c>
      <c r="F56" s="192" t="s">
        <v>1977</v>
      </c>
      <c r="G56" s="188">
        <v>0</v>
      </c>
      <c r="H56" s="188">
        <v>0</v>
      </c>
      <c r="I56" s="188">
        <v>1</v>
      </c>
      <c r="J56" s="188">
        <v>0</v>
      </c>
      <c r="K56" s="188">
        <v>0</v>
      </c>
      <c r="L56" s="188">
        <v>0</v>
      </c>
      <c r="M56" s="188">
        <v>0</v>
      </c>
      <c r="N56" s="188">
        <v>0</v>
      </c>
      <c r="O56" s="188">
        <v>0</v>
      </c>
      <c r="P56" s="188">
        <v>0</v>
      </c>
      <c r="Q56" s="188">
        <v>0</v>
      </c>
      <c r="R56" s="188">
        <v>0</v>
      </c>
      <c r="S56" s="188">
        <v>0</v>
      </c>
      <c r="T56" s="188">
        <v>0</v>
      </c>
      <c r="U56" s="188">
        <v>0</v>
      </c>
      <c r="V56" s="188">
        <v>0</v>
      </c>
      <c r="W56" s="188">
        <v>0</v>
      </c>
      <c r="X56" s="188">
        <v>0</v>
      </c>
      <c r="Y56" s="188">
        <v>0</v>
      </c>
      <c r="Z56" s="188">
        <v>1</v>
      </c>
      <c r="AA56" s="188">
        <v>0</v>
      </c>
      <c r="AB56" s="188">
        <v>0</v>
      </c>
      <c r="AC56" s="188">
        <v>0</v>
      </c>
      <c r="AD56" s="188">
        <v>0</v>
      </c>
      <c r="AE56" s="188">
        <v>0</v>
      </c>
      <c r="AF56" s="190">
        <v>0.1</v>
      </c>
      <c r="AG56" s="183">
        <v>2</v>
      </c>
    </row>
    <row r="57" spans="1:41" ht="15" customHeight="1" x14ac:dyDescent="0.2">
      <c r="A57" s="141" t="s">
        <v>313</v>
      </c>
      <c r="B57" s="187" t="s">
        <v>1759</v>
      </c>
      <c r="C57" s="141">
        <v>2015</v>
      </c>
      <c r="D57" s="183">
        <v>8</v>
      </c>
      <c r="E57" s="135">
        <v>2359</v>
      </c>
      <c r="F57" s="189" t="s">
        <v>665</v>
      </c>
      <c r="G57" s="183">
        <v>1</v>
      </c>
      <c r="H57" s="183">
        <v>1</v>
      </c>
      <c r="I57" s="183">
        <v>0</v>
      </c>
      <c r="J57" s="183">
        <v>1</v>
      </c>
      <c r="K57" s="183">
        <v>0</v>
      </c>
      <c r="L57" s="183">
        <v>1</v>
      </c>
      <c r="M57" s="183">
        <v>0</v>
      </c>
      <c r="N57" s="183">
        <v>0</v>
      </c>
      <c r="O57" s="183">
        <v>0</v>
      </c>
      <c r="P57" s="183">
        <v>1</v>
      </c>
      <c r="Q57" s="183">
        <v>0</v>
      </c>
      <c r="R57" s="183">
        <v>0</v>
      </c>
      <c r="S57" s="183">
        <v>0</v>
      </c>
      <c r="T57" s="183">
        <v>0</v>
      </c>
      <c r="U57" s="183">
        <v>1</v>
      </c>
      <c r="V57" s="183">
        <v>1</v>
      </c>
      <c r="W57" s="183">
        <v>1</v>
      </c>
      <c r="X57" s="183">
        <v>0</v>
      </c>
      <c r="Y57" s="183">
        <v>1</v>
      </c>
      <c r="Z57" s="183">
        <v>1</v>
      </c>
      <c r="AA57" s="183">
        <v>0</v>
      </c>
      <c r="AB57" s="183">
        <v>0</v>
      </c>
      <c r="AC57" s="183">
        <v>1</v>
      </c>
      <c r="AD57" s="183">
        <v>1</v>
      </c>
      <c r="AE57" s="183">
        <v>1</v>
      </c>
      <c r="AF57" s="190">
        <v>0.1</v>
      </c>
      <c r="AG57" s="183">
        <v>13</v>
      </c>
    </row>
    <row r="58" spans="1:41" ht="15" customHeight="1" x14ac:dyDescent="0.2">
      <c r="A58" s="141" t="s">
        <v>313</v>
      </c>
      <c r="B58" s="187" t="s">
        <v>1759</v>
      </c>
      <c r="C58" s="141">
        <v>2015</v>
      </c>
      <c r="D58" s="183">
        <v>8</v>
      </c>
      <c r="E58" s="135">
        <v>2362</v>
      </c>
      <c r="F58" s="189" t="s">
        <v>663</v>
      </c>
      <c r="G58" s="183">
        <v>1</v>
      </c>
      <c r="H58" s="183">
        <v>1</v>
      </c>
      <c r="I58" s="183">
        <v>1</v>
      </c>
      <c r="J58" s="183">
        <v>1</v>
      </c>
      <c r="K58" s="183">
        <v>0</v>
      </c>
      <c r="L58" s="183">
        <v>0</v>
      </c>
      <c r="M58" s="183">
        <v>0</v>
      </c>
      <c r="N58" s="183">
        <v>0</v>
      </c>
      <c r="O58" s="183">
        <v>1</v>
      </c>
      <c r="P58" s="183">
        <v>1</v>
      </c>
      <c r="Q58" s="183">
        <v>0</v>
      </c>
      <c r="R58" s="183">
        <v>1</v>
      </c>
      <c r="S58" s="183">
        <v>0</v>
      </c>
      <c r="T58" s="183">
        <v>1</v>
      </c>
      <c r="U58" s="183">
        <v>1</v>
      </c>
      <c r="V58" s="183">
        <v>1</v>
      </c>
      <c r="W58" s="183">
        <v>1</v>
      </c>
      <c r="X58" s="183">
        <v>0</v>
      </c>
      <c r="Y58" s="183">
        <v>1</v>
      </c>
      <c r="Z58" s="183">
        <v>1</v>
      </c>
      <c r="AA58" s="183">
        <v>1</v>
      </c>
      <c r="AB58" s="183">
        <v>1</v>
      </c>
      <c r="AC58" s="183">
        <v>1</v>
      </c>
      <c r="AD58" s="183">
        <v>1</v>
      </c>
      <c r="AE58" s="183">
        <v>1</v>
      </c>
      <c r="AF58" s="190">
        <v>0.1</v>
      </c>
      <c r="AG58" s="183">
        <v>18</v>
      </c>
    </row>
    <row r="59" spans="1:41" ht="15" customHeight="1" x14ac:dyDescent="0.2">
      <c r="A59" s="141" t="s">
        <v>313</v>
      </c>
      <c r="B59" s="187" t="s">
        <v>1759</v>
      </c>
      <c r="C59" s="141">
        <v>2015</v>
      </c>
      <c r="D59" s="188">
        <v>8</v>
      </c>
      <c r="E59" s="135" t="e">
        <v>#N/A</v>
      </c>
      <c r="F59" s="192" t="s">
        <v>1767</v>
      </c>
      <c r="G59" s="188">
        <v>0</v>
      </c>
      <c r="H59" s="188">
        <v>0</v>
      </c>
      <c r="I59" s="188">
        <v>0</v>
      </c>
      <c r="J59" s="188">
        <v>0</v>
      </c>
      <c r="K59" s="188">
        <v>0</v>
      </c>
      <c r="L59" s="188">
        <v>0</v>
      </c>
      <c r="M59" s="188">
        <v>0</v>
      </c>
      <c r="N59" s="188">
        <v>0</v>
      </c>
      <c r="O59" s="188">
        <v>0</v>
      </c>
      <c r="P59" s="188">
        <v>0</v>
      </c>
      <c r="Q59" s="188">
        <v>0</v>
      </c>
      <c r="R59" s="188">
        <v>0</v>
      </c>
      <c r="S59" s="188">
        <v>0</v>
      </c>
      <c r="T59" s="188">
        <v>0</v>
      </c>
      <c r="U59" s="188">
        <v>0</v>
      </c>
      <c r="V59" s="188">
        <v>0</v>
      </c>
      <c r="W59" s="188">
        <v>0</v>
      </c>
      <c r="X59" s="188">
        <v>0</v>
      </c>
      <c r="Y59" s="188">
        <v>0</v>
      </c>
      <c r="Z59" s="188">
        <v>0</v>
      </c>
      <c r="AA59" s="188">
        <v>0</v>
      </c>
      <c r="AB59" s="188">
        <v>0</v>
      </c>
      <c r="AC59" s="188">
        <v>0</v>
      </c>
      <c r="AD59" s="188">
        <v>0</v>
      </c>
      <c r="AE59" s="188">
        <v>1</v>
      </c>
      <c r="AF59" s="191">
        <v>0.1</v>
      </c>
      <c r="AG59" s="183">
        <v>1</v>
      </c>
      <c r="AI59" s="5" t="s">
        <v>1656</v>
      </c>
      <c r="AL59" s="5" t="s">
        <v>1434</v>
      </c>
      <c r="AO59" s="5" t="s">
        <v>1434</v>
      </c>
    </row>
    <row r="60" spans="1:41" ht="15" customHeight="1" x14ac:dyDescent="0.2">
      <c r="A60" s="141" t="s">
        <v>313</v>
      </c>
      <c r="B60" s="187" t="s">
        <v>1759</v>
      </c>
      <c r="C60" s="141">
        <v>2015</v>
      </c>
      <c r="D60" s="188">
        <v>8</v>
      </c>
      <c r="E60" s="135">
        <v>478</v>
      </c>
      <c r="F60" s="192" t="s">
        <v>24</v>
      </c>
      <c r="G60" s="188">
        <v>0</v>
      </c>
      <c r="H60" s="188">
        <v>1</v>
      </c>
      <c r="I60" s="188">
        <v>0</v>
      </c>
      <c r="J60" s="188">
        <v>0</v>
      </c>
      <c r="K60" s="188">
        <v>0</v>
      </c>
      <c r="L60" s="188">
        <v>0</v>
      </c>
      <c r="M60" s="188">
        <v>0</v>
      </c>
      <c r="N60" s="188">
        <v>0</v>
      </c>
      <c r="O60" s="188">
        <v>0</v>
      </c>
      <c r="P60" s="188">
        <v>0</v>
      </c>
      <c r="Q60" s="188">
        <v>0</v>
      </c>
      <c r="R60" s="188">
        <v>0</v>
      </c>
      <c r="S60" s="188">
        <v>0</v>
      </c>
      <c r="T60" s="188">
        <v>0</v>
      </c>
      <c r="U60" s="188">
        <v>0</v>
      </c>
      <c r="V60" s="188">
        <v>0</v>
      </c>
      <c r="W60" s="188">
        <v>0</v>
      </c>
      <c r="X60" s="188">
        <v>0</v>
      </c>
      <c r="Y60" s="188">
        <v>0</v>
      </c>
      <c r="Z60" s="188">
        <v>0</v>
      </c>
      <c r="AA60" s="188">
        <v>0</v>
      </c>
      <c r="AB60" s="188">
        <v>0</v>
      </c>
      <c r="AC60" s="188">
        <v>0</v>
      </c>
      <c r="AD60" s="188">
        <v>0</v>
      </c>
      <c r="AE60" s="188">
        <v>0</v>
      </c>
      <c r="AF60" s="191">
        <v>0.1</v>
      </c>
      <c r="AG60" s="183">
        <v>1</v>
      </c>
      <c r="AH60" s="4"/>
    </row>
    <row r="61" spans="1:41" ht="15" customHeight="1" x14ac:dyDescent="0.2">
      <c r="A61" s="141" t="s">
        <v>313</v>
      </c>
      <c r="B61" s="187" t="s">
        <v>1759</v>
      </c>
      <c r="C61" s="141">
        <v>2015</v>
      </c>
      <c r="D61" s="183">
        <v>8</v>
      </c>
      <c r="E61" s="135">
        <v>1638</v>
      </c>
      <c r="F61" s="189" t="s">
        <v>861</v>
      </c>
      <c r="G61" s="183">
        <v>1</v>
      </c>
      <c r="H61" s="183">
        <v>0</v>
      </c>
      <c r="I61" s="183">
        <v>0</v>
      </c>
      <c r="J61" s="183">
        <v>0</v>
      </c>
      <c r="K61" s="183">
        <v>0</v>
      </c>
      <c r="L61" s="183">
        <v>0</v>
      </c>
      <c r="M61" s="183">
        <v>0</v>
      </c>
      <c r="N61" s="183">
        <v>0</v>
      </c>
      <c r="O61" s="183">
        <v>0</v>
      </c>
      <c r="P61" s="183">
        <v>1</v>
      </c>
      <c r="Q61" s="183">
        <v>0</v>
      </c>
      <c r="R61" s="183">
        <v>0</v>
      </c>
      <c r="S61" s="183">
        <v>0</v>
      </c>
      <c r="T61" s="183">
        <v>0</v>
      </c>
      <c r="U61" s="183">
        <v>0</v>
      </c>
      <c r="V61" s="183">
        <v>0</v>
      </c>
      <c r="W61" s="183">
        <v>0</v>
      </c>
      <c r="X61" s="183">
        <v>0</v>
      </c>
      <c r="Y61" s="183">
        <v>0</v>
      </c>
      <c r="Z61" s="183">
        <v>0</v>
      </c>
      <c r="AA61" s="183">
        <v>0</v>
      </c>
      <c r="AB61" s="183">
        <v>0</v>
      </c>
      <c r="AC61" s="183">
        <v>0</v>
      </c>
      <c r="AD61" s="183">
        <v>0</v>
      </c>
      <c r="AE61" s="183">
        <v>0</v>
      </c>
      <c r="AF61" s="190">
        <v>0.1</v>
      </c>
      <c r="AG61" s="183">
        <v>2</v>
      </c>
      <c r="AL61" s="5" t="s">
        <v>1671</v>
      </c>
      <c r="AO61" s="5" t="s">
        <v>1671</v>
      </c>
    </row>
    <row r="62" spans="1:41" ht="15" customHeight="1" x14ac:dyDescent="0.2">
      <c r="A62" s="141" t="s">
        <v>313</v>
      </c>
      <c r="B62" s="187" t="s">
        <v>1759</v>
      </c>
      <c r="C62" s="141">
        <v>2015</v>
      </c>
      <c r="D62" s="183">
        <v>8</v>
      </c>
      <c r="E62" s="135">
        <v>541</v>
      </c>
      <c r="F62" s="189" t="s">
        <v>1313</v>
      </c>
      <c r="G62" s="183">
        <v>1</v>
      </c>
      <c r="H62" s="183">
        <v>1</v>
      </c>
      <c r="I62" s="183">
        <v>1</v>
      </c>
      <c r="J62" s="183">
        <v>1</v>
      </c>
      <c r="K62" s="183">
        <v>1</v>
      </c>
      <c r="L62" s="183">
        <v>1</v>
      </c>
      <c r="M62" s="183">
        <v>1</v>
      </c>
      <c r="N62" s="183">
        <v>1</v>
      </c>
      <c r="O62" s="183">
        <v>1</v>
      </c>
      <c r="P62" s="183">
        <v>1</v>
      </c>
      <c r="Q62" s="183">
        <v>1</v>
      </c>
      <c r="R62" s="183">
        <v>1</v>
      </c>
      <c r="S62" s="183">
        <v>1</v>
      </c>
      <c r="T62" s="183">
        <v>1</v>
      </c>
      <c r="U62" s="183">
        <v>1</v>
      </c>
      <c r="V62" s="183">
        <v>0</v>
      </c>
      <c r="W62" s="183">
        <v>0</v>
      </c>
      <c r="X62" s="183">
        <v>1</v>
      </c>
      <c r="Y62" s="183">
        <v>1</v>
      </c>
      <c r="Z62" s="183">
        <v>1</v>
      </c>
      <c r="AA62" s="183">
        <v>1</v>
      </c>
      <c r="AB62" s="183">
        <v>1</v>
      </c>
      <c r="AC62" s="183">
        <v>1</v>
      </c>
      <c r="AD62" s="183">
        <v>1</v>
      </c>
      <c r="AE62" s="183">
        <v>1</v>
      </c>
      <c r="AF62" s="190">
        <v>75</v>
      </c>
      <c r="AG62" s="183">
        <v>23</v>
      </c>
    </row>
    <row r="63" spans="1:41" ht="15" customHeight="1" x14ac:dyDescent="0.2">
      <c r="A63" s="141" t="s">
        <v>313</v>
      </c>
      <c r="B63" s="187" t="s">
        <v>1759</v>
      </c>
      <c r="C63" s="141">
        <v>2015</v>
      </c>
      <c r="D63" s="183">
        <v>8</v>
      </c>
      <c r="E63" s="135">
        <v>2695</v>
      </c>
      <c r="F63" s="192" t="s">
        <v>569</v>
      </c>
      <c r="G63" s="183">
        <v>0</v>
      </c>
      <c r="H63" s="183">
        <v>0</v>
      </c>
      <c r="I63" s="183">
        <v>0</v>
      </c>
      <c r="J63" s="183">
        <v>0</v>
      </c>
      <c r="K63" s="183">
        <v>0</v>
      </c>
      <c r="L63" s="183">
        <v>0</v>
      </c>
      <c r="M63" s="183">
        <v>0</v>
      </c>
      <c r="N63" s="183">
        <v>0</v>
      </c>
      <c r="O63" s="183">
        <v>0</v>
      </c>
      <c r="P63" s="183">
        <v>0</v>
      </c>
      <c r="Q63" s="183">
        <v>1</v>
      </c>
      <c r="R63" s="183">
        <v>1</v>
      </c>
      <c r="S63" s="183">
        <v>1</v>
      </c>
      <c r="T63" s="183">
        <v>0</v>
      </c>
      <c r="U63" s="183">
        <v>0</v>
      </c>
      <c r="V63" s="183">
        <v>0</v>
      </c>
      <c r="W63" s="183">
        <v>1</v>
      </c>
      <c r="X63" s="183">
        <v>0</v>
      </c>
      <c r="Y63" s="183">
        <v>0</v>
      </c>
      <c r="Z63" s="183">
        <v>0</v>
      </c>
      <c r="AA63" s="183">
        <v>0</v>
      </c>
      <c r="AB63" s="183">
        <v>0</v>
      </c>
      <c r="AC63" s="183">
        <v>0</v>
      </c>
      <c r="AD63" s="183">
        <v>0</v>
      </c>
      <c r="AE63" s="183">
        <v>0</v>
      </c>
      <c r="AF63" s="190">
        <v>2</v>
      </c>
      <c r="AG63" s="183">
        <v>4</v>
      </c>
    </row>
    <row r="64" spans="1:41" ht="15" customHeight="1" x14ac:dyDescent="0.2">
      <c r="A64" s="141" t="s">
        <v>313</v>
      </c>
      <c r="B64" s="187" t="s">
        <v>1759</v>
      </c>
      <c r="C64" s="141">
        <v>2015</v>
      </c>
      <c r="D64" s="183">
        <v>8</v>
      </c>
      <c r="E64" s="135">
        <v>1677</v>
      </c>
      <c r="F64" s="192" t="s">
        <v>851</v>
      </c>
      <c r="G64" s="183">
        <v>0</v>
      </c>
      <c r="H64" s="183">
        <v>1</v>
      </c>
      <c r="I64" s="183">
        <v>1</v>
      </c>
      <c r="J64" s="183">
        <v>0</v>
      </c>
      <c r="K64" s="183">
        <v>0</v>
      </c>
      <c r="L64" s="183">
        <v>0</v>
      </c>
      <c r="M64" s="183">
        <v>1</v>
      </c>
      <c r="N64" s="183">
        <v>1</v>
      </c>
      <c r="O64" s="183">
        <v>1</v>
      </c>
      <c r="P64" s="183">
        <v>1</v>
      </c>
      <c r="Q64" s="183">
        <v>1</v>
      </c>
      <c r="R64" s="183">
        <v>1</v>
      </c>
      <c r="S64" s="183">
        <v>1</v>
      </c>
      <c r="T64" s="183">
        <v>0</v>
      </c>
      <c r="U64" s="183">
        <v>0</v>
      </c>
      <c r="V64" s="183">
        <v>0</v>
      </c>
      <c r="W64" s="183">
        <v>1</v>
      </c>
      <c r="X64" s="183">
        <v>1</v>
      </c>
      <c r="Y64" s="183">
        <v>0</v>
      </c>
      <c r="Z64" s="183">
        <v>0</v>
      </c>
      <c r="AA64" s="183">
        <v>0</v>
      </c>
      <c r="AB64" s="183">
        <v>0</v>
      </c>
      <c r="AC64" s="183">
        <v>0</v>
      </c>
      <c r="AD64" s="183">
        <v>0</v>
      </c>
      <c r="AE64" s="183">
        <v>0</v>
      </c>
      <c r="AF64" s="190">
        <v>0.5</v>
      </c>
      <c r="AG64" s="183">
        <v>11</v>
      </c>
    </row>
    <row r="65" spans="1:41" ht="15" customHeight="1" x14ac:dyDescent="0.2">
      <c r="A65" s="141" t="s">
        <v>313</v>
      </c>
      <c r="B65" s="187" t="s">
        <v>1759</v>
      </c>
      <c r="C65" s="141">
        <v>2015</v>
      </c>
      <c r="D65" s="183">
        <v>8</v>
      </c>
      <c r="E65" s="135">
        <v>1894</v>
      </c>
      <c r="F65" s="192" t="s">
        <v>795</v>
      </c>
      <c r="G65" s="183">
        <v>1</v>
      </c>
      <c r="H65" s="183">
        <v>1</v>
      </c>
      <c r="I65" s="183">
        <v>1</v>
      </c>
      <c r="J65" s="183">
        <v>1</v>
      </c>
      <c r="K65" s="183">
        <v>0</v>
      </c>
      <c r="L65" s="183">
        <v>0</v>
      </c>
      <c r="M65" s="183">
        <v>1</v>
      </c>
      <c r="N65" s="183">
        <v>0</v>
      </c>
      <c r="O65" s="183">
        <v>1</v>
      </c>
      <c r="P65" s="183">
        <v>1</v>
      </c>
      <c r="Q65" s="183">
        <v>1</v>
      </c>
      <c r="R65" s="183">
        <v>0</v>
      </c>
      <c r="S65" s="183">
        <v>1</v>
      </c>
      <c r="T65" s="183">
        <v>1</v>
      </c>
      <c r="U65" s="183">
        <v>1</v>
      </c>
      <c r="V65" s="183">
        <v>1</v>
      </c>
      <c r="W65" s="183">
        <v>0</v>
      </c>
      <c r="X65" s="183">
        <v>1</v>
      </c>
      <c r="Y65" s="183">
        <v>1</v>
      </c>
      <c r="Z65" s="183">
        <v>1</v>
      </c>
      <c r="AA65" s="183">
        <v>1</v>
      </c>
      <c r="AB65" s="183">
        <v>1</v>
      </c>
      <c r="AC65" s="183">
        <v>1</v>
      </c>
      <c r="AD65" s="183">
        <v>1</v>
      </c>
      <c r="AE65" s="183">
        <v>1</v>
      </c>
      <c r="AF65" s="190">
        <v>5</v>
      </c>
      <c r="AG65" s="183">
        <v>20</v>
      </c>
    </row>
    <row r="66" spans="1:41" ht="15" customHeight="1" x14ac:dyDescent="0.2">
      <c r="A66" s="141" t="s">
        <v>313</v>
      </c>
      <c r="B66" s="187" t="s">
        <v>1759</v>
      </c>
      <c r="C66" s="141">
        <v>2015</v>
      </c>
      <c r="D66" s="183">
        <v>8</v>
      </c>
      <c r="E66" s="135">
        <v>2628</v>
      </c>
      <c r="F66" s="192" t="s">
        <v>597</v>
      </c>
      <c r="G66" s="183">
        <v>0</v>
      </c>
      <c r="H66" s="183">
        <v>0</v>
      </c>
      <c r="I66" s="183">
        <v>0</v>
      </c>
      <c r="J66" s="183">
        <v>0</v>
      </c>
      <c r="K66" s="183">
        <v>0</v>
      </c>
      <c r="L66" s="183">
        <v>0</v>
      </c>
      <c r="M66" s="183">
        <v>0</v>
      </c>
      <c r="N66" s="183">
        <v>0</v>
      </c>
      <c r="O66" s="183">
        <v>0</v>
      </c>
      <c r="P66" s="183">
        <v>0</v>
      </c>
      <c r="Q66" s="183">
        <v>0</v>
      </c>
      <c r="R66" s="183">
        <v>0</v>
      </c>
      <c r="S66" s="183">
        <v>0</v>
      </c>
      <c r="T66" s="183">
        <v>0</v>
      </c>
      <c r="U66" s="183">
        <v>0</v>
      </c>
      <c r="V66" s="183">
        <v>0</v>
      </c>
      <c r="W66" s="183">
        <v>0</v>
      </c>
      <c r="X66" s="183">
        <v>0</v>
      </c>
      <c r="Y66" s="183">
        <v>0</v>
      </c>
      <c r="Z66" s="183">
        <v>0</v>
      </c>
      <c r="AA66" s="183">
        <v>0</v>
      </c>
      <c r="AB66" s="183">
        <v>0</v>
      </c>
      <c r="AC66" s="183">
        <v>0</v>
      </c>
      <c r="AD66" s="183">
        <v>1</v>
      </c>
      <c r="AE66" s="183">
        <v>0</v>
      </c>
      <c r="AF66" s="190">
        <v>0.1</v>
      </c>
      <c r="AG66" s="183">
        <v>1</v>
      </c>
    </row>
    <row r="67" spans="1:41" ht="15" customHeight="1" x14ac:dyDescent="0.2">
      <c r="A67" s="141" t="s">
        <v>313</v>
      </c>
      <c r="B67" s="187" t="s">
        <v>1759</v>
      </c>
      <c r="C67" s="141">
        <v>2015</v>
      </c>
      <c r="D67" s="183">
        <v>11</v>
      </c>
      <c r="E67" s="135">
        <v>2607</v>
      </c>
      <c r="F67" s="192" t="s">
        <v>616</v>
      </c>
      <c r="G67" s="183">
        <v>0</v>
      </c>
      <c r="H67" s="183">
        <v>0</v>
      </c>
      <c r="I67" s="183">
        <v>0</v>
      </c>
      <c r="J67" s="183">
        <v>0</v>
      </c>
      <c r="K67" s="183">
        <v>0</v>
      </c>
      <c r="L67" s="183">
        <v>0</v>
      </c>
      <c r="M67" s="183">
        <v>0</v>
      </c>
      <c r="N67" s="183">
        <v>0</v>
      </c>
      <c r="O67" s="183">
        <v>0</v>
      </c>
      <c r="P67" s="183">
        <v>0</v>
      </c>
      <c r="Q67" s="183">
        <v>1</v>
      </c>
      <c r="R67" s="183">
        <v>0</v>
      </c>
      <c r="S67" s="183">
        <v>0</v>
      </c>
      <c r="T67" s="183">
        <v>0</v>
      </c>
      <c r="U67" s="183">
        <v>1</v>
      </c>
      <c r="V67" s="183">
        <v>0</v>
      </c>
      <c r="W67" s="183">
        <v>1</v>
      </c>
      <c r="X67" s="183">
        <v>0</v>
      </c>
      <c r="Y67" s="183">
        <v>0</v>
      </c>
      <c r="Z67" s="183">
        <v>1</v>
      </c>
      <c r="AA67" s="183">
        <v>0</v>
      </c>
      <c r="AB67" s="183">
        <v>0</v>
      </c>
      <c r="AC67" s="183">
        <v>1</v>
      </c>
      <c r="AD67" s="183">
        <v>0</v>
      </c>
      <c r="AE67" s="183">
        <v>0</v>
      </c>
      <c r="AF67" s="191">
        <v>12</v>
      </c>
      <c r="AG67" s="183">
        <v>5</v>
      </c>
    </row>
    <row r="68" spans="1:41" ht="15" customHeight="1" x14ac:dyDescent="0.2">
      <c r="A68" s="141" t="s">
        <v>313</v>
      </c>
      <c r="B68" s="187" t="s">
        <v>1759</v>
      </c>
      <c r="C68" s="141">
        <v>2015</v>
      </c>
      <c r="D68" s="183">
        <v>11</v>
      </c>
      <c r="E68" s="135">
        <v>278</v>
      </c>
      <c r="F68" s="192" t="s">
        <v>132</v>
      </c>
      <c r="G68" s="183">
        <v>1</v>
      </c>
      <c r="H68" s="183">
        <v>1</v>
      </c>
      <c r="I68" s="183">
        <v>1</v>
      </c>
      <c r="J68" s="183">
        <v>1</v>
      </c>
      <c r="K68" s="183">
        <v>1</v>
      </c>
      <c r="L68" s="183">
        <v>1</v>
      </c>
      <c r="M68" s="183">
        <v>1</v>
      </c>
      <c r="N68" s="183">
        <v>1</v>
      </c>
      <c r="O68" s="183">
        <v>1</v>
      </c>
      <c r="P68" s="183">
        <v>1</v>
      </c>
      <c r="Q68" s="183">
        <v>1</v>
      </c>
      <c r="R68" s="183">
        <v>1</v>
      </c>
      <c r="S68" s="183">
        <v>1</v>
      </c>
      <c r="T68" s="183">
        <v>1</v>
      </c>
      <c r="U68" s="183">
        <v>1</v>
      </c>
      <c r="V68" s="183">
        <v>1</v>
      </c>
      <c r="W68" s="183">
        <v>1</v>
      </c>
      <c r="X68" s="183">
        <v>1</v>
      </c>
      <c r="Y68" s="183">
        <v>1</v>
      </c>
      <c r="Z68" s="183">
        <v>1</v>
      </c>
      <c r="AA68" s="183">
        <v>1</v>
      </c>
      <c r="AB68" s="183">
        <v>1</v>
      </c>
      <c r="AC68" s="183">
        <v>1</v>
      </c>
      <c r="AD68" s="183">
        <v>1</v>
      </c>
      <c r="AE68" s="183">
        <v>1</v>
      </c>
      <c r="AF68" s="191">
        <v>85</v>
      </c>
      <c r="AG68" s="183">
        <v>25</v>
      </c>
    </row>
    <row r="69" spans="1:41" ht="15" customHeight="1" x14ac:dyDescent="0.2">
      <c r="A69" s="141" t="s">
        <v>313</v>
      </c>
      <c r="B69" s="187" t="s">
        <v>1759</v>
      </c>
      <c r="C69" s="141">
        <v>2015</v>
      </c>
      <c r="D69" s="188">
        <v>11</v>
      </c>
      <c r="E69" s="135">
        <v>1576</v>
      </c>
      <c r="F69" s="192" t="s">
        <v>882</v>
      </c>
      <c r="G69" s="188">
        <v>0</v>
      </c>
      <c r="H69" s="188">
        <v>0</v>
      </c>
      <c r="I69" s="188">
        <v>0</v>
      </c>
      <c r="J69" s="188">
        <v>0</v>
      </c>
      <c r="K69" s="188">
        <v>0</v>
      </c>
      <c r="L69" s="188">
        <v>1</v>
      </c>
      <c r="M69" s="188">
        <v>0</v>
      </c>
      <c r="N69" s="188">
        <v>0</v>
      </c>
      <c r="O69" s="188">
        <v>0</v>
      </c>
      <c r="P69" s="188">
        <v>0</v>
      </c>
      <c r="Q69" s="188">
        <v>1</v>
      </c>
      <c r="R69" s="188">
        <v>1</v>
      </c>
      <c r="S69" s="188">
        <v>1</v>
      </c>
      <c r="T69" s="188">
        <v>0</v>
      </c>
      <c r="U69" s="188">
        <v>1</v>
      </c>
      <c r="V69" s="188">
        <v>1</v>
      </c>
      <c r="W69" s="188">
        <v>1</v>
      </c>
      <c r="X69" s="188">
        <v>0</v>
      </c>
      <c r="Y69" s="188">
        <v>0</v>
      </c>
      <c r="Z69" s="188">
        <v>0</v>
      </c>
      <c r="AA69" s="188">
        <v>1</v>
      </c>
      <c r="AB69" s="188">
        <v>1</v>
      </c>
      <c r="AC69" s="188">
        <v>1</v>
      </c>
      <c r="AD69" s="188">
        <v>0</v>
      </c>
      <c r="AE69" s="188">
        <v>0</v>
      </c>
      <c r="AF69" s="191">
        <v>1</v>
      </c>
      <c r="AG69" s="183">
        <v>10</v>
      </c>
      <c r="AL69" s="5" t="s">
        <v>1434</v>
      </c>
      <c r="AO69" s="5" t="s">
        <v>1434</v>
      </c>
    </row>
    <row r="70" spans="1:41" ht="15" customHeight="1" x14ac:dyDescent="0.2">
      <c r="A70" s="141" t="s">
        <v>313</v>
      </c>
      <c r="B70" s="187" t="s">
        <v>1759</v>
      </c>
      <c r="C70" s="141">
        <v>2015</v>
      </c>
      <c r="D70" s="188">
        <v>11</v>
      </c>
      <c r="E70" s="135">
        <v>2824</v>
      </c>
      <c r="F70" s="192" t="s">
        <v>1977</v>
      </c>
      <c r="G70" s="188">
        <v>0</v>
      </c>
      <c r="H70" s="188">
        <v>0</v>
      </c>
      <c r="I70" s="188">
        <v>0</v>
      </c>
      <c r="J70" s="188">
        <v>1</v>
      </c>
      <c r="K70" s="188">
        <v>1</v>
      </c>
      <c r="L70" s="188">
        <v>1</v>
      </c>
      <c r="M70" s="188">
        <v>1</v>
      </c>
      <c r="N70" s="188">
        <v>0</v>
      </c>
      <c r="O70" s="188">
        <v>0</v>
      </c>
      <c r="P70" s="188">
        <v>0</v>
      </c>
      <c r="Q70" s="188">
        <v>1</v>
      </c>
      <c r="R70" s="188">
        <v>1</v>
      </c>
      <c r="S70" s="188">
        <v>1</v>
      </c>
      <c r="T70" s="188">
        <v>0</v>
      </c>
      <c r="U70" s="188">
        <v>1</v>
      </c>
      <c r="V70" s="188">
        <v>1</v>
      </c>
      <c r="W70" s="188">
        <v>1</v>
      </c>
      <c r="X70" s="188">
        <v>1</v>
      </c>
      <c r="Y70" s="188">
        <v>0</v>
      </c>
      <c r="Z70" s="188">
        <v>0</v>
      </c>
      <c r="AA70" s="188">
        <v>0</v>
      </c>
      <c r="AB70" s="188">
        <v>1</v>
      </c>
      <c r="AC70" s="188">
        <v>0</v>
      </c>
      <c r="AD70" s="188">
        <v>0</v>
      </c>
      <c r="AE70" s="188">
        <v>0</v>
      </c>
      <c r="AF70" s="191">
        <v>0.1</v>
      </c>
      <c r="AG70" s="183">
        <v>12</v>
      </c>
      <c r="AH70" s="4"/>
    </row>
    <row r="71" spans="1:41" ht="15" customHeight="1" x14ac:dyDescent="0.2">
      <c r="A71" s="141" t="s">
        <v>313</v>
      </c>
      <c r="B71" s="187" t="s">
        <v>1759</v>
      </c>
      <c r="C71" s="141">
        <v>2015</v>
      </c>
      <c r="D71" s="183">
        <v>11</v>
      </c>
      <c r="E71" s="135">
        <v>2359</v>
      </c>
      <c r="F71" s="192" t="s">
        <v>665</v>
      </c>
      <c r="G71" s="183">
        <v>0</v>
      </c>
      <c r="H71" s="183">
        <v>1</v>
      </c>
      <c r="I71" s="183">
        <v>1</v>
      </c>
      <c r="J71" s="183">
        <v>1</v>
      </c>
      <c r="K71" s="183">
        <v>1</v>
      </c>
      <c r="L71" s="183">
        <v>1</v>
      </c>
      <c r="M71" s="183">
        <v>1</v>
      </c>
      <c r="N71" s="183">
        <v>1</v>
      </c>
      <c r="O71" s="183">
        <v>1</v>
      </c>
      <c r="P71" s="183">
        <v>1</v>
      </c>
      <c r="Q71" s="183">
        <v>1</v>
      </c>
      <c r="R71" s="183">
        <v>1</v>
      </c>
      <c r="S71" s="183">
        <v>1</v>
      </c>
      <c r="T71" s="183">
        <v>1</v>
      </c>
      <c r="U71" s="183">
        <v>1</v>
      </c>
      <c r="V71" s="183">
        <v>1</v>
      </c>
      <c r="W71" s="183">
        <v>1</v>
      </c>
      <c r="X71" s="183">
        <v>1</v>
      </c>
      <c r="Y71" s="183">
        <v>0</v>
      </c>
      <c r="Z71" s="183">
        <v>1</v>
      </c>
      <c r="AA71" s="183">
        <v>1</v>
      </c>
      <c r="AB71" s="183">
        <v>1</v>
      </c>
      <c r="AC71" s="183">
        <v>0</v>
      </c>
      <c r="AD71" s="183">
        <v>1</v>
      </c>
      <c r="AE71" s="183">
        <v>1</v>
      </c>
      <c r="AF71" s="191">
        <v>0.1</v>
      </c>
      <c r="AG71" s="183">
        <v>22</v>
      </c>
      <c r="AI71" s="5" t="s">
        <v>1655</v>
      </c>
      <c r="AL71" s="5" t="s">
        <v>1668</v>
      </c>
      <c r="AO71" s="5" t="s">
        <v>1668</v>
      </c>
    </row>
    <row r="72" spans="1:41" ht="15" customHeight="1" x14ac:dyDescent="0.2">
      <c r="A72" s="141" t="s">
        <v>313</v>
      </c>
      <c r="B72" s="187" t="s">
        <v>1759</v>
      </c>
      <c r="C72" s="141">
        <v>2015</v>
      </c>
      <c r="D72" s="188">
        <v>11</v>
      </c>
      <c r="E72" s="135">
        <v>2362</v>
      </c>
      <c r="F72" s="192" t="s">
        <v>663</v>
      </c>
      <c r="G72" s="188">
        <v>0</v>
      </c>
      <c r="H72" s="188">
        <v>0</v>
      </c>
      <c r="I72" s="188">
        <v>0</v>
      </c>
      <c r="J72" s="188">
        <v>0</v>
      </c>
      <c r="K72" s="188">
        <v>0</v>
      </c>
      <c r="L72" s="188">
        <v>0</v>
      </c>
      <c r="M72" s="188">
        <v>1</v>
      </c>
      <c r="N72" s="188">
        <v>0</v>
      </c>
      <c r="O72" s="188">
        <v>0</v>
      </c>
      <c r="P72" s="188">
        <v>0</v>
      </c>
      <c r="Q72" s="188">
        <v>0</v>
      </c>
      <c r="R72" s="188">
        <v>1</v>
      </c>
      <c r="S72" s="188">
        <v>0</v>
      </c>
      <c r="T72" s="188">
        <v>0</v>
      </c>
      <c r="U72" s="188">
        <v>0</v>
      </c>
      <c r="V72" s="188">
        <v>1</v>
      </c>
      <c r="W72" s="188">
        <v>1</v>
      </c>
      <c r="X72" s="188">
        <v>0</v>
      </c>
      <c r="Y72" s="188">
        <v>0</v>
      </c>
      <c r="Z72" s="188">
        <v>0</v>
      </c>
      <c r="AA72" s="188">
        <v>1</v>
      </c>
      <c r="AB72" s="188">
        <v>1</v>
      </c>
      <c r="AC72" s="188">
        <v>1</v>
      </c>
      <c r="AD72" s="188">
        <v>0</v>
      </c>
      <c r="AE72" s="188">
        <v>0</v>
      </c>
      <c r="AF72" s="191">
        <v>0.1</v>
      </c>
      <c r="AG72" s="183">
        <v>7</v>
      </c>
      <c r="AH72" s="4"/>
      <c r="AI72" s="5" t="s">
        <v>1655</v>
      </c>
      <c r="AL72" s="5" t="s">
        <v>1668</v>
      </c>
      <c r="AO72" s="5" t="s">
        <v>1668</v>
      </c>
    </row>
    <row r="73" spans="1:41" ht="15" customHeight="1" x14ac:dyDescent="0.2">
      <c r="A73" s="141" t="s">
        <v>313</v>
      </c>
      <c r="B73" s="187" t="s">
        <v>1759</v>
      </c>
      <c r="C73" s="185">
        <v>2015</v>
      </c>
      <c r="D73" s="183">
        <v>11</v>
      </c>
      <c r="E73" s="135">
        <v>2373</v>
      </c>
      <c r="F73" s="192" t="s">
        <v>656</v>
      </c>
      <c r="G73" s="183">
        <v>0</v>
      </c>
      <c r="H73" s="183">
        <v>0</v>
      </c>
      <c r="I73" s="183">
        <v>0</v>
      </c>
      <c r="J73" s="183">
        <v>0</v>
      </c>
      <c r="K73" s="183">
        <v>0</v>
      </c>
      <c r="L73" s="183">
        <v>0</v>
      </c>
      <c r="M73" s="183">
        <v>0</v>
      </c>
      <c r="N73" s="183">
        <v>1</v>
      </c>
      <c r="O73" s="183">
        <v>1</v>
      </c>
      <c r="P73" s="183">
        <v>0</v>
      </c>
      <c r="Q73" s="183">
        <v>0</v>
      </c>
      <c r="R73" s="183">
        <v>1</v>
      </c>
      <c r="S73" s="183">
        <v>0</v>
      </c>
      <c r="T73" s="183">
        <v>0</v>
      </c>
      <c r="U73" s="183">
        <v>0</v>
      </c>
      <c r="V73" s="183">
        <v>0</v>
      </c>
      <c r="W73" s="183">
        <v>0</v>
      </c>
      <c r="X73" s="183">
        <v>1</v>
      </c>
      <c r="Y73" s="183">
        <v>0</v>
      </c>
      <c r="Z73" s="183">
        <v>0</v>
      </c>
      <c r="AA73" s="183">
        <v>0</v>
      </c>
      <c r="AB73" s="183">
        <v>1</v>
      </c>
      <c r="AC73" s="183">
        <v>0</v>
      </c>
      <c r="AD73" s="183">
        <v>0</v>
      </c>
      <c r="AE73" s="183">
        <v>0</v>
      </c>
      <c r="AF73" s="190">
        <v>0.1</v>
      </c>
      <c r="AG73" s="183">
        <v>5</v>
      </c>
      <c r="AI73" s="5" t="s">
        <v>1655</v>
      </c>
      <c r="AL73" s="5" t="s">
        <v>1668</v>
      </c>
      <c r="AM73" s="5" t="s">
        <v>1671</v>
      </c>
      <c r="AO73" s="5" t="s">
        <v>1668</v>
      </c>
    </row>
    <row r="74" spans="1:41" ht="15" customHeight="1" x14ac:dyDescent="0.2">
      <c r="A74" s="141" t="s">
        <v>313</v>
      </c>
      <c r="B74" s="187" t="s">
        <v>1759</v>
      </c>
      <c r="C74" s="141">
        <v>2015</v>
      </c>
      <c r="D74" s="183">
        <v>11</v>
      </c>
      <c r="E74" s="135">
        <v>2366</v>
      </c>
      <c r="F74" s="192" t="s">
        <v>660</v>
      </c>
      <c r="G74" s="183">
        <v>0</v>
      </c>
      <c r="H74" s="183">
        <v>0</v>
      </c>
      <c r="I74" s="183">
        <v>0</v>
      </c>
      <c r="J74" s="183">
        <v>0</v>
      </c>
      <c r="K74" s="183">
        <v>0</v>
      </c>
      <c r="L74" s="183">
        <v>0</v>
      </c>
      <c r="M74" s="183">
        <v>1</v>
      </c>
      <c r="N74" s="183">
        <v>0</v>
      </c>
      <c r="O74" s="183">
        <v>0</v>
      </c>
      <c r="P74" s="183">
        <v>0</v>
      </c>
      <c r="Q74" s="183">
        <v>0</v>
      </c>
      <c r="R74" s="183">
        <v>1</v>
      </c>
      <c r="S74" s="183">
        <v>0</v>
      </c>
      <c r="T74" s="183">
        <v>0</v>
      </c>
      <c r="U74" s="183">
        <v>0</v>
      </c>
      <c r="V74" s="183">
        <v>0</v>
      </c>
      <c r="W74" s="183">
        <v>0</v>
      </c>
      <c r="X74" s="183">
        <v>0</v>
      </c>
      <c r="Y74" s="183">
        <v>0</v>
      </c>
      <c r="Z74" s="183">
        <v>0</v>
      </c>
      <c r="AA74" s="183">
        <v>0</v>
      </c>
      <c r="AB74" s="183">
        <v>0</v>
      </c>
      <c r="AC74" s="183">
        <v>0</v>
      </c>
      <c r="AD74" s="183">
        <v>0</v>
      </c>
      <c r="AE74" s="183">
        <v>0</v>
      </c>
      <c r="AF74" s="191">
        <v>0.1</v>
      </c>
      <c r="AG74" s="183">
        <v>2</v>
      </c>
      <c r="AI74" s="5" t="s">
        <v>1655</v>
      </c>
      <c r="AL74" s="5" t="s">
        <v>1668</v>
      </c>
      <c r="AO74" s="5" t="s">
        <v>1668</v>
      </c>
    </row>
    <row r="75" spans="1:41" ht="15" customHeight="1" x14ac:dyDescent="0.2">
      <c r="A75" s="141" t="s">
        <v>313</v>
      </c>
      <c r="B75" s="187" t="s">
        <v>1759</v>
      </c>
      <c r="C75" s="185">
        <v>2015</v>
      </c>
      <c r="D75" s="183">
        <v>11</v>
      </c>
      <c r="E75" s="135">
        <v>1638</v>
      </c>
      <c r="F75" s="192" t="s">
        <v>861</v>
      </c>
      <c r="G75" s="183">
        <v>0</v>
      </c>
      <c r="H75" s="183">
        <v>0</v>
      </c>
      <c r="I75" s="183">
        <v>0</v>
      </c>
      <c r="J75" s="183">
        <v>0</v>
      </c>
      <c r="K75" s="183">
        <v>0</v>
      </c>
      <c r="L75" s="183">
        <v>0</v>
      </c>
      <c r="M75" s="183">
        <v>0</v>
      </c>
      <c r="N75" s="183">
        <v>0</v>
      </c>
      <c r="O75" s="183">
        <v>0</v>
      </c>
      <c r="P75" s="183">
        <v>0</v>
      </c>
      <c r="Q75" s="183">
        <v>0</v>
      </c>
      <c r="R75" s="183">
        <v>0</v>
      </c>
      <c r="S75" s="183">
        <v>0</v>
      </c>
      <c r="T75" s="183">
        <v>0</v>
      </c>
      <c r="U75" s="183">
        <v>0</v>
      </c>
      <c r="V75" s="183">
        <v>1</v>
      </c>
      <c r="W75" s="183">
        <v>0</v>
      </c>
      <c r="X75" s="183">
        <v>0</v>
      </c>
      <c r="Y75" s="183">
        <v>0</v>
      </c>
      <c r="Z75" s="183">
        <v>0</v>
      </c>
      <c r="AA75" s="183">
        <v>0</v>
      </c>
      <c r="AB75" s="183">
        <v>0</v>
      </c>
      <c r="AC75" s="183">
        <v>1</v>
      </c>
      <c r="AD75" s="183">
        <v>0</v>
      </c>
      <c r="AE75" s="183">
        <v>0</v>
      </c>
      <c r="AF75" s="190">
        <v>0.1</v>
      </c>
      <c r="AG75" s="183">
        <v>2</v>
      </c>
      <c r="AI75" s="5" t="s">
        <v>1655</v>
      </c>
      <c r="AL75" s="5" t="s">
        <v>1668</v>
      </c>
      <c r="AM75" s="5" t="s">
        <v>1671</v>
      </c>
      <c r="AO75" s="5" t="s">
        <v>1668</v>
      </c>
    </row>
    <row r="76" spans="1:41" ht="15" customHeight="1" x14ac:dyDescent="0.2">
      <c r="A76" s="141" t="s">
        <v>313</v>
      </c>
      <c r="B76" s="187" t="s">
        <v>1759</v>
      </c>
      <c r="C76" s="185">
        <v>2015</v>
      </c>
      <c r="D76" s="183">
        <v>11</v>
      </c>
      <c r="E76" s="135">
        <v>541</v>
      </c>
      <c r="F76" s="192" t="s">
        <v>1313</v>
      </c>
      <c r="G76" s="183">
        <v>0</v>
      </c>
      <c r="H76" s="183">
        <v>0</v>
      </c>
      <c r="I76" s="183">
        <v>0</v>
      </c>
      <c r="J76" s="183">
        <v>0</v>
      </c>
      <c r="K76" s="183">
        <v>0</v>
      </c>
      <c r="L76" s="183">
        <v>0</v>
      </c>
      <c r="M76" s="183">
        <v>0</v>
      </c>
      <c r="N76" s="183">
        <v>0</v>
      </c>
      <c r="O76" s="183">
        <v>0</v>
      </c>
      <c r="P76" s="183">
        <v>0</v>
      </c>
      <c r="Q76" s="183">
        <v>0</v>
      </c>
      <c r="R76" s="183">
        <v>0</v>
      </c>
      <c r="S76" s="183">
        <v>0</v>
      </c>
      <c r="T76" s="183">
        <v>0</v>
      </c>
      <c r="U76" s="183">
        <v>0</v>
      </c>
      <c r="V76" s="183">
        <v>0</v>
      </c>
      <c r="W76" s="183">
        <v>0</v>
      </c>
      <c r="X76" s="183">
        <v>0</v>
      </c>
      <c r="Y76" s="183">
        <v>1</v>
      </c>
      <c r="Z76" s="183">
        <v>0</v>
      </c>
      <c r="AA76" s="183">
        <v>0</v>
      </c>
      <c r="AB76" s="183">
        <v>0</v>
      </c>
      <c r="AC76" s="183">
        <v>0</v>
      </c>
      <c r="AD76" s="183">
        <v>1</v>
      </c>
      <c r="AE76" s="183">
        <v>0</v>
      </c>
      <c r="AF76" s="190">
        <v>0.1</v>
      </c>
      <c r="AG76" s="183">
        <v>2</v>
      </c>
      <c r="AI76" s="5" t="s">
        <v>1655</v>
      </c>
      <c r="AL76" s="5" t="s">
        <v>1668</v>
      </c>
      <c r="AO76" s="5" t="s">
        <v>1668</v>
      </c>
    </row>
    <row r="77" spans="1:41" ht="15" customHeight="1" x14ac:dyDescent="0.2">
      <c r="A77" s="141" t="s">
        <v>313</v>
      </c>
      <c r="B77" s="187" t="s">
        <v>1759</v>
      </c>
      <c r="C77" s="141">
        <v>2015</v>
      </c>
      <c r="D77" s="188">
        <v>11</v>
      </c>
      <c r="E77" s="135" t="e">
        <v>#N/A</v>
      </c>
      <c r="F77" s="192" t="s">
        <v>1773</v>
      </c>
      <c r="G77" s="188">
        <v>0</v>
      </c>
      <c r="H77" s="188">
        <v>0</v>
      </c>
      <c r="I77" s="188">
        <v>0</v>
      </c>
      <c r="J77" s="188">
        <v>0</v>
      </c>
      <c r="K77" s="188">
        <v>0</v>
      </c>
      <c r="L77" s="188">
        <v>0</v>
      </c>
      <c r="M77" s="188">
        <v>0</v>
      </c>
      <c r="N77" s="188">
        <v>0</v>
      </c>
      <c r="O77" s="188">
        <v>1</v>
      </c>
      <c r="P77" s="188">
        <v>0</v>
      </c>
      <c r="Q77" s="188">
        <v>0</v>
      </c>
      <c r="R77" s="188">
        <v>0</v>
      </c>
      <c r="S77" s="188">
        <v>1</v>
      </c>
      <c r="T77" s="188">
        <v>1</v>
      </c>
      <c r="U77" s="188">
        <v>1</v>
      </c>
      <c r="V77" s="188">
        <v>0</v>
      </c>
      <c r="W77" s="188">
        <v>0</v>
      </c>
      <c r="X77" s="188">
        <v>0</v>
      </c>
      <c r="Y77" s="188">
        <v>1</v>
      </c>
      <c r="Z77" s="188">
        <v>1</v>
      </c>
      <c r="AA77" s="188">
        <v>1</v>
      </c>
      <c r="AB77" s="188">
        <v>0</v>
      </c>
      <c r="AC77" s="188">
        <v>1</v>
      </c>
      <c r="AD77" s="188">
        <v>1</v>
      </c>
      <c r="AE77" s="188">
        <v>1</v>
      </c>
      <c r="AF77" s="191">
        <v>0.1</v>
      </c>
      <c r="AG77" s="183">
        <v>10</v>
      </c>
      <c r="AI77" s="5" t="s">
        <v>1655</v>
      </c>
      <c r="AL77" s="5" t="s">
        <v>1668</v>
      </c>
      <c r="AM77" s="5" t="s">
        <v>1434</v>
      </c>
      <c r="AO77" s="5" t="s">
        <v>1668</v>
      </c>
    </row>
    <row r="78" spans="1:41" ht="15" customHeight="1" x14ac:dyDescent="0.2">
      <c r="A78" s="141" t="s">
        <v>313</v>
      </c>
      <c r="B78" s="187" t="s">
        <v>1759</v>
      </c>
      <c r="C78" s="185">
        <v>2015</v>
      </c>
      <c r="D78" s="183">
        <v>11</v>
      </c>
      <c r="E78" s="135">
        <v>1677</v>
      </c>
      <c r="F78" s="192" t="s">
        <v>851</v>
      </c>
      <c r="G78" s="183">
        <v>1</v>
      </c>
      <c r="H78" s="183">
        <v>1</v>
      </c>
      <c r="I78" s="183">
        <v>1</v>
      </c>
      <c r="J78" s="183">
        <v>1</v>
      </c>
      <c r="K78" s="183">
        <v>1</v>
      </c>
      <c r="L78" s="183">
        <v>1</v>
      </c>
      <c r="M78" s="183">
        <v>1</v>
      </c>
      <c r="N78" s="183">
        <v>1</v>
      </c>
      <c r="O78" s="183">
        <v>1</v>
      </c>
      <c r="P78" s="183">
        <v>1</v>
      </c>
      <c r="Q78" s="183">
        <v>1</v>
      </c>
      <c r="R78" s="183">
        <v>1</v>
      </c>
      <c r="S78" s="183">
        <v>1</v>
      </c>
      <c r="T78" s="183">
        <v>1</v>
      </c>
      <c r="U78" s="183">
        <v>1</v>
      </c>
      <c r="V78" s="183">
        <v>1</v>
      </c>
      <c r="W78" s="183">
        <v>1</v>
      </c>
      <c r="X78" s="183">
        <v>1</v>
      </c>
      <c r="Y78" s="183">
        <v>1</v>
      </c>
      <c r="Z78" s="183">
        <v>1</v>
      </c>
      <c r="AA78" s="183">
        <v>1</v>
      </c>
      <c r="AB78" s="183">
        <v>1</v>
      </c>
      <c r="AC78" s="183">
        <v>1</v>
      </c>
      <c r="AD78" s="183">
        <v>1</v>
      </c>
      <c r="AE78" s="183">
        <v>1</v>
      </c>
      <c r="AF78" s="191">
        <v>15</v>
      </c>
      <c r="AG78" s="183">
        <v>25</v>
      </c>
    </row>
    <row r="79" spans="1:41" ht="15" customHeight="1" x14ac:dyDescent="0.2">
      <c r="A79" s="141" t="s">
        <v>313</v>
      </c>
      <c r="B79" s="187" t="s">
        <v>1759</v>
      </c>
      <c r="C79" s="141">
        <v>2015</v>
      </c>
      <c r="D79" s="183">
        <v>11</v>
      </c>
      <c r="E79" s="135">
        <v>876</v>
      </c>
      <c r="F79" s="192" t="s">
        <v>1163</v>
      </c>
      <c r="G79" s="183">
        <v>1</v>
      </c>
      <c r="H79" s="183">
        <v>0</v>
      </c>
      <c r="I79" s="183">
        <v>0</v>
      </c>
      <c r="J79" s="183">
        <v>0</v>
      </c>
      <c r="K79" s="183">
        <v>0</v>
      </c>
      <c r="L79" s="183">
        <v>1</v>
      </c>
      <c r="M79" s="183">
        <v>0</v>
      </c>
      <c r="N79" s="183">
        <v>0</v>
      </c>
      <c r="O79" s="183">
        <v>0</v>
      </c>
      <c r="P79" s="183">
        <v>0</v>
      </c>
      <c r="Q79" s="183">
        <v>0</v>
      </c>
      <c r="R79" s="183">
        <v>0</v>
      </c>
      <c r="S79" s="183">
        <v>0</v>
      </c>
      <c r="T79" s="183">
        <v>0</v>
      </c>
      <c r="U79" s="183">
        <v>0</v>
      </c>
      <c r="V79" s="183">
        <v>0</v>
      </c>
      <c r="W79" s="183">
        <v>0</v>
      </c>
      <c r="X79" s="183">
        <v>0</v>
      </c>
      <c r="Y79" s="183">
        <v>0</v>
      </c>
      <c r="Z79" s="183">
        <v>0</v>
      </c>
      <c r="AA79" s="183">
        <v>0</v>
      </c>
      <c r="AB79" s="183">
        <v>0</v>
      </c>
      <c r="AC79" s="183">
        <v>0</v>
      </c>
      <c r="AD79" s="183">
        <v>0</v>
      </c>
      <c r="AE79" s="183">
        <v>0</v>
      </c>
      <c r="AF79" s="191">
        <v>0.1</v>
      </c>
      <c r="AG79" s="183">
        <v>2</v>
      </c>
      <c r="AI79" s="5" t="s">
        <v>1655</v>
      </c>
      <c r="AL79" s="5" t="s">
        <v>1668</v>
      </c>
      <c r="AO79" s="5" t="s">
        <v>1668</v>
      </c>
    </row>
    <row r="80" spans="1:41" ht="15" customHeight="1" x14ac:dyDescent="0.2">
      <c r="A80" s="141" t="s">
        <v>313</v>
      </c>
      <c r="B80" s="187" t="s">
        <v>1759</v>
      </c>
      <c r="C80" s="141">
        <v>2015</v>
      </c>
      <c r="D80" s="183">
        <v>11</v>
      </c>
      <c r="E80" s="135">
        <v>2620</v>
      </c>
      <c r="F80" s="192" t="s">
        <v>605</v>
      </c>
      <c r="G80" s="183">
        <v>0</v>
      </c>
      <c r="H80" s="183">
        <v>0</v>
      </c>
      <c r="I80" s="183">
        <v>0</v>
      </c>
      <c r="J80" s="183">
        <v>0</v>
      </c>
      <c r="K80" s="183">
        <v>1</v>
      </c>
      <c r="L80" s="183">
        <v>1</v>
      </c>
      <c r="M80" s="183">
        <v>1</v>
      </c>
      <c r="N80" s="183">
        <v>0</v>
      </c>
      <c r="O80" s="183">
        <v>0</v>
      </c>
      <c r="P80" s="183">
        <v>0</v>
      </c>
      <c r="Q80" s="183">
        <v>1</v>
      </c>
      <c r="R80" s="183">
        <v>1</v>
      </c>
      <c r="S80" s="183">
        <v>0</v>
      </c>
      <c r="T80" s="183">
        <v>0</v>
      </c>
      <c r="U80" s="183">
        <v>0</v>
      </c>
      <c r="V80" s="183">
        <v>0</v>
      </c>
      <c r="W80" s="183">
        <v>0</v>
      </c>
      <c r="X80" s="183">
        <v>0</v>
      </c>
      <c r="Y80" s="183">
        <v>1</v>
      </c>
      <c r="Z80" s="183">
        <v>0</v>
      </c>
      <c r="AA80" s="183">
        <v>1</v>
      </c>
      <c r="AB80" s="183">
        <v>0</v>
      </c>
      <c r="AC80" s="183">
        <v>0</v>
      </c>
      <c r="AD80" s="183">
        <v>1</v>
      </c>
      <c r="AE80" s="183">
        <v>0</v>
      </c>
      <c r="AF80" s="191">
        <v>8</v>
      </c>
      <c r="AG80" s="183">
        <v>8</v>
      </c>
    </row>
    <row r="81" spans="1:41" ht="15" customHeight="1" x14ac:dyDescent="0.2">
      <c r="A81" s="141" t="s">
        <v>313</v>
      </c>
      <c r="B81" s="187" t="s">
        <v>1759</v>
      </c>
      <c r="C81" s="185">
        <v>2015</v>
      </c>
      <c r="D81" s="183">
        <v>11</v>
      </c>
      <c r="E81" s="135">
        <v>1891</v>
      </c>
      <c r="F81" s="192" t="s">
        <v>797</v>
      </c>
      <c r="G81" s="183">
        <v>0</v>
      </c>
      <c r="H81" s="183">
        <v>0</v>
      </c>
      <c r="I81" s="183">
        <v>0</v>
      </c>
      <c r="J81" s="183">
        <v>0</v>
      </c>
      <c r="K81" s="183">
        <v>0</v>
      </c>
      <c r="L81" s="183">
        <v>1</v>
      </c>
      <c r="M81" s="183">
        <v>0</v>
      </c>
      <c r="N81" s="183">
        <v>0</v>
      </c>
      <c r="O81" s="183">
        <v>0</v>
      </c>
      <c r="P81" s="183">
        <v>0</v>
      </c>
      <c r="Q81" s="183">
        <v>1</v>
      </c>
      <c r="R81" s="183">
        <v>1</v>
      </c>
      <c r="S81" s="183">
        <v>0</v>
      </c>
      <c r="T81" s="183">
        <v>0</v>
      </c>
      <c r="U81" s="183">
        <v>0</v>
      </c>
      <c r="V81" s="183">
        <v>1</v>
      </c>
      <c r="W81" s="183">
        <v>0</v>
      </c>
      <c r="X81" s="183">
        <v>0</v>
      </c>
      <c r="Y81" s="183">
        <v>0</v>
      </c>
      <c r="Z81" s="183">
        <v>0</v>
      </c>
      <c r="AA81" s="183">
        <v>0</v>
      </c>
      <c r="AB81" s="183">
        <v>0</v>
      </c>
      <c r="AC81" s="183">
        <v>0</v>
      </c>
      <c r="AD81" s="183">
        <v>0</v>
      </c>
      <c r="AE81" s="183">
        <v>0</v>
      </c>
      <c r="AF81" s="190">
        <v>0.1</v>
      </c>
      <c r="AG81" s="183">
        <v>4</v>
      </c>
      <c r="AI81" s="5" t="s">
        <v>1655</v>
      </c>
      <c r="AL81" s="5" t="s">
        <v>1668</v>
      </c>
      <c r="AO81" s="5" t="s">
        <v>1668</v>
      </c>
    </row>
    <row r="82" spans="1:41" ht="15" customHeight="1" x14ac:dyDescent="0.2">
      <c r="A82" s="141" t="s">
        <v>313</v>
      </c>
      <c r="B82" s="187" t="s">
        <v>1759</v>
      </c>
      <c r="C82" s="185">
        <v>2015</v>
      </c>
      <c r="D82" s="183">
        <v>12</v>
      </c>
      <c r="E82" s="135">
        <v>2362</v>
      </c>
      <c r="F82" s="192" t="s">
        <v>663</v>
      </c>
      <c r="G82" s="183">
        <v>0</v>
      </c>
      <c r="H82" s="183">
        <v>0</v>
      </c>
      <c r="I82" s="183">
        <v>0</v>
      </c>
      <c r="J82" s="183">
        <v>0</v>
      </c>
      <c r="K82" s="183">
        <v>0</v>
      </c>
      <c r="L82" s="183">
        <v>1</v>
      </c>
      <c r="M82" s="183">
        <v>0</v>
      </c>
      <c r="N82" s="183">
        <v>0</v>
      </c>
      <c r="O82" s="183">
        <v>0</v>
      </c>
      <c r="P82" s="183">
        <v>0</v>
      </c>
      <c r="Q82" s="183">
        <v>0</v>
      </c>
      <c r="R82" s="183">
        <v>0</v>
      </c>
      <c r="S82" s="183">
        <v>0</v>
      </c>
      <c r="T82" s="183">
        <v>0</v>
      </c>
      <c r="U82" s="183">
        <v>0</v>
      </c>
      <c r="V82" s="183">
        <v>0</v>
      </c>
      <c r="W82" s="183">
        <v>0</v>
      </c>
      <c r="X82" s="183">
        <v>0</v>
      </c>
      <c r="Y82" s="183">
        <v>0</v>
      </c>
      <c r="Z82" s="183">
        <v>0</v>
      </c>
      <c r="AA82" s="183">
        <v>0</v>
      </c>
      <c r="AB82" s="183">
        <v>0</v>
      </c>
      <c r="AC82" s="183">
        <v>0</v>
      </c>
      <c r="AD82" s="183">
        <v>0</v>
      </c>
      <c r="AE82" s="183">
        <v>0</v>
      </c>
      <c r="AF82" s="190">
        <v>0.1</v>
      </c>
      <c r="AG82" s="183">
        <v>1</v>
      </c>
      <c r="AI82" s="5" t="s">
        <v>1655</v>
      </c>
      <c r="AL82" s="5" t="s">
        <v>1668</v>
      </c>
      <c r="AO82" s="5" t="s">
        <v>1668</v>
      </c>
    </row>
    <row r="83" spans="1:41" ht="15" customHeight="1" x14ac:dyDescent="0.2">
      <c r="A83" s="141" t="s">
        <v>313</v>
      </c>
      <c r="B83" s="187" t="s">
        <v>1759</v>
      </c>
      <c r="C83" s="185">
        <v>2015</v>
      </c>
      <c r="D83" s="183">
        <v>12</v>
      </c>
      <c r="E83" s="135">
        <v>478</v>
      </c>
      <c r="F83" s="192" t="s">
        <v>24</v>
      </c>
      <c r="G83" s="183">
        <v>1</v>
      </c>
      <c r="H83" s="183">
        <v>0</v>
      </c>
      <c r="I83" s="183">
        <v>0</v>
      </c>
      <c r="J83" s="183">
        <v>1</v>
      </c>
      <c r="K83" s="183">
        <v>1</v>
      </c>
      <c r="L83" s="183">
        <v>1</v>
      </c>
      <c r="M83" s="183">
        <v>0</v>
      </c>
      <c r="N83" s="183">
        <v>1</v>
      </c>
      <c r="O83" s="183">
        <v>1</v>
      </c>
      <c r="P83" s="183">
        <v>1</v>
      </c>
      <c r="Q83" s="183">
        <v>1</v>
      </c>
      <c r="R83" s="183">
        <v>1</v>
      </c>
      <c r="S83" s="183">
        <v>0</v>
      </c>
      <c r="T83" s="183">
        <v>1</v>
      </c>
      <c r="U83" s="183">
        <v>1</v>
      </c>
      <c r="V83" s="183">
        <v>0</v>
      </c>
      <c r="W83" s="183">
        <v>0</v>
      </c>
      <c r="X83" s="183">
        <v>0</v>
      </c>
      <c r="Y83" s="183">
        <v>0</v>
      </c>
      <c r="Z83" s="183">
        <v>0</v>
      </c>
      <c r="AA83" s="183">
        <v>0</v>
      </c>
      <c r="AB83" s="183">
        <v>0</v>
      </c>
      <c r="AC83" s="183">
        <v>0</v>
      </c>
      <c r="AD83" s="183">
        <v>0</v>
      </c>
      <c r="AE83" s="183">
        <v>0</v>
      </c>
      <c r="AF83" s="190">
        <v>2</v>
      </c>
      <c r="AG83" s="183">
        <v>11</v>
      </c>
    </row>
    <row r="84" spans="1:41" ht="15" customHeight="1" x14ac:dyDescent="0.2">
      <c r="A84" s="141" t="s">
        <v>313</v>
      </c>
      <c r="B84" s="187" t="s">
        <v>1759</v>
      </c>
      <c r="C84" s="185">
        <v>2015</v>
      </c>
      <c r="D84" s="183">
        <v>12</v>
      </c>
      <c r="E84" s="135">
        <v>1638</v>
      </c>
      <c r="F84" s="192" t="s">
        <v>861</v>
      </c>
      <c r="G84" s="183">
        <v>1</v>
      </c>
      <c r="H84" s="183">
        <v>0</v>
      </c>
      <c r="I84" s="183">
        <v>1</v>
      </c>
      <c r="J84" s="183">
        <v>1</v>
      </c>
      <c r="K84" s="183">
        <v>1</v>
      </c>
      <c r="L84" s="183">
        <v>1</v>
      </c>
      <c r="M84" s="183">
        <v>1</v>
      </c>
      <c r="N84" s="183">
        <v>1</v>
      </c>
      <c r="O84" s="183">
        <v>1</v>
      </c>
      <c r="P84" s="183">
        <v>1</v>
      </c>
      <c r="Q84" s="183">
        <v>0</v>
      </c>
      <c r="R84" s="183">
        <v>1</v>
      </c>
      <c r="S84" s="183">
        <v>1</v>
      </c>
      <c r="T84" s="183">
        <v>1</v>
      </c>
      <c r="U84" s="183">
        <v>1</v>
      </c>
      <c r="V84" s="183">
        <v>0</v>
      </c>
      <c r="W84" s="183">
        <v>1</v>
      </c>
      <c r="X84" s="183">
        <v>0</v>
      </c>
      <c r="Y84" s="183">
        <v>1</v>
      </c>
      <c r="Z84" s="183">
        <v>1</v>
      </c>
      <c r="AA84" s="183">
        <v>1</v>
      </c>
      <c r="AB84" s="183">
        <v>0</v>
      </c>
      <c r="AC84" s="183">
        <v>1</v>
      </c>
      <c r="AD84" s="183">
        <v>1</v>
      </c>
      <c r="AE84" s="183">
        <v>0</v>
      </c>
      <c r="AF84" s="190">
        <v>1</v>
      </c>
      <c r="AG84" s="183">
        <v>19</v>
      </c>
    </row>
    <row r="85" spans="1:41" ht="15" customHeight="1" x14ac:dyDescent="0.2">
      <c r="A85" s="141" t="s">
        <v>313</v>
      </c>
      <c r="B85" s="187" t="s">
        <v>1759</v>
      </c>
      <c r="C85" s="185">
        <v>2015</v>
      </c>
      <c r="D85" s="183">
        <v>12</v>
      </c>
      <c r="E85" s="135">
        <v>541</v>
      </c>
      <c r="F85" s="192" t="s">
        <v>1313</v>
      </c>
      <c r="G85" s="183">
        <v>1</v>
      </c>
      <c r="H85" s="183">
        <v>1</v>
      </c>
      <c r="I85" s="183">
        <v>1</v>
      </c>
      <c r="J85" s="183">
        <v>1</v>
      </c>
      <c r="K85" s="183">
        <v>1</v>
      </c>
      <c r="L85" s="183">
        <v>1</v>
      </c>
      <c r="M85" s="183">
        <v>1</v>
      </c>
      <c r="N85" s="183">
        <v>1</v>
      </c>
      <c r="O85" s="183">
        <v>1</v>
      </c>
      <c r="P85" s="183">
        <v>1</v>
      </c>
      <c r="Q85" s="183">
        <v>1</v>
      </c>
      <c r="R85" s="183">
        <v>1</v>
      </c>
      <c r="S85" s="183">
        <v>1</v>
      </c>
      <c r="T85" s="183">
        <v>1</v>
      </c>
      <c r="U85" s="183">
        <v>1</v>
      </c>
      <c r="V85" s="183">
        <v>1</v>
      </c>
      <c r="W85" s="183">
        <v>1</v>
      </c>
      <c r="X85" s="183">
        <v>1</v>
      </c>
      <c r="Y85" s="183">
        <v>1</v>
      </c>
      <c r="Z85" s="183">
        <v>1</v>
      </c>
      <c r="AA85" s="183">
        <v>1</v>
      </c>
      <c r="AB85" s="183">
        <v>1</v>
      </c>
      <c r="AC85" s="183">
        <v>1</v>
      </c>
      <c r="AD85" s="183">
        <v>1</v>
      </c>
      <c r="AE85" s="183">
        <v>1</v>
      </c>
      <c r="AF85" s="190">
        <v>60</v>
      </c>
      <c r="AG85" s="183">
        <v>25</v>
      </c>
    </row>
    <row r="86" spans="1:41" ht="15" customHeight="1" x14ac:dyDescent="0.2">
      <c r="A86" s="141" t="s">
        <v>313</v>
      </c>
      <c r="B86" s="187" t="s">
        <v>1759</v>
      </c>
      <c r="C86" s="185">
        <v>2015</v>
      </c>
      <c r="D86" s="183">
        <v>12</v>
      </c>
      <c r="E86" s="135">
        <v>574</v>
      </c>
      <c r="F86" s="192" t="s">
        <v>1300</v>
      </c>
      <c r="G86" s="183">
        <v>1</v>
      </c>
      <c r="H86" s="183">
        <v>1</v>
      </c>
      <c r="I86" s="183">
        <v>0</v>
      </c>
      <c r="J86" s="183">
        <v>1</v>
      </c>
      <c r="K86" s="183">
        <v>0</v>
      </c>
      <c r="L86" s="183">
        <v>0</v>
      </c>
      <c r="M86" s="183">
        <v>0</v>
      </c>
      <c r="N86" s="183">
        <v>0</v>
      </c>
      <c r="O86" s="183">
        <v>0</v>
      </c>
      <c r="P86" s="183">
        <v>0</v>
      </c>
      <c r="Q86" s="183">
        <v>1</v>
      </c>
      <c r="R86" s="183">
        <v>1</v>
      </c>
      <c r="S86" s="183">
        <v>1</v>
      </c>
      <c r="T86" s="183">
        <v>0</v>
      </c>
      <c r="U86" s="183">
        <v>1</v>
      </c>
      <c r="V86" s="183">
        <v>1</v>
      </c>
      <c r="W86" s="183">
        <v>1</v>
      </c>
      <c r="X86" s="183">
        <v>1</v>
      </c>
      <c r="Y86" s="183">
        <v>1</v>
      </c>
      <c r="Z86" s="183">
        <v>1</v>
      </c>
      <c r="AA86" s="183">
        <v>1</v>
      </c>
      <c r="AB86" s="183">
        <v>1</v>
      </c>
      <c r="AC86" s="183">
        <v>1</v>
      </c>
      <c r="AD86" s="183">
        <v>1</v>
      </c>
      <c r="AE86" s="183">
        <v>1</v>
      </c>
      <c r="AF86" s="190">
        <v>5</v>
      </c>
      <c r="AG86" s="183">
        <v>17</v>
      </c>
    </row>
    <row r="87" spans="1:41" ht="15" customHeight="1" x14ac:dyDescent="0.2">
      <c r="A87" s="141" t="s">
        <v>313</v>
      </c>
      <c r="B87" s="187" t="s">
        <v>1759</v>
      </c>
      <c r="C87" s="185">
        <v>2015</v>
      </c>
      <c r="D87" s="188">
        <v>12</v>
      </c>
      <c r="E87" s="135">
        <v>610</v>
      </c>
      <c r="F87" s="192" t="s">
        <v>1281</v>
      </c>
      <c r="G87" s="188">
        <v>1</v>
      </c>
      <c r="H87" s="188">
        <v>0</v>
      </c>
      <c r="I87" s="188">
        <v>1</v>
      </c>
      <c r="J87" s="188">
        <v>1</v>
      </c>
      <c r="K87" s="188">
        <v>1</v>
      </c>
      <c r="L87" s="188">
        <v>0</v>
      </c>
      <c r="M87" s="188">
        <v>1</v>
      </c>
      <c r="N87" s="188">
        <v>1</v>
      </c>
      <c r="O87" s="188">
        <v>1</v>
      </c>
      <c r="P87" s="188">
        <v>1</v>
      </c>
      <c r="Q87" s="188">
        <v>0</v>
      </c>
      <c r="R87" s="188">
        <v>1</v>
      </c>
      <c r="S87" s="188">
        <v>1</v>
      </c>
      <c r="T87" s="188">
        <v>1</v>
      </c>
      <c r="U87" s="188">
        <v>0</v>
      </c>
      <c r="V87" s="188">
        <v>0</v>
      </c>
      <c r="W87" s="188">
        <v>0</v>
      </c>
      <c r="X87" s="188">
        <v>1</v>
      </c>
      <c r="Y87" s="188">
        <v>1</v>
      </c>
      <c r="Z87" s="188">
        <v>1</v>
      </c>
      <c r="AA87" s="188">
        <v>1</v>
      </c>
      <c r="AB87" s="188">
        <v>1</v>
      </c>
      <c r="AC87" s="188">
        <v>1</v>
      </c>
      <c r="AD87" s="188">
        <v>1</v>
      </c>
      <c r="AE87" s="188">
        <v>0</v>
      </c>
      <c r="AF87" s="191">
        <v>5</v>
      </c>
      <c r="AG87" s="183">
        <v>18</v>
      </c>
      <c r="AH87" s="4"/>
    </row>
    <row r="88" spans="1:41" ht="15" customHeight="1" x14ac:dyDescent="0.2">
      <c r="A88" s="141" t="s">
        <v>313</v>
      </c>
      <c r="B88" s="187" t="s">
        <v>1759</v>
      </c>
      <c r="C88" s="185">
        <v>2015</v>
      </c>
      <c r="D88" s="188">
        <v>12</v>
      </c>
      <c r="E88" s="135">
        <v>1766</v>
      </c>
      <c r="F88" s="192" t="s">
        <v>831</v>
      </c>
      <c r="G88" s="188">
        <v>0</v>
      </c>
      <c r="H88" s="188">
        <v>0</v>
      </c>
      <c r="I88" s="188">
        <v>0</v>
      </c>
      <c r="J88" s="188">
        <v>0</v>
      </c>
      <c r="K88" s="188">
        <v>0</v>
      </c>
      <c r="L88" s="188">
        <v>0</v>
      </c>
      <c r="M88" s="188">
        <v>0</v>
      </c>
      <c r="N88" s="188">
        <v>0</v>
      </c>
      <c r="O88" s="188">
        <v>0</v>
      </c>
      <c r="P88" s="188">
        <v>0</v>
      </c>
      <c r="Q88" s="188">
        <v>0</v>
      </c>
      <c r="R88" s="188">
        <v>0</v>
      </c>
      <c r="S88" s="188">
        <v>0</v>
      </c>
      <c r="T88" s="188">
        <v>0</v>
      </c>
      <c r="U88" s="188">
        <v>0</v>
      </c>
      <c r="V88" s="188">
        <v>0</v>
      </c>
      <c r="W88" s="188">
        <v>0</v>
      </c>
      <c r="X88" s="188">
        <v>0</v>
      </c>
      <c r="Y88" s="188">
        <v>0</v>
      </c>
      <c r="Z88" s="188">
        <v>0</v>
      </c>
      <c r="AA88" s="188">
        <v>0</v>
      </c>
      <c r="AB88" s="188">
        <v>1</v>
      </c>
      <c r="AC88" s="188">
        <v>1</v>
      </c>
      <c r="AD88" s="188">
        <v>1</v>
      </c>
      <c r="AE88" s="188">
        <v>1</v>
      </c>
      <c r="AF88" s="191">
        <v>0.1</v>
      </c>
      <c r="AG88" s="183">
        <v>4</v>
      </c>
      <c r="AH88" s="4"/>
      <c r="AI88" s="5" t="s">
        <v>1655</v>
      </c>
      <c r="AL88" s="5" t="s">
        <v>1668</v>
      </c>
      <c r="AO88" s="5" t="s">
        <v>1668</v>
      </c>
    </row>
    <row r="89" spans="1:41" ht="15" customHeight="1" x14ac:dyDescent="0.2">
      <c r="A89" s="141" t="s">
        <v>313</v>
      </c>
      <c r="B89" s="187" t="s">
        <v>1759</v>
      </c>
      <c r="C89" s="185">
        <v>2015</v>
      </c>
      <c r="D89" s="188">
        <v>12</v>
      </c>
      <c r="E89" s="135">
        <v>2695</v>
      </c>
      <c r="F89" s="189" t="s">
        <v>569</v>
      </c>
      <c r="G89" s="188">
        <v>0</v>
      </c>
      <c r="H89" s="188">
        <v>0</v>
      </c>
      <c r="I89" s="188">
        <v>0</v>
      </c>
      <c r="J89" s="188">
        <v>0</v>
      </c>
      <c r="K89" s="188">
        <v>0</v>
      </c>
      <c r="L89" s="188">
        <v>0</v>
      </c>
      <c r="M89" s="188">
        <v>0</v>
      </c>
      <c r="N89" s="188">
        <v>0</v>
      </c>
      <c r="O89" s="188">
        <v>0</v>
      </c>
      <c r="P89" s="188">
        <v>0</v>
      </c>
      <c r="Q89" s="188">
        <v>0</v>
      </c>
      <c r="R89" s="188">
        <v>0</v>
      </c>
      <c r="S89" s="188">
        <v>0</v>
      </c>
      <c r="T89" s="188">
        <v>0</v>
      </c>
      <c r="U89" s="188">
        <v>0</v>
      </c>
      <c r="V89" s="188">
        <v>0</v>
      </c>
      <c r="W89" s="188">
        <v>1</v>
      </c>
      <c r="X89" s="188">
        <v>1</v>
      </c>
      <c r="Y89" s="188">
        <v>0</v>
      </c>
      <c r="Z89" s="188">
        <v>0</v>
      </c>
      <c r="AA89" s="188">
        <v>0</v>
      </c>
      <c r="AB89" s="188">
        <v>0</v>
      </c>
      <c r="AC89" s="188">
        <v>0</v>
      </c>
      <c r="AD89" s="188">
        <v>0</v>
      </c>
      <c r="AE89" s="188">
        <v>0</v>
      </c>
      <c r="AF89" s="191">
        <v>0.1</v>
      </c>
      <c r="AG89" s="183">
        <v>2</v>
      </c>
      <c r="AH89" s="4"/>
      <c r="AI89" s="5" t="s">
        <v>1655</v>
      </c>
      <c r="AL89" s="5" t="s">
        <v>1668</v>
      </c>
      <c r="AO89" s="5" t="s">
        <v>1668</v>
      </c>
    </row>
    <row r="90" spans="1:41" ht="15" customHeight="1" x14ac:dyDescent="0.2">
      <c r="A90" s="141" t="s">
        <v>313</v>
      </c>
      <c r="B90" s="187" t="s">
        <v>1759</v>
      </c>
      <c r="C90" s="185">
        <v>2015</v>
      </c>
      <c r="D90" s="183">
        <v>12</v>
      </c>
      <c r="E90" s="135">
        <v>1914</v>
      </c>
      <c r="F90" s="192" t="s">
        <v>791</v>
      </c>
      <c r="G90" s="183">
        <v>1</v>
      </c>
      <c r="H90" s="183">
        <v>1</v>
      </c>
      <c r="I90" s="183">
        <v>0</v>
      </c>
      <c r="J90" s="183">
        <v>0</v>
      </c>
      <c r="K90" s="183">
        <v>0</v>
      </c>
      <c r="L90" s="183">
        <v>1</v>
      </c>
      <c r="M90" s="183">
        <v>0</v>
      </c>
      <c r="N90" s="183">
        <v>1</v>
      </c>
      <c r="O90" s="183">
        <v>0</v>
      </c>
      <c r="P90" s="183">
        <v>0</v>
      </c>
      <c r="Q90" s="183">
        <v>0</v>
      </c>
      <c r="R90" s="183">
        <v>1</v>
      </c>
      <c r="S90" s="183">
        <v>1</v>
      </c>
      <c r="T90" s="183">
        <v>0</v>
      </c>
      <c r="U90" s="183">
        <v>0</v>
      </c>
      <c r="V90" s="183">
        <v>1</v>
      </c>
      <c r="W90" s="183">
        <v>1</v>
      </c>
      <c r="X90" s="183">
        <v>0</v>
      </c>
      <c r="Y90" s="183">
        <v>1</v>
      </c>
      <c r="Z90" s="183">
        <v>1</v>
      </c>
      <c r="AA90" s="183">
        <v>1</v>
      </c>
      <c r="AB90" s="183">
        <v>0</v>
      </c>
      <c r="AC90" s="183">
        <v>0</v>
      </c>
      <c r="AD90" s="183">
        <v>0</v>
      </c>
      <c r="AE90" s="183">
        <v>0</v>
      </c>
      <c r="AF90" s="190">
        <v>0.1</v>
      </c>
      <c r="AG90" s="183">
        <v>11</v>
      </c>
      <c r="AI90" s="5" t="s">
        <v>1655</v>
      </c>
      <c r="AL90" s="5" t="s">
        <v>1668</v>
      </c>
      <c r="AO90" s="5" t="s">
        <v>1668</v>
      </c>
    </row>
    <row r="91" spans="1:41" ht="15" customHeight="1" x14ac:dyDescent="0.2">
      <c r="A91" s="141" t="s">
        <v>313</v>
      </c>
      <c r="B91" s="187" t="s">
        <v>1759</v>
      </c>
      <c r="C91" s="185">
        <v>2015</v>
      </c>
      <c r="D91" s="183">
        <v>12</v>
      </c>
      <c r="E91" s="135">
        <v>1066</v>
      </c>
      <c r="F91" s="189" t="s">
        <v>1082</v>
      </c>
      <c r="G91" s="183">
        <v>1</v>
      </c>
      <c r="H91" s="183">
        <v>1</v>
      </c>
      <c r="I91" s="183">
        <v>0</v>
      </c>
      <c r="J91" s="183">
        <v>0</v>
      </c>
      <c r="K91" s="183">
        <v>1</v>
      </c>
      <c r="L91" s="183">
        <v>1</v>
      </c>
      <c r="M91" s="183">
        <v>1</v>
      </c>
      <c r="N91" s="183">
        <v>1</v>
      </c>
      <c r="O91" s="183">
        <v>1</v>
      </c>
      <c r="P91" s="183">
        <v>1</v>
      </c>
      <c r="Q91" s="183">
        <v>0</v>
      </c>
      <c r="R91" s="183">
        <v>0</v>
      </c>
      <c r="S91" s="183">
        <v>1</v>
      </c>
      <c r="T91" s="183">
        <v>1</v>
      </c>
      <c r="U91" s="183">
        <v>1</v>
      </c>
      <c r="V91" s="183">
        <v>0</v>
      </c>
      <c r="W91" s="183">
        <v>0</v>
      </c>
      <c r="X91" s="183">
        <v>0</v>
      </c>
      <c r="Y91" s="183">
        <v>1</v>
      </c>
      <c r="Z91" s="188">
        <v>1</v>
      </c>
      <c r="AA91" s="183">
        <v>0</v>
      </c>
      <c r="AB91" s="183">
        <v>0</v>
      </c>
      <c r="AC91" s="183">
        <v>1</v>
      </c>
      <c r="AD91" s="183">
        <v>1</v>
      </c>
      <c r="AE91" s="183">
        <v>0</v>
      </c>
      <c r="AF91" s="190">
        <v>40</v>
      </c>
      <c r="AG91" s="183">
        <v>15</v>
      </c>
    </row>
    <row r="92" spans="1:41" ht="15" customHeight="1" x14ac:dyDescent="0.2">
      <c r="A92" s="141" t="s">
        <v>313</v>
      </c>
      <c r="B92" s="187" t="s">
        <v>1759</v>
      </c>
      <c r="C92" s="185">
        <v>2015</v>
      </c>
      <c r="D92" s="183">
        <v>12</v>
      </c>
      <c r="E92" s="135">
        <v>1140</v>
      </c>
      <c r="F92" s="192" t="s">
        <v>1052</v>
      </c>
      <c r="G92" s="183">
        <v>0</v>
      </c>
      <c r="H92" s="183">
        <v>0</v>
      </c>
      <c r="I92" s="183">
        <v>1</v>
      </c>
      <c r="J92" s="183">
        <v>1</v>
      </c>
      <c r="K92" s="183">
        <v>0</v>
      </c>
      <c r="L92" s="183">
        <v>0</v>
      </c>
      <c r="M92" s="183">
        <v>0</v>
      </c>
      <c r="N92" s="183">
        <v>0</v>
      </c>
      <c r="O92" s="183">
        <v>1</v>
      </c>
      <c r="P92" s="183">
        <v>1</v>
      </c>
      <c r="Q92" s="183">
        <v>0</v>
      </c>
      <c r="R92" s="183">
        <v>1</v>
      </c>
      <c r="S92" s="183">
        <v>0</v>
      </c>
      <c r="T92" s="183">
        <v>1</v>
      </c>
      <c r="U92" s="183">
        <v>1</v>
      </c>
      <c r="V92" s="183">
        <v>0</v>
      </c>
      <c r="W92" s="183">
        <v>0</v>
      </c>
      <c r="X92" s="183">
        <v>1</v>
      </c>
      <c r="Y92" s="183">
        <v>1</v>
      </c>
      <c r="Z92" s="183">
        <v>1</v>
      </c>
      <c r="AA92" s="183">
        <v>0</v>
      </c>
      <c r="AB92" s="183">
        <v>0</v>
      </c>
      <c r="AC92" s="183">
        <v>0</v>
      </c>
      <c r="AD92" s="183">
        <v>1</v>
      </c>
      <c r="AE92" s="183">
        <v>1</v>
      </c>
      <c r="AF92" s="190">
        <v>0.1</v>
      </c>
      <c r="AG92" s="183">
        <v>12</v>
      </c>
      <c r="AI92" s="5" t="s">
        <v>1655</v>
      </c>
      <c r="AL92" s="5" t="s">
        <v>1668</v>
      </c>
      <c r="AO92" s="5" t="s">
        <v>1668</v>
      </c>
    </row>
    <row r="93" spans="1:41" ht="15" customHeight="1" x14ac:dyDescent="0.2">
      <c r="A93" s="141" t="s">
        <v>313</v>
      </c>
      <c r="B93" s="187" t="s">
        <v>1759</v>
      </c>
      <c r="C93" s="185">
        <v>2015</v>
      </c>
      <c r="D93" s="188">
        <v>12</v>
      </c>
      <c r="E93" s="135">
        <v>2634</v>
      </c>
      <c r="F93" s="192" t="s">
        <v>594</v>
      </c>
      <c r="G93" s="188">
        <v>0</v>
      </c>
      <c r="H93" s="188">
        <v>0</v>
      </c>
      <c r="I93" s="188">
        <v>0</v>
      </c>
      <c r="J93" s="188">
        <v>0</v>
      </c>
      <c r="K93" s="188">
        <v>0</v>
      </c>
      <c r="L93" s="188">
        <v>0</v>
      </c>
      <c r="M93" s="188">
        <v>0</v>
      </c>
      <c r="N93" s="188">
        <v>0</v>
      </c>
      <c r="O93" s="188">
        <v>0</v>
      </c>
      <c r="P93" s="188">
        <v>0</v>
      </c>
      <c r="Q93" s="188">
        <v>0</v>
      </c>
      <c r="R93" s="188">
        <v>0</v>
      </c>
      <c r="S93" s="188">
        <v>1</v>
      </c>
      <c r="T93" s="188">
        <v>0</v>
      </c>
      <c r="U93" s="188">
        <v>1</v>
      </c>
      <c r="V93" s="188">
        <v>0</v>
      </c>
      <c r="W93" s="188">
        <v>0</v>
      </c>
      <c r="X93" s="188">
        <v>0</v>
      </c>
      <c r="Y93" s="188">
        <v>0</v>
      </c>
      <c r="Z93" s="188">
        <v>0</v>
      </c>
      <c r="AA93" s="188">
        <v>0</v>
      </c>
      <c r="AB93" s="188">
        <v>0</v>
      </c>
      <c r="AC93" s="188">
        <v>0</v>
      </c>
      <c r="AD93" s="188">
        <v>0</v>
      </c>
      <c r="AE93" s="188">
        <v>0</v>
      </c>
      <c r="AF93" s="191">
        <v>0.1</v>
      </c>
      <c r="AG93" s="183">
        <v>2</v>
      </c>
      <c r="AH93" s="4"/>
      <c r="AI93" s="5" t="s">
        <v>1655</v>
      </c>
      <c r="AL93" s="5" t="s">
        <v>1668</v>
      </c>
      <c r="AO93" s="5" t="s">
        <v>1668</v>
      </c>
    </row>
    <row r="94" spans="1:41" ht="15" customHeight="1" x14ac:dyDescent="0.2">
      <c r="A94" s="141" t="s">
        <v>313</v>
      </c>
      <c r="B94" s="187" t="s">
        <v>1759</v>
      </c>
      <c r="C94" s="185">
        <v>2015</v>
      </c>
      <c r="D94" s="188">
        <v>13</v>
      </c>
      <c r="E94" s="135">
        <v>278</v>
      </c>
      <c r="F94" s="192" t="s">
        <v>132</v>
      </c>
      <c r="G94" s="188">
        <v>0</v>
      </c>
      <c r="H94" s="188">
        <v>0</v>
      </c>
      <c r="I94" s="188">
        <v>1</v>
      </c>
      <c r="J94" s="188">
        <v>1</v>
      </c>
      <c r="K94" s="188">
        <v>1</v>
      </c>
      <c r="L94" s="188">
        <v>0</v>
      </c>
      <c r="M94" s="188">
        <v>0</v>
      </c>
      <c r="N94" s="188">
        <v>1</v>
      </c>
      <c r="O94" s="188">
        <v>1</v>
      </c>
      <c r="P94" s="188">
        <v>1</v>
      </c>
      <c r="Q94" s="188">
        <v>1</v>
      </c>
      <c r="R94" s="188">
        <v>1</v>
      </c>
      <c r="S94" s="188">
        <v>0</v>
      </c>
      <c r="T94" s="188">
        <v>1</v>
      </c>
      <c r="U94" s="188">
        <v>1</v>
      </c>
      <c r="V94" s="188">
        <v>1</v>
      </c>
      <c r="W94" s="188">
        <v>1</v>
      </c>
      <c r="X94" s="188">
        <v>1</v>
      </c>
      <c r="Y94" s="188">
        <v>1</v>
      </c>
      <c r="Z94" s="188">
        <v>1</v>
      </c>
      <c r="AA94" s="188">
        <v>1</v>
      </c>
      <c r="AB94" s="188">
        <v>1</v>
      </c>
      <c r="AC94" s="188">
        <v>1</v>
      </c>
      <c r="AD94" s="188">
        <v>1</v>
      </c>
      <c r="AE94" s="188">
        <v>1</v>
      </c>
      <c r="AF94" s="191">
        <v>40</v>
      </c>
      <c r="AG94" s="183">
        <v>20</v>
      </c>
      <c r="AH94" s="4"/>
    </row>
    <row r="95" spans="1:41" ht="15" customHeight="1" x14ac:dyDescent="0.2">
      <c r="A95" s="141" t="s">
        <v>313</v>
      </c>
      <c r="B95" s="187" t="s">
        <v>1759</v>
      </c>
      <c r="C95" s="141">
        <v>2015</v>
      </c>
      <c r="D95" s="188">
        <v>13</v>
      </c>
      <c r="E95" s="135">
        <v>1576</v>
      </c>
      <c r="F95" s="192" t="s">
        <v>882</v>
      </c>
      <c r="G95" s="188">
        <v>1</v>
      </c>
      <c r="H95" s="188">
        <v>1</v>
      </c>
      <c r="I95" s="188">
        <v>1</v>
      </c>
      <c r="J95" s="188">
        <v>1</v>
      </c>
      <c r="K95" s="188">
        <v>1</v>
      </c>
      <c r="L95" s="188">
        <v>1</v>
      </c>
      <c r="M95" s="188">
        <v>1</v>
      </c>
      <c r="N95" s="188">
        <v>1</v>
      </c>
      <c r="O95" s="188">
        <v>1</v>
      </c>
      <c r="P95" s="188">
        <v>1</v>
      </c>
      <c r="Q95" s="188">
        <v>1</v>
      </c>
      <c r="R95" s="188">
        <v>1</v>
      </c>
      <c r="S95" s="188">
        <v>1</v>
      </c>
      <c r="T95" s="188">
        <v>1</v>
      </c>
      <c r="U95" s="188">
        <v>1</v>
      </c>
      <c r="V95" s="188">
        <v>1</v>
      </c>
      <c r="W95" s="188">
        <v>1</v>
      </c>
      <c r="X95" s="188">
        <v>1</v>
      </c>
      <c r="Y95" s="188">
        <v>1</v>
      </c>
      <c r="Z95" s="188">
        <v>1</v>
      </c>
      <c r="AA95" s="188">
        <v>1</v>
      </c>
      <c r="AB95" s="188">
        <v>1</v>
      </c>
      <c r="AC95" s="188">
        <v>1</v>
      </c>
      <c r="AD95" s="188">
        <v>1</v>
      </c>
      <c r="AE95" s="188">
        <v>1</v>
      </c>
      <c r="AF95" s="191">
        <v>85</v>
      </c>
      <c r="AG95" s="183">
        <v>25</v>
      </c>
      <c r="AL95" s="5" t="s">
        <v>1434</v>
      </c>
      <c r="AO95" s="5" t="s">
        <v>1434</v>
      </c>
    </row>
    <row r="96" spans="1:41" ht="15" customHeight="1" x14ac:dyDescent="0.2">
      <c r="A96" s="141" t="s">
        <v>313</v>
      </c>
      <c r="B96" s="187" t="s">
        <v>1759</v>
      </c>
      <c r="C96" s="185">
        <v>2015</v>
      </c>
      <c r="D96" s="188">
        <v>13</v>
      </c>
      <c r="E96" s="135">
        <v>2362</v>
      </c>
      <c r="F96" s="192" t="s">
        <v>663</v>
      </c>
      <c r="G96" s="188">
        <v>0</v>
      </c>
      <c r="H96" s="188">
        <v>0</v>
      </c>
      <c r="I96" s="188">
        <v>1</v>
      </c>
      <c r="J96" s="188">
        <v>1</v>
      </c>
      <c r="K96" s="188">
        <v>1</v>
      </c>
      <c r="L96" s="188">
        <v>1</v>
      </c>
      <c r="M96" s="188">
        <v>1</v>
      </c>
      <c r="N96" s="188">
        <v>1</v>
      </c>
      <c r="O96" s="188">
        <v>0</v>
      </c>
      <c r="P96" s="188">
        <v>1</v>
      </c>
      <c r="Q96" s="188">
        <v>0</v>
      </c>
      <c r="R96" s="188">
        <v>1</v>
      </c>
      <c r="S96" s="188">
        <v>0</v>
      </c>
      <c r="T96" s="188">
        <v>1</v>
      </c>
      <c r="U96" s="188">
        <v>0</v>
      </c>
      <c r="V96" s="188">
        <v>1</v>
      </c>
      <c r="W96" s="188">
        <v>0</v>
      </c>
      <c r="X96" s="188">
        <v>0</v>
      </c>
      <c r="Y96" s="188">
        <v>1</v>
      </c>
      <c r="Z96" s="188">
        <v>1</v>
      </c>
      <c r="AA96" s="188">
        <v>1</v>
      </c>
      <c r="AB96" s="188">
        <v>0</v>
      </c>
      <c r="AC96" s="188">
        <v>1</v>
      </c>
      <c r="AD96" s="188">
        <v>1</v>
      </c>
      <c r="AE96" s="188">
        <v>0</v>
      </c>
      <c r="AF96" s="191">
        <v>0.5</v>
      </c>
      <c r="AG96" s="183">
        <v>15</v>
      </c>
      <c r="AH96" s="4"/>
    </row>
    <row r="97" spans="1:41" ht="15" customHeight="1" x14ac:dyDescent="0.2">
      <c r="A97" s="141" t="s">
        <v>313</v>
      </c>
      <c r="B97" s="187" t="s">
        <v>1759</v>
      </c>
      <c r="C97" s="185">
        <v>2015</v>
      </c>
      <c r="D97" s="188">
        <v>13</v>
      </c>
      <c r="E97" s="135">
        <v>2366</v>
      </c>
      <c r="F97" s="192" t="s">
        <v>660</v>
      </c>
      <c r="G97" s="188">
        <v>0</v>
      </c>
      <c r="H97" s="188">
        <v>0</v>
      </c>
      <c r="I97" s="188">
        <v>0</v>
      </c>
      <c r="J97" s="188">
        <v>0</v>
      </c>
      <c r="K97" s="188">
        <v>0</v>
      </c>
      <c r="L97" s="188">
        <v>0</v>
      </c>
      <c r="M97" s="188">
        <v>1</v>
      </c>
      <c r="N97" s="188">
        <v>0</v>
      </c>
      <c r="O97" s="188">
        <v>0</v>
      </c>
      <c r="P97" s="188">
        <v>1</v>
      </c>
      <c r="Q97" s="188">
        <v>0</v>
      </c>
      <c r="R97" s="188">
        <v>0</v>
      </c>
      <c r="S97" s="188">
        <v>0</v>
      </c>
      <c r="T97" s="188">
        <v>0</v>
      </c>
      <c r="U97" s="188">
        <v>1</v>
      </c>
      <c r="V97" s="188">
        <v>1</v>
      </c>
      <c r="W97" s="188">
        <v>0</v>
      </c>
      <c r="X97" s="188">
        <v>0</v>
      </c>
      <c r="Y97" s="188">
        <v>0</v>
      </c>
      <c r="Z97" s="188">
        <v>0</v>
      </c>
      <c r="AA97" s="188">
        <v>0</v>
      </c>
      <c r="AB97" s="188">
        <v>0</v>
      </c>
      <c r="AC97" s="188">
        <v>0</v>
      </c>
      <c r="AD97" s="188">
        <v>0</v>
      </c>
      <c r="AE97" s="188">
        <v>0</v>
      </c>
      <c r="AF97" s="191">
        <v>0.1</v>
      </c>
      <c r="AG97" s="183">
        <v>4</v>
      </c>
      <c r="AI97" s="5" t="s">
        <v>1655</v>
      </c>
      <c r="AL97" s="5" t="s">
        <v>1668</v>
      </c>
      <c r="AO97" s="5" t="s">
        <v>1668</v>
      </c>
    </row>
    <row r="98" spans="1:41" ht="15" customHeight="1" x14ac:dyDescent="0.2">
      <c r="A98" s="141" t="s">
        <v>313</v>
      </c>
      <c r="B98" s="187" t="s">
        <v>1759</v>
      </c>
      <c r="C98" s="185">
        <v>2015</v>
      </c>
      <c r="D98" s="188">
        <v>13</v>
      </c>
      <c r="E98" s="135" t="e">
        <v>#N/A</v>
      </c>
      <c r="F98" s="192" t="s">
        <v>1767</v>
      </c>
      <c r="G98" s="188">
        <v>0</v>
      </c>
      <c r="H98" s="188">
        <v>0</v>
      </c>
      <c r="I98" s="188">
        <v>0</v>
      </c>
      <c r="J98" s="188">
        <v>1</v>
      </c>
      <c r="K98" s="188">
        <v>0</v>
      </c>
      <c r="L98" s="188">
        <v>0</v>
      </c>
      <c r="M98" s="188">
        <v>0</v>
      </c>
      <c r="N98" s="188">
        <v>0</v>
      </c>
      <c r="O98" s="188">
        <v>0</v>
      </c>
      <c r="P98" s="188">
        <v>1</v>
      </c>
      <c r="Q98" s="188">
        <v>0</v>
      </c>
      <c r="R98" s="188">
        <v>0</v>
      </c>
      <c r="S98" s="188">
        <v>0</v>
      </c>
      <c r="T98" s="188">
        <v>0</v>
      </c>
      <c r="U98" s="188">
        <v>0</v>
      </c>
      <c r="V98" s="188">
        <v>1</v>
      </c>
      <c r="W98" s="188">
        <v>1</v>
      </c>
      <c r="X98" s="188">
        <v>1</v>
      </c>
      <c r="Y98" s="188">
        <v>0</v>
      </c>
      <c r="Z98" s="188">
        <v>0</v>
      </c>
      <c r="AA98" s="188">
        <v>1</v>
      </c>
      <c r="AB98" s="188">
        <v>1</v>
      </c>
      <c r="AC98" s="188">
        <v>1</v>
      </c>
      <c r="AD98" s="188">
        <v>1</v>
      </c>
      <c r="AE98" s="188">
        <v>0</v>
      </c>
      <c r="AF98" s="191">
        <v>0.5</v>
      </c>
      <c r="AG98" s="183">
        <v>9</v>
      </c>
      <c r="AH98" s="4" t="s">
        <v>1785</v>
      </c>
      <c r="AI98" s="5" t="s">
        <v>1659</v>
      </c>
      <c r="AL98" s="5" t="s">
        <v>1671</v>
      </c>
      <c r="AO98" s="5" t="s">
        <v>1671</v>
      </c>
    </row>
    <row r="99" spans="1:41" ht="15" customHeight="1" x14ac:dyDescent="0.2">
      <c r="A99" s="141" t="s">
        <v>313</v>
      </c>
      <c r="B99" s="187" t="s">
        <v>1759</v>
      </c>
      <c r="C99" s="185">
        <v>2015</v>
      </c>
      <c r="D99" s="188">
        <v>13</v>
      </c>
      <c r="E99" s="135">
        <v>2620</v>
      </c>
      <c r="F99" s="192" t="s">
        <v>605</v>
      </c>
      <c r="G99" s="188">
        <v>0</v>
      </c>
      <c r="H99" s="188">
        <v>0</v>
      </c>
      <c r="I99" s="188">
        <v>0</v>
      </c>
      <c r="J99" s="188">
        <v>0</v>
      </c>
      <c r="K99" s="188">
        <v>0</v>
      </c>
      <c r="L99" s="188">
        <v>0</v>
      </c>
      <c r="M99" s="188">
        <v>0</v>
      </c>
      <c r="N99" s="188">
        <v>0</v>
      </c>
      <c r="O99" s="188">
        <v>1</v>
      </c>
      <c r="P99" s="188">
        <v>0</v>
      </c>
      <c r="Q99" s="188">
        <v>0</v>
      </c>
      <c r="R99" s="188">
        <v>0</v>
      </c>
      <c r="S99" s="188">
        <v>0</v>
      </c>
      <c r="T99" s="188">
        <v>1</v>
      </c>
      <c r="U99" s="188">
        <v>0</v>
      </c>
      <c r="V99" s="188">
        <v>0</v>
      </c>
      <c r="W99" s="188">
        <v>0</v>
      </c>
      <c r="X99" s="188">
        <v>0</v>
      </c>
      <c r="Y99" s="188">
        <v>0</v>
      </c>
      <c r="Z99" s="188">
        <v>0</v>
      </c>
      <c r="AA99" s="188">
        <v>0</v>
      </c>
      <c r="AB99" s="188">
        <v>0</v>
      </c>
      <c r="AC99" s="188">
        <v>0</v>
      </c>
      <c r="AD99" s="188">
        <v>0</v>
      </c>
      <c r="AE99" s="188">
        <v>0</v>
      </c>
      <c r="AF99" s="191">
        <v>0.1</v>
      </c>
      <c r="AG99" s="183">
        <v>2</v>
      </c>
      <c r="AI99" s="5" t="s">
        <v>1655</v>
      </c>
      <c r="AL99" s="5" t="s">
        <v>1668</v>
      </c>
      <c r="AO99" s="5" t="s">
        <v>1668</v>
      </c>
    </row>
    <row r="100" spans="1:41" ht="15" customHeight="1" x14ac:dyDescent="0.2">
      <c r="A100" s="141" t="s">
        <v>313</v>
      </c>
      <c r="B100" s="187" t="s">
        <v>1759</v>
      </c>
      <c r="C100" s="185">
        <v>2015</v>
      </c>
      <c r="D100" s="188">
        <v>13</v>
      </c>
      <c r="E100" s="135">
        <v>1894</v>
      </c>
      <c r="F100" s="192" t="s">
        <v>795</v>
      </c>
      <c r="G100" s="183">
        <v>1</v>
      </c>
      <c r="H100" s="183">
        <v>1</v>
      </c>
      <c r="I100" s="183">
        <v>1</v>
      </c>
      <c r="J100" s="183">
        <v>1</v>
      </c>
      <c r="K100" s="183">
        <v>1</v>
      </c>
      <c r="L100" s="183">
        <v>1</v>
      </c>
      <c r="M100" s="183">
        <v>1</v>
      </c>
      <c r="N100" s="183">
        <v>1</v>
      </c>
      <c r="O100" s="183">
        <v>0</v>
      </c>
      <c r="P100" s="183">
        <v>1</v>
      </c>
      <c r="Q100" s="183">
        <v>1</v>
      </c>
      <c r="R100" s="183">
        <v>1</v>
      </c>
      <c r="S100" s="183">
        <v>1</v>
      </c>
      <c r="T100" s="183">
        <v>1</v>
      </c>
      <c r="U100" s="183">
        <v>1</v>
      </c>
      <c r="V100" s="183">
        <v>1</v>
      </c>
      <c r="W100" s="183">
        <v>1</v>
      </c>
      <c r="X100" s="183">
        <v>1</v>
      </c>
      <c r="Y100" s="183">
        <v>1</v>
      </c>
      <c r="Z100" s="183">
        <v>1</v>
      </c>
      <c r="AA100" s="183">
        <v>1</v>
      </c>
      <c r="AB100" s="183">
        <v>1</v>
      </c>
      <c r="AC100" s="183">
        <v>1</v>
      </c>
      <c r="AD100" s="183">
        <v>1</v>
      </c>
      <c r="AE100" s="183">
        <v>1</v>
      </c>
      <c r="AF100" s="190">
        <v>4</v>
      </c>
      <c r="AG100" s="183">
        <v>24</v>
      </c>
    </row>
    <row r="101" spans="1:41" ht="15" customHeight="1" x14ac:dyDescent="0.2">
      <c r="A101" s="141" t="s">
        <v>313</v>
      </c>
      <c r="B101" s="187" t="s">
        <v>1759</v>
      </c>
      <c r="C101" s="141">
        <v>2015</v>
      </c>
      <c r="D101" s="188">
        <v>13</v>
      </c>
      <c r="E101" s="135">
        <v>1914</v>
      </c>
      <c r="F101" s="189" t="s">
        <v>791</v>
      </c>
      <c r="G101" s="188">
        <v>0</v>
      </c>
      <c r="H101" s="188">
        <v>0</v>
      </c>
      <c r="I101" s="188">
        <v>0</v>
      </c>
      <c r="J101" s="188">
        <v>0</v>
      </c>
      <c r="K101" s="188">
        <v>0</v>
      </c>
      <c r="L101" s="188">
        <v>0</v>
      </c>
      <c r="M101" s="188">
        <v>0</v>
      </c>
      <c r="N101" s="188">
        <v>0</v>
      </c>
      <c r="O101" s="188">
        <v>0</v>
      </c>
      <c r="P101" s="188">
        <v>0</v>
      </c>
      <c r="Q101" s="188">
        <v>0</v>
      </c>
      <c r="R101" s="188">
        <v>0</v>
      </c>
      <c r="S101" s="188">
        <v>0</v>
      </c>
      <c r="T101" s="188">
        <v>0</v>
      </c>
      <c r="U101" s="188">
        <v>0</v>
      </c>
      <c r="V101" s="188">
        <v>0</v>
      </c>
      <c r="W101" s="188">
        <v>0</v>
      </c>
      <c r="X101" s="188">
        <v>0</v>
      </c>
      <c r="Y101" s="188">
        <v>0</v>
      </c>
      <c r="Z101" s="188">
        <v>0</v>
      </c>
      <c r="AA101" s="188">
        <v>0</v>
      </c>
      <c r="AB101" s="188">
        <v>1</v>
      </c>
      <c r="AC101" s="188">
        <v>0</v>
      </c>
      <c r="AD101" s="188">
        <v>0</v>
      </c>
      <c r="AE101" s="188">
        <v>0</v>
      </c>
      <c r="AF101" s="191">
        <v>0.1</v>
      </c>
      <c r="AG101" s="183">
        <v>1</v>
      </c>
    </row>
    <row r="102" spans="1:41" ht="15" customHeight="1" x14ac:dyDescent="0.2">
      <c r="A102" s="141" t="s">
        <v>313</v>
      </c>
      <c r="B102" s="187" t="s">
        <v>1759</v>
      </c>
      <c r="C102" s="185">
        <v>2015</v>
      </c>
      <c r="D102" s="188">
        <v>13</v>
      </c>
      <c r="E102" s="135">
        <v>2626</v>
      </c>
      <c r="F102" s="193" t="s">
        <v>599</v>
      </c>
      <c r="G102" s="188">
        <v>0</v>
      </c>
      <c r="H102" s="188">
        <v>0</v>
      </c>
      <c r="I102" s="188">
        <v>0</v>
      </c>
      <c r="J102" s="188">
        <v>0</v>
      </c>
      <c r="K102" s="188">
        <v>0</v>
      </c>
      <c r="L102" s="188">
        <v>0</v>
      </c>
      <c r="M102" s="188">
        <v>0</v>
      </c>
      <c r="N102" s="188">
        <v>1</v>
      </c>
      <c r="O102" s="188">
        <v>0</v>
      </c>
      <c r="P102" s="188">
        <v>0</v>
      </c>
      <c r="Q102" s="188">
        <v>0</v>
      </c>
      <c r="R102" s="188">
        <v>0</v>
      </c>
      <c r="S102" s="188">
        <v>0</v>
      </c>
      <c r="T102" s="188">
        <v>0</v>
      </c>
      <c r="U102" s="188">
        <v>0</v>
      </c>
      <c r="V102" s="188">
        <v>0</v>
      </c>
      <c r="W102" s="188">
        <v>0</v>
      </c>
      <c r="X102" s="188">
        <v>0</v>
      </c>
      <c r="Y102" s="188">
        <v>0</v>
      </c>
      <c r="Z102" s="188">
        <v>0</v>
      </c>
      <c r="AA102" s="188">
        <v>0</v>
      </c>
      <c r="AB102" s="188">
        <v>0</v>
      </c>
      <c r="AC102" s="188">
        <v>0</v>
      </c>
      <c r="AD102" s="188">
        <v>0</v>
      </c>
      <c r="AE102" s="188">
        <v>0</v>
      </c>
      <c r="AF102" s="191">
        <v>0.1</v>
      </c>
      <c r="AG102" s="183">
        <v>1</v>
      </c>
      <c r="AI102" s="5" t="s">
        <v>1655</v>
      </c>
      <c r="AL102" s="5" t="s">
        <v>1668</v>
      </c>
      <c r="AO102" s="5" t="s">
        <v>1668</v>
      </c>
    </row>
    <row r="103" spans="1:41" ht="15" customHeight="1" x14ac:dyDescent="0.2">
      <c r="A103" s="141" t="s">
        <v>313</v>
      </c>
      <c r="B103" s="187" t="s">
        <v>1759</v>
      </c>
      <c r="C103" s="141">
        <v>2015</v>
      </c>
      <c r="D103" s="188">
        <v>14</v>
      </c>
      <c r="E103" s="135">
        <v>2606</v>
      </c>
      <c r="F103" s="192" t="s">
        <v>617</v>
      </c>
      <c r="G103" s="188"/>
      <c r="H103" s="188"/>
      <c r="I103" s="188"/>
      <c r="J103" s="188"/>
      <c r="K103" s="188"/>
      <c r="L103" s="188"/>
      <c r="M103" s="188"/>
      <c r="N103" s="188"/>
      <c r="O103" s="188"/>
      <c r="P103" s="188"/>
      <c r="Q103" s="188"/>
      <c r="R103" s="188"/>
      <c r="S103" s="188"/>
      <c r="T103" s="188"/>
      <c r="U103" s="188"/>
      <c r="V103" s="188"/>
      <c r="W103" s="188"/>
      <c r="X103" s="188"/>
      <c r="Y103" s="188"/>
      <c r="Z103" s="188"/>
      <c r="AA103" s="188"/>
      <c r="AB103" s="188"/>
      <c r="AC103" s="188"/>
      <c r="AD103" s="188"/>
      <c r="AE103" s="188"/>
      <c r="AF103" s="191">
        <v>4</v>
      </c>
      <c r="AG103" s="183">
        <v>0</v>
      </c>
      <c r="AH103" s="4" t="s">
        <v>1786</v>
      </c>
      <c r="AI103" s="5" t="s">
        <v>1652</v>
      </c>
      <c r="AL103" s="5" t="s">
        <v>1676</v>
      </c>
      <c r="AO103" s="5" t="s">
        <v>1676</v>
      </c>
    </row>
    <row r="104" spans="1:41" ht="15" customHeight="1" x14ac:dyDescent="0.2">
      <c r="A104" s="141" t="s">
        <v>313</v>
      </c>
      <c r="B104" s="187" t="s">
        <v>1759</v>
      </c>
      <c r="C104" s="141">
        <v>2015</v>
      </c>
      <c r="D104" s="188">
        <v>14</v>
      </c>
      <c r="E104" s="135">
        <v>2605</v>
      </c>
      <c r="F104" s="192" t="s">
        <v>618</v>
      </c>
      <c r="G104" s="188"/>
      <c r="H104" s="188"/>
      <c r="I104" s="188"/>
      <c r="J104" s="188"/>
      <c r="K104" s="188"/>
      <c r="L104" s="188"/>
      <c r="M104" s="188"/>
      <c r="N104" s="188"/>
      <c r="O104" s="188"/>
      <c r="P104" s="188"/>
      <c r="Q104" s="188"/>
      <c r="R104" s="188"/>
      <c r="S104" s="188"/>
      <c r="T104" s="188"/>
      <c r="U104" s="188"/>
      <c r="V104" s="188"/>
      <c r="W104" s="188"/>
      <c r="X104" s="188"/>
      <c r="Y104" s="188"/>
      <c r="Z104" s="188"/>
      <c r="AA104" s="188"/>
      <c r="AB104" s="188"/>
      <c r="AC104" s="188"/>
      <c r="AD104" s="188"/>
      <c r="AE104" s="188"/>
      <c r="AF104" s="191">
        <v>25</v>
      </c>
      <c r="AG104" s="183">
        <v>0</v>
      </c>
      <c r="AH104" s="5" t="s">
        <v>1786</v>
      </c>
      <c r="AI104" s="5" t="s">
        <v>1652</v>
      </c>
      <c r="AL104" s="5" t="s">
        <v>1676</v>
      </c>
      <c r="AO104" s="5" t="s">
        <v>1676</v>
      </c>
    </row>
    <row r="105" spans="1:41" ht="15" customHeight="1" x14ac:dyDescent="0.2">
      <c r="A105" s="141" t="s">
        <v>313</v>
      </c>
      <c r="B105" s="187" t="s">
        <v>1759</v>
      </c>
      <c r="C105" s="141">
        <v>2015</v>
      </c>
      <c r="D105" s="188">
        <v>14</v>
      </c>
      <c r="E105" s="135">
        <v>1519</v>
      </c>
      <c r="F105" s="192" t="s">
        <v>898</v>
      </c>
      <c r="G105" s="188"/>
      <c r="H105" s="188"/>
      <c r="I105" s="188"/>
      <c r="J105" s="188"/>
      <c r="K105" s="188"/>
      <c r="L105" s="188"/>
      <c r="M105" s="188"/>
      <c r="N105" s="188"/>
      <c r="O105" s="188"/>
      <c r="P105" s="188"/>
      <c r="Q105" s="188"/>
      <c r="R105" s="188"/>
      <c r="S105" s="188"/>
      <c r="T105" s="188"/>
      <c r="U105" s="188"/>
      <c r="V105" s="188"/>
      <c r="W105" s="188"/>
      <c r="X105" s="188"/>
      <c r="Y105" s="188"/>
      <c r="Z105" s="188"/>
      <c r="AA105" s="188"/>
      <c r="AB105" s="188"/>
      <c r="AC105" s="188"/>
      <c r="AD105" s="188"/>
      <c r="AE105" s="188"/>
      <c r="AF105" s="191">
        <v>0.1</v>
      </c>
      <c r="AG105" s="183">
        <v>0</v>
      </c>
      <c r="AH105" s="5" t="s">
        <v>1849</v>
      </c>
      <c r="AI105" s="5" t="s">
        <v>1652</v>
      </c>
      <c r="AJ105" s="5" t="s">
        <v>1655</v>
      </c>
      <c r="AK105" s="5" t="s">
        <v>1657</v>
      </c>
      <c r="AL105" s="5" t="s">
        <v>1676</v>
      </c>
      <c r="AM105" s="5" t="s">
        <v>1673</v>
      </c>
      <c r="AN105" s="5" t="s">
        <v>1668</v>
      </c>
      <c r="AO105" s="5" t="s">
        <v>1676</v>
      </c>
    </row>
    <row r="106" spans="1:41" ht="15" customHeight="1" x14ac:dyDescent="0.2">
      <c r="A106" s="141" t="s">
        <v>313</v>
      </c>
      <c r="B106" s="187" t="s">
        <v>1759</v>
      </c>
      <c r="C106" s="141">
        <v>2015</v>
      </c>
      <c r="D106" s="188">
        <v>14</v>
      </c>
      <c r="E106" s="135">
        <v>2610</v>
      </c>
      <c r="F106" s="192" t="s">
        <v>615</v>
      </c>
      <c r="G106" s="188"/>
      <c r="H106" s="188"/>
      <c r="I106" s="188"/>
      <c r="J106" s="188"/>
      <c r="K106" s="188"/>
      <c r="L106" s="188"/>
      <c r="M106" s="188"/>
      <c r="N106" s="188"/>
      <c r="O106" s="188"/>
      <c r="P106" s="188"/>
      <c r="Q106" s="188"/>
      <c r="R106" s="188"/>
      <c r="S106" s="188"/>
      <c r="T106" s="188"/>
      <c r="U106" s="188"/>
      <c r="V106" s="188"/>
      <c r="W106" s="188"/>
      <c r="X106" s="188"/>
      <c r="Y106" s="188"/>
      <c r="Z106" s="188"/>
      <c r="AA106" s="188"/>
      <c r="AB106" s="188"/>
      <c r="AC106" s="188"/>
      <c r="AD106" s="188"/>
      <c r="AE106" s="188"/>
      <c r="AF106" s="191">
        <v>1</v>
      </c>
      <c r="AG106" s="183">
        <v>0</v>
      </c>
      <c r="AH106" s="4" t="s">
        <v>1786</v>
      </c>
      <c r="AI106" s="5" t="s">
        <v>1652</v>
      </c>
      <c r="AL106" s="5" t="s">
        <v>1676</v>
      </c>
      <c r="AO106" s="5" t="s">
        <v>1676</v>
      </c>
    </row>
    <row r="107" spans="1:41" ht="15" customHeight="1" x14ac:dyDescent="0.2">
      <c r="A107" s="141" t="s">
        <v>313</v>
      </c>
      <c r="B107" s="187" t="s">
        <v>1759</v>
      </c>
      <c r="C107" s="141">
        <v>2015</v>
      </c>
      <c r="D107" s="188">
        <v>14</v>
      </c>
      <c r="E107" s="135">
        <v>478</v>
      </c>
      <c r="F107" s="189" t="s">
        <v>24</v>
      </c>
      <c r="G107" s="188"/>
      <c r="H107" s="188"/>
      <c r="I107" s="188"/>
      <c r="J107" s="188"/>
      <c r="K107" s="188"/>
      <c r="L107" s="188"/>
      <c r="M107" s="188"/>
      <c r="N107" s="188"/>
      <c r="O107" s="188"/>
      <c r="P107" s="188"/>
      <c r="Q107" s="188"/>
      <c r="R107" s="188"/>
      <c r="S107" s="188"/>
      <c r="T107" s="188"/>
      <c r="U107" s="188"/>
      <c r="V107" s="188"/>
      <c r="W107" s="188"/>
      <c r="X107" s="188"/>
      <c r="Y107" s="188"/>
      <c r="Z107" s="188"/>
      <c r="AA107" s="188"/>
      <c r="AB107" s="188"/>
      <c r="AC107" s="188"/>
      <c r="AD107" s="188"/>
      <c r="AE107" s="188"/>
      <c r="AF107" s="191">
        <v>2</v>
      </c>
      <c r="AG107" s="183">
        <v>0</v>
      </c>
      <c r="AH107" s="5" t="s">
        <v>1786</v>
      </c>
      <c r="AI107" s="5" t="s">
        <v>1652</v>
      </c>
      <c r="AL107" s="5" t="s">
        <v>1676</v>
      </c>
      <c r="AO107" s="5" t="s">
        <v>1676</v>
      </c>
    </row>
    <row r="108" spans="1:41" ht="15" customHeight="1" x14ac:dyDescent="0.2">
      <c r="A108" s="141" t="s">
        <v>313</v>
      </c>
      <c r="B108" s="187" t="s">
        <v>1759</v>
      </c>
      <c r="C108" s="141">
        <v>2015</v>
      </c>
      <c r="D108" s="188">
        <v>14</v>
      </c>
      <c r="E108" s="135">
        <v>2695</v>
      </c>
      <c r="F108" s="192" t="s">
        <v>569</v>
      </c>
      <c r="G108" s="188"/>
      <c r="H108" s="188"/>
      <c r="I108" s="188"/>
      <c r="J108" s="188"/>
      <c r="K108" s="188"/>
      <c r="L108" s="188"/>
      <c r="M108" s="188"/>
      <c r="N108" s="188"/>
      <c r="O108" s="188"/>
      <c r="P108" s="188"/>
      <c r="Q108" s="188"/>
      <c r="R108" s="188"/>
      <c r="S108" s="188"/>
      <c r="T108" s="188"/>
      <c r="U108" s="188"/>
      <c r="V108" s="188"/>
      <c r="W108" s="188"/>
      <c r="X108" s="188"/>
      <c r="Y108" s="188"/>
      <c r="Z108" s="188"/>
      <c r="AA108" s="188"/>
      <c r="AB108" s="188"/>
      <c r="AC108" s="188"/>
      <c r="AD108" s="188"/>
      <c r="AE108" s="188"/>
      <c r="AF108" s="191">
        <v>0.1</v>
      </c>
      <c r="AG108" s="183">
        <v>0</v>
      </c>
      <c r="AH108" s="5" t="s">
        <v>1850</v>
      </c>
      <c r="AI108" s="5" t="s">
        <v>1652</v>
      </c>
      <c r="AJ108" s="5" t="s">
        <v>1655</v>
      </c>
      <c r="AK108" s="5" t="s">
        <v>1657</v>
      </c>
      <c r="AL108" s="5" t="s">
        <v>1676</v>
      </c>
      <c r="AM108" s="5" t="s">
        <v>1673</v>
      </c>
      <c r="AN108" s="5" t="s">
        <v>1668</v>
      </c>
      <c r="AO108" s="5" t="s">
        <v>1676</v>
      </c>
    </row>
    <row r="109" spans="1:41" ht="15" customHeight="1" x14ac:dyDescent="0.2">
      <c r="A109" s="141" t="s">
        <v>313</v>
      </c>
      <c r="B109" s="187" t="s">
        <v>1759</v>
      </c>
      <c r="C109" s="141">
        <v>2015</v>
      </c>
      <c r="D109" s="188">
        <v>14</v>
      </c>
      <c r="E109" s="135">
        <v>798</v>
      </c>
      <c r="F109" s="192" t="s">
        <v>1194</v>
      </c>
      <c r="G109" s="188"/>
      <c r="H109" s="188"/>
      <c r="I109" s="188"/>
      <c r="J109" s="188"/>
      <c r="K109" s="188"/>
      <c r="L109" s="188"/>
      <c r="M109" s="188"/>
      <c r="N109" s="188"/>
      <c r="O109" s="188"/>
      <c r="P109" s="188"/>
      <c r="Q109" s="188"/>
      <c r="R109" s="188"/>
      <c r="S109" s="188"/>
      <c r="T109" s="188"/>
      <c r="U109" s="188"/>
      <c r="V109" s="188"/>
      <c r="W109" s="188"/>
      <c r="X109" s="188"/>
      <c r="Y109" s="188"/>
      <c r="Z109" s="188"/>
      <c r="AA109" s="188"/>
      <c r="AB109" s="188"/>
      <c r="AC109" s="188"/>
      <c r="AD109" s="188"/>
      <c r="AE109" s="188"/>
      <c r="AF109" s="191">
        <v>1</v>
      </c>
      <c r="AG109" s="183">
        <v>0</v>
      </c>
      <c r="AH109" s="5" t="s">
        <v>1786</v>
      </c>
      <c r="AI109" s="5" t="s">
        <v>1652</v>
      </c>
      <c r="AL109" s="5" t="s">
        <v>1676</v>
      </c>
      <c r="AO109" s="5" t="s">
        <v>1676</v>
      </c>
    </row>
    <row r="110" spans="1:41" ht="15" customHeight="1" x14ac:dyDescent="0.2">
      <c r="A110" s="141" t="s">
        <v>313</v>
      </c>
      <c r="B110" s="187" t="s">
        <v>1759</v>
      </c>
      <c r="C110" s="141">
        <v>2015</v>
      </c>
      <c r="D110" s="188">
        <v>14</v>
      </c>
      <c r="E110" s="135">
        <v>1066</v>
      </c>
      <c r="F110" s="192" t="s">
        <v>1082</v>
      </c>
      <c r="G110" s="188"/>
      <c r="H110" s="188"/>
      <c r="I110" s="188"/>
      <c r="J110" s="188"/>
      <c r="K110" s="188"/>
      <c r="L110" s="188"/>
      <c r="M110" s="188"/>
      <c r="N110" s="188"/>
      <c r="O110" s="188"/>
      <c r="P110" s="188"/>
      <c r="Q110" s="188"/>
      <c r="R110" s="188"/>
      <c r="S110" s="188"/>
      <c r="T110" s="188"/>
      <c r="U110" s="188"/>
      <c r="V110" s="188"/>
      <c r="W110" s="188"/>
      <c r="X110" s="188"/>
      <c r="Y110" s="188"/>
      <c r="Z110" s="188"/>
      <c r="AA110" s="188"/>
      <c r="AB110" s="188"/>
      <c r="AC110" s="188"/>
      <c r="AD110" s="188"/>
      <c r="AE110" s="188"/>
      <c r="AF110" s="191">
        <v>4</v>
      </c>
      <c r="AG110" s="183">
        <v>0</v>
      </c>
      <c r="AH110" s="5" t="s">
        <v>1786</v>
      </c>
      <c r="AI110" s="5" t="s">
        <v>1652</v>
      </c>
      <c r="AL110" s="5" t="s">
        <v>1676</v>
      </c>
      <c r="AO110" s="5" t="s">
        <v>1676</v>
      </c>
    </row>
    <row r="111" spans="1:41" ht="15" customHeight="1" x14ac:dyDescent="0.2">
      <c r="A111" s="141" t="s">
        <v>313</v>
      </c>
      <c r="B111" s="187" t="s">
        <v>1759</v>
      </c>
      <c r="C111" s="141">
        <v>2015</v>
      </c>
      <c r="D111" s="188">
        <v>14</v>
      </c>
      <c r="E111" s="135">
        <v>2639</v>
      </c>
      <c r="F111" s="192" t="s">
        <v>590</v>
      </c>
      <c r="G111" s="188"/>
      <c r="H111" s="188"/>
      <c r="I111" s="188"/>
      <c r="J111" s="188"/>
      <c r="K111" s="188"/>
      <c r="L111" s="188"/>
      <c r="M111" s="188"/>
      <c r="N111" s="188"/>
      <c r="O111" s="188"/>
      <c r="P111" s="188"/>
      <c r="Q111" s="188"/>
      <c r="R111" s="188"/>
      <c r="S111" s="188"/>
      <c r="T111" s="188"/>
      <c r="U111" s="188"/>
      <c r="V111" s="188"/>
      <c r="W111" s="188"/>
      <c r="X111" s="188"/>
      <c r="Y111" s="188"/>
      <c r="Z111" s="188"/>
      <c r="AA111" s="188"/>
      <c r="AB111" s="188"/>
      <c r="AC111" s="188"/>
      <c r="AD111" s="188"/>
      <c r="AE111" s="188"/>
      <c r="AF111" s="191">
        <v>85</v>
      </c>
      <c r="AG111" s="183">
        <v>0</v>
      </c>
      <c r="AH111" s="5" t="s">
        <v>1786</v>
      </c>
      <c r="AI111" s="5" t="s">
        <v>1652</v>
      </c>
      <c r="AL111" s="5" t="s">
        <v>1676</v>
      </c>
      <c r="AO111" s="5" t="s">
        <v>1676</v>
      </c>
    </row>
    <row r="112" spans="1:41" ht="15" customHeight="1" x14ac:dyDescent="0.2">
      <c r="A112" s="141" t="s">
        <v>313</v>
      </c>
      <c r="B112" s="187" t="s">
        <v>1759</v>
      </c>
      <c r="C112" s="141">
        <v>2015</v>
      </c>
      <c r="D112" s="188">
        <v>16</v>
      </c>
      <c r="E112" s="135">
        <v>2607</v>
      </c>
      <c r="F112" s="192" t="s">
        <v>616</v>
      </c>
      <c r="G112" s="188">
        <v>0</v>
      </c>
      <c r="H112" s="188">
        <v>0</v>
      </c>
      <c r="I112" s="188">
        <v>0</v>
      </c>
      <c r="J112" s="188">
        <v>0</v>
      </c>
      <c r="K112" s="188">
        <v>0</v>
      </c>
      <c r="L112" s="188">
        <v>0</v>
      </c>
      <c r="M112" s="188">
        <v>1</v>
      </c>
      <c r="N112" s="188">
        <v>0</v>
      </c>
      <c r="O112" s="188">
        <v>0</v>
      </c>
      <c r="P112" s="188">
        <v>0</v>
      </c>
      <c r="Q112" s="188">
        <v>0</v>
      </c>
      <c r="R112" s="188">
        <v>0</v>
      </c>
      <c r="S112" s="188">
        <v>0</v>
      </c>
      <c r="T112" s="188">
        <v>0</v>
      </c>
      <c r="U112" s="188">
        <v>0</v>
      </c>
      <c r="V112" s="188">
        <v>0</v>
      </c>
      <c r="W112" s="188">
        <v>0</v>
      </c>
      <c r="X112" s="188">
        <v>0</v>
      </c>
      <c r="Y112" s="188">
        <v>1</v>
      </c>
      <c r="Z112" s="188">
        <v>0</v>
      </c>
      <c r="AA112" s="188">
        <v>0</v>
      </c>
      <c r="AB112" s="188">
        <v>0</v>
      </c>
      <c r="AC112" s="188">
        <v>0</v>
      </c>
      <c r="AD112" s="188">
        <v>0</v>
      </c>
      <c r="AE112" s="188">
        <v>0</v>
      </c>
      <c r="AF112" s="191">
        <v>0.1</v>
      </c>
      <c r="AG112" s="183">
        <v>2</v>
      </c>
      <c r="AI112" s="5" t="s">
        <v>1655</v>
      </c>
      <c r="AL112" s="5" t="s">
        <v>1668</v>
      </c>
      <c r="AO112" s="5" t="s">
        <v>1668</v>
      </c>
    </row>
    <row r="113" spans="1:41" ht="15" customHeight="1" x14ac:dyDescent="0.2">
      <c r="A113" s="141" t="s">
        <v>313</v>
      </c>
      <c r="B113" s="187" t="s">
        <v>1759</v>
      </c>
      <c r="C113" s="141">
        <v>2015</v>
      </c>
      <c r="D113" s="188">
        <v>16</v>
      </c>
      <c r="E113" s="135">
        <v>2605</v>
      </c>
      <c r="F113" s="192" t="s">
        <v>618</v>
      </c>
      <c r="G113" s="188">
        <v>0</v>
      </c>
      <c r="H113" s="188">
        <v>0</v>
      </c>
      <c r="I113" s="188">
        <v>0</v>
      </c>
      <c r="J113" s="188">
        <v>0</v>
      </c>
      <c r="K113" s="188">
        <v>0</v>
      </c>
      <c r="L113" s="188">
        <v>1</v>
      </c>
      <c r="M113" s="188">
        <v>1</v>
      </c>
      <c r="N113" s="188">
        <v>0</v>
      </c>
      <c r="O113" s="188">
        <v>0</v>
      </c>
      <c r="P113" s="188">
        <v>0</v>
      </c>
      <c r="Q113" s="188">
        <v>0</v>
      </c>
      <c r="R113" s="188">
        <v>0</v>
      </c>
      <c r="S113" s="188">
        <v>0</v>
      </c>
      <c r="T113" s="188">
        <v>0</v>
      </c>
      <c r="U113" s="188">
        <v>0</v>
      </c>
      <c r="V113" s="188">
        <v>0</v>
      </c>
      <c r="W113" s="188">
        <v>0</v>
      </c>
      <c r="X113" s="188">
        <v>0</v>
      </c>
      <c r="Y113" s="188">
        <v>0</v>
      </c>
      <c r="Z113" s="188">
        <v>0</v>
      </c>
      <c r="AA113" s="188">
        <v>0</v>
      </c>
      <c r="AB113" s="188">
        <v>0</v>
      </c>
      <c r="AC113" s="188">
        <v>1</v>
      </c>
      <c r="AD113" s="188">
        <v>1</v>
      </c>
      <c r="AE113" s="188">
        <v>0</v>
      </c>
      <c r="AF113" s="191">
        <v>0.1</v>
      </c>
      <c r="AG113" s="183">
        <v>4</v>
      </c>
      <c r="AH113" s="4"/>
      <c r="AI113" s="5" t="s">
        <v>1655</v>
      </c>
      <c r="AL113" s="5" t="s">
        <v>1668</v>
      </c>
      <c r="AO113" s="5" t="s">
        <v>1668</v>
      </c>
    </row>
    <row r="114" spans="1:41" ht="15" customHeight="1" x14ac:dyDescent="0.2">
      <c r="A114" s="141" t="s">
        <v>313</v>
      </c>
      <c r="B114" s="187" t="s">
        <v>1759</v>
      </c>
      <c r="C114" s="141">
        <v>2015</v>
      </c>
      <c r="D114" s="188">
        <v>16</v>
      </c>
      <c r="E114" s="135">
        <v>278</v>
      </c>
      <c r="F114" s="192" t="s">
        <v>132</v>
      </c>
      <c r="G114" s="188">
        <v>1</v>
      </c>
      <c r="H114" s="188">
        <v>1</v>
      </c>
      <c r="I114" s="188">
        <v>1</v>
      </c>
      <c r="J114" s="188">
        <v>1</v>
      </c>
      <c r="K114" s="188">
        <v>1</v>
      </c>
      <c r="L114" s="188">
        <v>1</v>
      </c>
      <c r="M114" s="188">
        <v>1</v>
      </c>
      <c r="N114" s="188">
        <v>1</v>
      </c>
      <c r="O114" s="188">
        <v>1</v>
      </c>
      <c r="P114" s="188">
        <v>1</v>
      </c>
      <c r="Q114" s="188">
        <v>1</v>
      </c>
      <c r="R114" s="188">
        <v>1</v>
      </c>
      <c r="S114" s="188">
        <v>1</v>
      </c>
      <c r="T114" s="188">
        <v>1</v>
      </c>
      <c r="U114" s="188">
        <v>1</v>
      </c>
      <c r="V114" s="188">
        <v>1</v>
      </c>
      <c r="W114" s="188">
        <v>1</v>
      </c>
      <c r="X114" s="188">
        <v>1</v>
      </c>
      <c r="Y114" s="188">
        <v>1</v>
      </c>
      <c r="Z114" s="188">
        <v>1</v>
      </c>
      <c r="AA114" s="188">
        <v>1</v>
      </c>
      <c r="AB114" s="188">
        <v>1</v>
      </c>
      <c r="AC114" s="188">
        <v>1</v>
      </c>
      <c r="AD114" s="188">
        <v>1</v>
      </c>
      <c r="AE114" s="188">
        <v>1</v>
      </c>
      <c r="AF114" s="191">
        <v>8</v>
      </c>
      <c r="AG114" s="183">
        <v>25</v>
      </c>
      <c r="AH114" s="4"/>
    </row>
    <row r="115" spans="1:41" ht="15" customHeight="1" x14ac:dyDescent="0.2">
      <c r="A115" s="141" t="s">
        <v>313</v>
      </c>
      <c r="B115" s="187" t="s">
        <v>1759</v>
      </c>
      <c r="C115" s="141">
        <v>2015</v>
      </c>
      <c r="D115" s="188">
        <v>16</v>
      </c>
      <c r="E115" s="135">
        <v>1576</v>
      </c>
      <c r="F115" s="192" t="s">
        <v>882</v>
      </c>
      <c r="G115" s="188">
        <v>0</v>
      </c>
      <c r="H115" s="188">
        <v>0</v>
      </c>
      <c r="I115" s="188">
        <v>0</v>
      </c>
      <c r="J115" s="188">
        <v>0</v>
      </c>
      <c r="K115" s="188">
        <v>0</v>
      </c>
      <c r="L115" s="188">
        <v>1</v>
      </c>
      <c r="M115" s="188">
        <v>1</v>
      </c>
      <c r="N115" s="188">
        <v>0</v>
      </c>
      <c r="O115" s="188">
        <v>1</v>
      </c>
      <c r="P115" s="188">
        <v>0</v>
      </c>
      <c r="Q115" s="188">
        <v>1</v>
      </c>
      <c r="R115" s="188">
        <v>0</v>
      </c>
      <c r="S115" s="188">
        <v>0</v>
      </c>
      <c r="T115" s="188">
        <v>1</v>
      </c>
      <c r="U115" s="188">
        <v>1</v>
      </c>
      <c r="V115" s="188">
        <v>1</v>
      </c>
      <c r="W115" s="188">
        <v>1</v>
      </c>
      <c r="X115" s="188">
        <v>1</v>
      </c>
      <c r="Y115" s="188">
        <v>1</v>
      </c>
      <c r="Z115" s="188">
        <v>1</v>
      </c>
      <c r="AA115" s="188">
        <v>0</v>
      </c>
      <c r="AB115" s="188">
        <v>1</v>
      </c>
      <c r="AC115" s="188">
        <v>1</v>
      </c>
      <c r="AD115" s="188">
        <v>0</v>
      </c>
      <c r="AE115" s="188">
        <v>0</v>
      </c>
      <c r="AF115" s="191">
        <v>2</v>
      </c>
      <c r="AG115" s="183">
        <v>13</v>
      </c>
      <c r="AL115" s="5" t="s">
        <v>1434</v>
      </c>
      <c r="AO115" s="5" t="s">
        <v>1434</v>
      </c>
    </row>
    <row r="116" spans="1:41" ht="15" customHeight="1" x14ac:dyDescent="0.2">
      <c r="A116" s="141" t="s">
        <v>313</v>
      </c>
      <c r="B116" s="187" t="s">
        <v>1759</v>
      </c>
      <c r="C116" s="141">
        <v>2015</v>
      </c>
      <c r="D116" s="188">
        <v>16</v>
      </c>
      <c r="E116" s="135">
        <v>319</v>
      </c>
      <c r="F116" s="192" t="s">
        <v>111</v>
      </c>
      <c r="G116" s="188">
        <v>0</v>
      </c>
      <c r="H116" s="188">
        <v>0</v>
      </c>
      <c r="I116" s="188">
        <v>0</v>
      </c>
      <c r="J116" s="188">
        <v>0</v>
      </c>
      <c r="K116" s="188">
        <v>0</v>
      </c>
      <c r="L116" s="188">
        <v>0</v>
      </c>
      <c r="M116" s="188">
        <v>0</v>
      </c>
      <c r="N116" s="188">
        <v>0</v>
      </c>
      <c r="O116" s="188">
        <v>0</v>
      </c>
      <c r="P116" s="188">
        <v>0</v>
      </c>
      <c r="Q116" s="188">
        <v>0</v>
      </c>
      <c r="R116" s="188">
        <v>0</v>
      </c>
      <c r="S116" s="188">
        <v>0</v>
      </c>
      <c r="T116" s="188">
        <v>0</v>
      </c>
      <c r="U116" s="188">
        <v>0</v>
      </c>
      <c r="V116" s="188">
        <v>0</v>
      </c>
      <c r="W116" s="188">
        <v>0</v>
      </c>
      <c r="X116" s="188">
        <v>0</v>
      </c>
      <c r="Y116" s="188">
        <v>0</v>
      </c>
      <c r="Z116" s="188">
        <v>0</v>
      </c>
      <c r="AA116" s="188">
        <v>0</v>
      </c>
      <c r="AB116" s="188">
        <v>0</v>
      </c>
      <c r="AC116" s="188">
        <v>0</v>
      </c>
      <c r="AD116" s="188">
        <v>0</v>
      </c>
      <c r="AE116" s="188">
        <v>1</v>
      </c>
      <c r="AF116" s="191">
        <v>0.1</v>
      </c>
      <c r="AG116" s="183">
        <v>1</v>
      </c>
      <c r="AI116" s="5" t="s">
        <v>1655</v>
      </c>
      <c r="AL116" s="5" t="s">
        <v>1668</v>
      </c>
      <c r="AO116" s="5" t="s">
        <v>1668</v>
      </c>
    </row>
    <row r="117" spans="1:41" ht="15" customHeight="1" x14ac:dyDescent="0.2">
      <c r="A117" s="141" t="s">
        <v>313</v>
      </c>
      <c r="B117" s="187" t="s">
        <v>1759</v>
      </c>
      <c r="C117" s="141">
        <v>2015</v>
      </c>
      <c r="D117" s="188">
        <v>16</v>
      </c>
      <c r="E117" s="135">
        <v>6003</v>
      </c>
      <c r="F117" s="189" t="s">
        <v>288</v>
      </c>
      <c r="G117" s="188">
        <v>0</v>
      </c>
      <c r="H117" s="188">
        <v>0</v>
      </c>
      <c r="I117" s="188">
        <v>0</v>
      </c>
      <c r="J117" s="188">
        <v>0</v>
      </c>
      <c r="K117" s="188">
        <v>0</v>
      </c>
      <c r="L117" s="188">
        <v>0</v>
      </c>
      <c r="M117" s="188">
        <v>1</v>
      </c>
      <c r="N117" s="188">
        <v>0</v>
      </c>
      <c r="O117" s="188">
        <v>0</v>
      </c>
      <c r="P117" s="188">
        <v>0</v>
      </c>
      <c r="Q117" s="188">
        <v>0</v>
      </c>
      <c r="R117" s="188">
        <v>1</v>
      </c>
      <c r="S117" s="188">
        <v>0</v>
      </c>
      <c r="T117" s="188">
        <v>0</v>
      </c>
      <c r="U117" s="188">
        <v>0</v>
      </c>
      <c r="V117" s="188">
        <v>0</v>
      </c>
      <c r="W117" s="188">
        <v>0</v>
      </c>
      <c r="X117" s="188">
        <v>0</v>
      </c>
      <c r="Y117" s="188">
        <v>0</v>
      </c>
      <c r="Z117" s="188">
        <v>0</v>
      </c>
      <c r="AA117" s="188">
        <v>0</v>
      </c>
      <c r="AB117" s="188">
        <v>0</v>
      </c>
      <c r="AC117" s="188">
        <v>0</v>
      </c>
      <c r="AD117" s="188">
        <v>0</v>
      </c>
      <c r="AE117" s="188">
        <v>0</v>
      </c>
      <c r="AF117" s="191">
        <v>0.1</v>
      </c>
      <c r="AG117" s="183">
        <v>2</v>
      </c>
      <c r="AH117" s="4"/>
      <c r="AI117" s="5" t="s">
        <v>1655</v>
      </c>
      <c r="AL117" s="5" t="s">
        <v>1668</v>
      </c>
      <c r="AO117" s="5" t="s">
        <v>1668</v>
      </c>
    </row>
    <row r="118" spans="1:41" ht="15" customHeight="1" x14ac:dyDescent="0.2">
      <c r="A118" s="141" t="s">
        <v>313</v>
      </c>
      <c r="B118" s="187" t="s">
        <v>1759</v>
      </c>
      <c r="C118" s="141">
        <v>2015</v>
      </c>
      <c r="D118" s="188">
        <v>16</v>
      </c>
      <c r="E118" s="135">
        <v>2359</v>
      </c>
      <c r="F118" s="192" t="s">
        <v>665</v>
      </c>
      <c r="G118" s="188">
        <v>0</v>
      </c>
      <c r="H118" s="188">
        <v>0</v>
      </c>
      <c r="I118" s="188">
        <v>0</v>
      </c>
      <c r="J118" s="188">
        <v>0</v>
      </c>
      <c r="K118" s="188">
        <v>0</v>
      </c>
      <c r="L118" s="188">
        <v>0</v>
      </c>
      <c r="M118" s="188">
        <v>1</v>
      </c>
      <c r="N118" s="188">
        <v>0</v>
      </c>
      <c r="O118" s="188">
        <v>0</v>
      </c>
      <c r="P118" s="188">
        <v>0</v>
      </c>
      <c r="Q118" s="188">
        <v>0</v>
      </c>
      <c r="R118" s="188">
        <v>0</v>
      </c>
      <c r="S118" s="188">
        <v>0</v>
      </c>
      <c r="T118" s="188">
        <v>0</v>
      </c>
      <c r="U118" s="188">
        <v>0</v>
      </c>
      <c r="V118" s="188">
        <v>0</v>
      </c>
      <c r="W118" s="188">
        <v>0</v>
      </c>
      <c r="X118" s="188">
        <v>0</v>
      </c>
      <c r="Y118" s="188">
        <v>0</v>
      </c>
      <c r="Z118" s="188">
        <v>0</v>
      </c>
      <c r="AA118" s="188">
        <v>0</v>
      </c>
      <c r="AB118" s="188">
        <v>0</v>
      </c>
      <c r="AC118" s="188">
        <v>0</v>
      </c>
      <c r="AD118" s="188">
        <v>0</v>
      </c>
      <c r="AE118" s="188">
        <v>0</v>
      </c>
      <c r="AF118" s="191">
        <v>0.1</v>
      </c>
      <c r="AG118" s="183">
        <v>1</v>
      </c>
      <c r="AI118" s="5" t="s">
        <v>1655</v>
      </c>
      <c r="AL118" s="5" t="s">
        <v>1668</v>
      </c>
      <c r="AO118" s="5" t="s">
        <v>1668</v>
      </c>
    </row>
    <row r="119" spans="1:41" ht="15" customHeight="1" x14ac:dyDescent="0.2">
      <c r="A119" s="141" t="s">
        <v>313</v>
      </c>
      <c r="B119" s="187" t="s">
        <v>1759</v>
      </c>
      <c r="C119" s="141">
        <v>2015</v>
      </c>
      <c r="D119" s="188">
        <v>16</v>
      </c>
      <c r="E119" s="135">
        <v>2362</v>
      </c>
      <c r="F119" s="189" t="s">
        <v>663</v>
      </c>
      <c r="G119" s="188">
        <v>0</v>
      </c>
      <c r="H119" s="188">
        <v>0</v>
      </c>
      <c r="I119" s="188">
        <v>0</v>
      </c>
      <c r="J119" s="188">
        <v>0</v>
      </c>
      <c r="K119" s="188">
        <v>0</v>
      </c>
      <c r="L119" s="188">
        <v>1</v>
      </c>
      <c r="M119" s="188">
        <v>1</v>
      </c>
      <c r="N119" s="188">
        <v>0</v>
      </c>
      <c r="O119" s="188">
        <v>0</v>
      </c>
      <c r="P119" s="188">
        <v>0</v>
      </c>
      <c r="Q119" s="188">
        <v>0</v>
      </c>
      <c r="R119" s="188">
        <v>0</v>
      </c>
      <c r="S119" s="188">
        <v>0</v>
      </c>
      <c r="T119" s="188">
        <v>0</v>
      </c>
      <c r="U119" s="188">
        <v>0</v>
      </c>
      <c r="V119" s="188">
        <v>1</v>
      </c>
      <c r="W119" s="188">
        <v>0</v>
      </c>
      <c r="X119" s="188">
        <v>0</v>
      </c>
      <c r="Y119" s="188">
        <v>0</v>
      </c>
      <c r="Z119" s="188">
        <v>0</v>
      </c>
      <c r="AA119" s="188">
        <v>0</v>
      </c>
      <c r="AB119" s="188">
        <v>0</v>
      </c>
      <c r="AC119" s="188">
        <v>0</v>
      </c>
      <c r="AD119" s="188">
        <v>0</v>
      </c>
      <c r="AE119" s="188">
        <v>0</v>
      </c>
      <c r="AF119" s="191">
        <v>0.1</v>
      </c>
      <c r="AG119" s="183">
        <v>3</v>
      </c>
      <c r="AI119" s="5" t="s">
        <v>1655</v>
      </c>
      <c r="AL119" s="5" t="s">
        <v>1668</v>
      </c>
      <c r="AO119" s="5" t="s">
        <v>1668</v>
      </c>
    </row>
    <row r="120" spans="1:41" ht="15" customHeight="1" x14ac:dyDescent="0.2">
      <c r="A120" s="141" t="s">
        <v>313</v>
      </c>
      <c r="B120" s="187" t="s">
        <v>1759</v>
      </c>
      <c r="C120" s="141">
        <v>2015</v>
      </c>
      <c r="D120" s="188">
        <v>16</v>
      </c>
      <c r="E120" s="135">
        <v>2366</v>
      </c>
      <c r="F120" s="192" t="s">
        <v>660</v>
      </c>
      <c r="G120" s="188">
        <v>0</v>
      </c>
      <c r="H120" s="188">
        <v>0</v>
      </c>
      <c r="I120" s="188">
        <v>0</v>
      </c>
      <c r="J120" s="188">
        <v>0</v>
      </c>
      <c r="K120" s="188">
        <v>0</v>
      </c>
      <c r="L120" s="188">
        <v>1</v>
      </c>
      <c r="M120" s="188">
        <v>0</v>
      </c>
      <c r="N120" s="188">
        <v>0</v>
      </c>
      <c r="O120" s="188">
        <v>0</v>
      </c>
      <c r="P120" s="188">
        <v>0</v>
      </c>
      <c r="Q120" s="188">
        <v>0</v>
      </c>
      <c r="R120" s="188">
        <v>0</v>
      </c>
      <c r="S120" s="188">
        <v>0</v>
      </c>
      <c r="T120" s="188">
        <v>0</v>
      </c>
      <c r="U120" s="188">
        <v>0</v>
      </c>
      <c r="V120" s="188">
        <v>0</v>
      </c>
      <c r="W120" s="188">
        <v>0</v>
      </c>
      <c r="X120" s="188">
        <v>0</v>
      </c>
      <c r="Y120" s="188">
        <v>1</v>
      </c>
      <c r="Z120" s="188">
        <v>0</v>
      </c>
      <c r="AA120" s="188">
        <v>0</v>
      </c>
      <c r="AB120" s="188">
        <v>0</v>
      </c>
      <c r="AC120" s="188">
        <v>0</v>
      </c>
      <c r="AD120" s="188">
        <v>0</v>
      </c>
      <c r="AE120" s="188">
        <v>0</v>
      </c>
      <c r="AF120" s="191">
        <v>0.1</v>
      </c>
      <c r="AG120" s="183">
        <v>2</v>
      </c>
      <c r="AI120" s="5" t="s">
        <v>1655</v>
      </c>
      <c r="AL120" s="5" t="s">
        <v>1668</v>
      </c>
      <c r="AO120" s="5" t="s">
        <v>1668</v>
      </c>
    </row>
    <row r="121" spans="1:41" ht="15" customHeight="1" x14ac:dyDescent="0.2">
      <c r="A121" s="141" t="s">
        <v>313</v>
      </c>
      <c r="B121" s="187" t="s">
        <v>1759</v>
      </c>
      <c r="C121" s="141">
        <v>2015</v>
      </c>
      <c r="D121" s="188">
        <v>16</v>
      </c>
      <c r="E121" s="135" t="e">
        <v>#N/A</v>
      </c>
      <c r="F121" s="192" t="s">
        <v>1775</v>
      </c>
      <c r="G121" s="188">
        <v>0</v>
      </c>
      <c r="H121" s="188">
        <v>0</v>
      </c>
      <c r="I121" s="188">
        <v>0</v>
      </c>
      <c r="J121" s="188">
        <v>1</v>
      </c>
      <c r="K121" s="188">
        <v>1</v>
      </c>
      <c r="L121" s="188">
        <v>0</v>
      </c>
      <c r="M121" s="188">
        <v>1</v>
      </c>
      <c r="N121" s="188">
        <v>1</v>
      </c>
      <c r="O121" s="188">
        <v>0</v>
      </c>
      <c r="P121" s="188">
        <v>0</v>
      </c>
      <c r="Q121" s="188">
        <v>0</v>
      </c>
      <c r="R121" s="188">
        <v>0</v>
      </c>
      <c r="S121" s="188">
        <v>0</v>
      </c>
      <c r="T121" s="188">
        <v>0</v>
      </c>
      <c r="U121" s="188">
        <v>0</v>
      </c>
      <c r="V121" s="188">
        <v>0</v>
      </c>
      <c r="W121" s="188">
        <v>0</v>
      </c>
      <c r="X121" s="188">
        <v>0</v>
      </c>
      <c r="Y121" s="188">
        <v>0</v>
      </c>
      <c r="Z121" s="188">
        <v>1</v>
      </c>
      <c r="AA121" s="188">
        <v>0</v>
      </c>
      <c r="AB121" s="188">
        <v>0</v>
      </c>
      <c r="AC121" s="188">
        <v>0</v>
      </c>
      <c r="AD121" s="188">
        <v>0</v>
      </c>
      <c r="AE121" s="188">
        <v>1</v>
      </c>
      <c r="AF121" s="191">
        <v>1</v>
      </c>
      <c r="AG121" s="183">
        <v>6</v>
      </c>
      <c r="AL121" s="5" t="s">
        <v>1434</v>
      </c>
      <c r="AO121" s="5" t="s">
        <v>1434</v>
      </c>
    </row>
    <row r="122" spans="1:41" ht="15" customHeight="1" x14ac:dyDescent="0.2">
      <c r="A122" s="141" t="s">
        <v>313</v>
      </c>
      <c r="B122" s="187" t="s">
        <v>1759</v>
      </c>
      <c r="C122" s="141">
        <v>2015</v>
      </c>
      <c r="D122" s="188">
        <v>16</v>
      </c>
      <c r="E122" s="135">
        <v>494</v>
      </c>
      <c r="F122" s="192" t="s">
        <v>22</v>
      </c>
      <c r="G122" s="188">
        <v>0</v>
      </c>
      <c r="H122" s="188">
        <v>1</v>
      </c>
      <c r="I122" s="188">
        <v>0</v>
      </c>
      <c r="J122" s="188">
        <v>1</v>
      </c>
      <c r="K122" s="188">
        <v>1</v>
      </c>
      <c r="L122" s="188">
        <v>1</v>
      </c>
      <c r="M122" s="188">
        <v>1</v>
      </c>
      <c r="N122" s="188">
        <v>1</v>
      </c>
      <c r="O122" s="188">
        <v>1</v>
      </c>
      <c r="P122" s="188">
        <v>1</v>
      </c>
      <c r="Q122" s="188">
        <v>1</v>
      </c>
      <c r="R122" s="188">
        <v>0</v>
      </c>
      <c r="S122" s="188">
        <v>0</v>
      </c>
      <c r="T122" s="188">
        <v>1</v>
      </c>
      <c r="U122" s="188">
        <v>1</v>
      </c>
      <c r="V122" s="188">
        <v>1</v>
      </c>
      <c r="W122" s="188">
        <v>1</v>
      </c>
      <c r="X122" s="188">
        <v>1</v>
      </c>
      <c r="Y122" s="188">
        <v>1</v>
      </c>
      <c r="Z122" s="188">
        <v>1</v>
      </c>
      <c r="AA122" s="188">
        <v>1</v>
      </c>
      <c r="AB122" s="188">
        <v>1</v>
      </c>
      <c r="AC122" s="188">
        <v>1</v>
      </c>
      <c r="AD122" s="188">
        <v>0</v>
      </c>
      <c r="AE122" s="188">
        <v>1</v>
      </c>
      <c r="AF122" s="191">
        <v>2</v>
      </c>
      <c r="AG122" s="183">
        <v>20</v>
      </c>
    </row>
    <row r="123" spans="1:41" ht="15" customHeight="1" x14ac:dyDescent="0.2">
      <c r="A123" s="141" t="s">
        <v>313</v>
      </c>
      <c r="B123" s="187" t="s">
        <v>1759</v>
      </c>
      <c r="C123" s="141">
        <v>2015</v>
      </c>
      <c r="D123" s="188">
        <v>16</v>
      </c>
      <c r="E123" s="135">
        <v>542</v>
      </c>
      <c r="F123" s="192" t="s">
        <v>1312</v>
      </c>
      <c r="G123" s="188">
        <v>1</v>
      </c>
      <c r="H123" s="188">
        <v>1</v>
      </c>
      <c r="I123" s="188">
        <v>1</v>
      </c>
      <c r="J123" s="188">
        <v>1</v>
      </c>
      <c r="K123" s="188">
        <v>1</v>
      </c>
      <c r="L123" s="188">
        <v>1</v>
      </c>
      <c r="M123" s="188">
        <v>1</v>
      </c>
      <c r="N123" s="188">
        <v>1</v>
      </c>
      <c r="O123" s="188">
        <v>1</v>
      </c>
      <c r="P123" s="188">
        <v>1</v>
      </c>
      <c r="Q123" s="188">
        <v>1</v>
      </c>
      <c r="R123" s="188">
        <v>1</v>
      </c>
      <c r="S123" s="188">
        <v>1</v>
      </c>
      <c r="T123" s="188">
        <v>1</v>
      </c>
      <c r="U123" s="188">
        <v>1</v>
      </c>
      <c r="V123" s="188">
        <v>1</v>
      </c>
      <c r="W123" s="188">
        <v>1</v>
      </c>
      <c r="X123" s="188">
        <v>1</v>
      </c>
      <c r="Y123" s="188">
        <v>1</v>
      </c>
      <c r="Z123" s="188">
        <v>1</v>
      </c>
      <c r="AA123" s="188">
        <v>1</v>
      </c>
      <c r="AB123" s="188">
        <v>1</v>
      </c>
      <c r="AC123" s="188">
        <v>1</v>
      </c>
      <c r="AD123" s="188">
        <v>1</v>
      </c>
      <c r="AE123" s="188">
        <v>1</v>
      </c>
      <c r="AF123" s="191">
        <v>20</v>
      </c>
      <c r="AG123" s="183">
        <v>25</v>
      </c>
    </row>
    <row r="124" spans="1:41" ht="15" customHeight="1" x14ac:dyDescent="0.2">
      <c r="A124" s="141" t="s">
        <v>313</v>
      </c>
      <c r="B124" s="187" t="s">
        <v>1759</v>
      </c>
      <c r="C124" s="141">
        <v>2015</v>
      </c>
      <c r="D124" s="188">
        <v>16</v>
      </c>
      <c r="E124" s="135">
        <v>546</v>
      </c>
      <c r="F124" s="192" t="s">
        <v>1310</v>
      </c>
      <c r="G124" s="188">
        <v>1</v>
      </c>
      <c r="H124" s="188">
        <v>1</v>
      </c>
      <c r="I124" s="188">
        <v>1</v>
      </c>
      <c r="J124" s="188">
        <v>1</v>
      </c>
      <c r="K124" s="188">
        <v>1</v>
      </c>
      <c r="L124" s="188">
        <v>1</v>
      </c>
      <c r="M124" s="188">
        <v>1</v>
      </c>
      <c r="N124" s="188">
        <v>1</v>
      </c>
      <c r="O124" s="188">
        <v>1</v>
      </c>
      <c r="P124" s="188">
        <v>1</v>
      </c>
      <c r="Q124" s="188">
        <v>1</v>
      </c>
      <c r="R124" s="188">
        <v>1</v>
      </c>
      <c r="S124" s="188">
        <v>1</v>
      </c>
      <c r="T124" s="188">
        <v>1</v>
      </c>
      <c r="U124" s="188">
        <v>1</v>
      </c>
      <c r="V124" s="188">
        <v>1</v>
      </c>
      <c r="W124" s="188">
        <v>1</v>
      </c>
      <c r="X124" s="188">
        <v>1</v>
      </c>
      <c r="Y124" s="188">
        <v>1</v>
      </c>
      <c r="Z124" s="188">
        <v>1</v>
      </c>
      <c r="AA124" s="188">
        <v>1</v>
      </c>
      <c r="AB124" s="188">
        <v>1</v>
      </c>
      <c r="AC124" s="188">
        <v>1</v>
      </c>
      <c r="AD124" s="188">
        <v>1</v>
      </c>
      <c r="AE124" s="188">
        <v>1</v>
      </c>
      <c r="AF124" s="191">
        <v>12</v>
      </c>
      <c r="AG124" s="183">
        <v>25</v>
      </c>
    </row>
    <row r="125" spans="1:41" ht="15" customHeight="1" x14ac:dyDescent="0.2">
      <c r="A125" s="141" t="s">
        <v>313</v>
      </c>
      <c r="B125" s="187" t="s">
        <v>1759</v>
      </c>
      <c r="C125" s="141">
        <v>2015</v>
      </c>
      <c r="D125" s="188">
        <v>16</v>
      </c>
      <c r="E125" s="135">
        <v>726</v>
      </c>
      <c r="F125" s="192" t="s">
        <v>1227</v>
      </c>
      <c r="G125" s="188">
        <v>1</v>
      </c>
      <c r="H125" s="188">
        <v>0</v>
      </c>
      <c r="I125" s="188">
        <v>0</v>
      </c>
      <c r="J125" s="188">
        <v>1</v>
      </c>
      <c r="K125" s="188">
        <v>0</v>
      </c>
      <c r="L125" s="188">
        <v>0</v>
      </c>
      <c r="M125" s="188">
        <v>1</v>
      </c>
      <c r="N125" s="188">
        <v>0</v>
      </c>
      <c r="O125" s="188">
        <v>0</v>
      </c>
      <c r="P125" s="188">
        <v>0</v>
      </c>
      <c r="Q125" s="188">
        <v>0</v>
      </c>
      <c r="R125" s="188">
        <v>0</v>
      </c>
      <c r="S125" s="188">
        <v>0</v>
      </c>
      <c r="T125" s="188">
        <v>0</v>
      </c>
      <c r="U125" s="188">
        <v>0</v>
      </c>
      <c r="V125" s="188">
        <v>0</v>
      </c>
      <c r="W125" s="188">
        <v>0</v>
      </c>
      <c r="X125" s="188">
        <v>0</v>
      </c>
      <c r="Y125" s="188">
        <v>1</v>
      </c>
      <c r="Z125" s="188">
        <v>0</v>
      </c>
      <c r="AA125" s="188">
        <v>0</v>
      </c>
      <c r="AB125" s="188">
        <v>1</v>
      </c>
      <c r="AC125" s="188">
        <v>0</v>
      </c>
      <c r="AD125" s="188">
        <v>1</v>
      </c>
      <c r="AE125" s="188">
        <v>0</v>
      </c>
      <c r="AF125" s="191">
        <v>4</v>
      </c>
      <c r="AG125" s="183">
        <v>6</v>
      </c>
    </row>
    <row r="126" spans="1:41" ht="15" customHeight="1" x14ac:dyDescent="0.2">
      <c r="A126" s="141" t="s">
        <v>313</v>
      </c>
      <c r="B126" s="187" t="s">
        <v>1759</v>
      </c>
      <c r="C126" s="141">
        <v>2015</v>
      </c>
      <c r="D126" s="188">
        <v>16</v>
      </c>
      <c r="E126" s="135">
        <v>730</v>
      </c>
      <c r="F126" s="192" t="s">
        <v>1225</v>
      </c>
      <c r="G126" s="188">
        <v>0</v>
      </c>
      <c r="H126" s="188">
        <v>0</v>
      </c>
      <c r="I126" s="188">
        <v>0</v>
      </c>
      <c r="J126" s="188">
        <v>0</v>
      </c>
      <c r="K126" s="188">
        <v>0</v>
      </c>
      <c r="L126" s="188">
        <v>0</v>
      </c>
      <c r="M126" s="188">
        <v>0</v>
      </c>
      <c r="N126" s="188">
        <v>0</v>
      </c>
      <c r="O126" s="188">
        <v>0</v>
      </c>
      <c r="P126" s="188">
        <v>0</v>
      </c>
      <c r="Q126" s="188">
        <v>0</v>
      </c>
      <c r="R126" s="188">
        <v>0</v>
      </c>
      <c r="S126" s="188">
        <v>0</v>
      </c>
      <c r="T126" s="188">
        <v>0</v>
      </c>
      <c r="U126" s="188">
        <v>0</v>
      </c>
      <c r="V126" s="188">
        <v>0</v>
      </c>
      <c r="W126" s="188">
        <v>0</v>
      </c>
      <c r="X126" s="188">
        <v>0</v>
      </c>
      <c r="Y126" s="188">
        <v>0</v>
      </c>
      <c r="Z126" s="188">
        <v>0</v>
      </c>
      <c r="AA126" s="188">
        <v>0</v>
      </c>
      <c r="AB126" s="188">
        <v>0</v>
      </c>
      <c r="AC126" s="188">
        <v>0</v>
      </c>
      <c r="AD126" s="188">
        <v>1</v>
      </c>
      <c r="AE126" s="188">
        <v>0</v>
      </c>
      <c r="AF126" s="191">
        <v>0.1</v>
      </c>
      <c r="AG126" s="183">
        <v>1</v>
      </c>
      <c r="AI126" s="5" t="s">
        <v>1655</v>
      </c>
      <c r="AL126" s="5" t="s">
        <v>1668</v>
      </c>
      <c r="AO126" s="5" t="s">
        <v>1668</v>
      </c>
    </row>
    <row r="127" spans="1:41" ht="15" customHeight="1" x14ac:dyDescent="0.2">
      <c r="A127" s="141" t="s">
        <v>313</v>
      </c>
      <c r="B127" s="187" t="s">
        <v>1759</v>
      </c>
      <c r="C127" s="141">
        <v>2015</v>
      </c>
      <c r="D127" s="188">
        <v>16</v>
      </c>
      <c r="E127" s="135">
        <v>876</v>
      </c>
      <c r="F127" s="192" t="s">
        <v>1163</v>
      </c>
      <c r="G127" s="188">
        <v>1</v>
      </c>
      <c r="H127" s="188">
        <v>1</v>
      </c>
      <c r="I127" s="188">
        <v>1</v>
      </c>
      <c r="J127" s="188">
        <v>1</v>
      </c>
      <c r="K127" s="188">
        <v>1</v>
      </c>
      <c r="L127" s="188">
        <v>1</v>
      </c>
      <c r="M127" s="188">
        <v>1</v>
      </c>
      <c r="N127" s="188">
        <v>1</v>
      </c>
      <c r="O127" s="188">
        <v>1</v>
      </c>
      <c r="P127" s="188">
        <v>1</v>
      </c>
      <c r="Q127" s="188">
        <v>1</v>
      </c>
      <c r="R127" s="188">
        <v>1</v>
      </c>
      <c r="S127" s="188">
        <v>1</v>
      </c>
      <c r="T127" s="188">
        <v>1</v>
      </c>
      <c r="U127" s="188">
        <v>1</v>
      </c>
      <c r="V127" s="188">
        <v>1</v>
      </c>
      <c r="W127" s="188">
        <v>1</v>
      </c>
      <c r="X127" s="188">
        <v>1</v>
      </c>
      <c r="Y127" s="188">
        <v>1</v>
      </c>
      <c r="Z127" s="188">
        <v>1</v>
      </c>
      <c r="AA127" s="188">
        <v>1</v>
      </c>
      <c r="AB127" s="188">
        <v>1</v>
      </c>
      <c r="AC127" s="188">
        <v>1</v>
      </c>
      <c r="AD127" s="188">
        <v>1</v>
      </c>
      <c r="AE127" s="188">
        <v>1</v>
      </c>
      <c r="AF127" s="191">
        <v>50</v>
      </c>
      <c r="AG127" s="183">
        <v>25</v>
      </c>
    </row>
    <row r="128" spans="1:41" ht="15" customHeight="1" x14ac:dyDescent="0.2">
      <c r="A128" s="141" t="s">
        <v>313</v>
      </c>
      <c r="B128" s="187" t="s">
        <v>1759</v>
      </c>
      <c r="C128" s="141">
        <v>2015</v>
      </c>
      <c r="D128" s="188">
        <v>16</v>
      </c>
      <c r="E128" s="135">
        <v>2620</v>
      </c>
      <c r="F128" s="192" t="s">
        <v>605</v>
      </c>
      <c r="G128" s="188">
        <v>0</v>
      </c>
      <c r="H128" s="188">
        <v>0</v>
      </c>
      <c r="I128" s="188">
        <v>0</v>
      </c>
      <c r="J128" s="188">
        <v>0</v>
      </c>
      <c r="K128" s="188">
        <v>0</v>
      </c>
      <c r="L128" s="188">
        <v>0</v>
      </c>
      <c r="M128" s="188">
        <v>0</v>
      </c>
      <c r="N128" s="188">
        <v>0</v>
      </c>
      <c r="O128" s="188">
        <v>0</v>
      </c>
      <c r="P128" s="188">
        <v>0</v>
      </c>
      <c r="Q128" s="188">
        <v>0</v>
      </c>
      <c r="R128" s="188">
        <v>1</v>
      </c>
      <c r="S128" s="188">
        <v>0</v>
      </c>
      <c r="T128" s="188">
        <v>0</v>
      </c>
      <c r="U128" s="188">
        <v>1</v>
      </c>
      <c r="V128" s="188">
        <v>0</v>
      </c>
      <c r="W128" s="188">
        <v>0</v>
      </c>
      <c r="X128" s="188">
        <v>0</v>
      </c>
      <c r="Y128" s="188">
        <v>0</v>
      </c>
      <c r="Z128" s="188">
        <v>0</v>
      </c>
      <c r="AA128" s="188">
        <v>1</v>
      </c>
      <c r="AB128" s="188">
        <v>0</v>
      </c>
      <c r="AC128" s="188">
        <v>1</v>
      </c>
      <c r="AD128" s="188">
        <v>0</v>
      </c>
      <c r="AE128" s="188">
        <v>0</v>
      </c>
      <c r="AF128" s="191">
        <v>0.1</v>
      </c>
      <c r="AG128" s="183">
        <v>4</v>
      </c>
      <c r="AI128" s="5" t="s">
        <v>1655</v>
      </c>
      <c r="AL128" s="5" t="s">
        <v>1668</v>
      </c>
      <c r="AO128" s="5" t="s">
        <v>1668</v>
      </c>
    </row>
    <row r="129" spans="1:41" ht="15" customHeight="1" x14ac:dyDescent="0.2">
      <c r="A129" s="141" t="s">
        <v>313</v>
      </c>
      <c r="B129" s="187" t="s">
        <v>1759</v>
      </c>
      <c r="C129" s="141">
        <v>2015</v>
      </c>
      <c r="D129" s="188">
        <v>16</v>
      </c>
      <c r="E129" s="135">
        <v>1891</v>
      </c>
      <c r="F129" s="192" t="s">
        <v>797</v>
      </c>
      <c r="G129" s="188">
        <v>0</v>
      </c>
      <c r="H129" s="188">
        <v>0</v>
      </c>
      <c r="I129" s="188">
        <v>0</v>
      </c>
      <c r="J129" s="188">
        <v>0</v>
      </c>
      <c r="K129" s="188">
        <v>1</v>
      </c>
      <c r="L129" s="188">
        <v>0</v>
      </c>
      <c r="M129" s="188">
        <v>0</v>
      </c>
      <c r="N129" s="188">
        <v>0</v>
      </c>
      <c r="O129" s="188">
        <v>0</v>
      </c>
      <c r="P129" s="188">
        <v>0</v>
      </c>
      <c r="Q129" s="188">
        <v>0</v>
      </c>
      <c r="R129" s="188">
        <v>0</v>
      </c>
      <c r="S129" s="188">
        <v>0</v>
      </c>
      <c r="T129" s="188">
        <v>0</v>
      </c>
      <c r="U129" s="188">
        <v>0</v>
      </c>
      <c r="V129" s="188">
        <v>0</v>
      </c>
      <c r="W129" s="188">
        <v>0</v>
      </c>
      <c r="X129" s="188">
        <v>0</v>
      </c>
      <c r="Y129" s="188">
        <v>0</v>
      </c>
      <c r="Z129" s="188">
        <v>0</v>
      </c>
      <c r="AA129" s="188">
        <v>0</v>
      </c>
      <c r="AB129" s="188">
        <v>0</v>
      </c>
      <c r="AC129" s="188">
        <v>1</v>
      </c>
      <c r="AD129" s="188">
        <v>0</v>
      </c>
      <c r="AE129" s="188">
        <v>0</v>
      </c>
      <c r="AF129" s="191">
        <v>1</v>
      </c>
      <c r="AG129" s="183">
        <v>2</v>
      </c>
    </row>
    <row r="130" spans="1:41" ht="15" customHeight="1" x14ac:dyDescent="0.2">
      <c r="A130" s="141" t="s">
        <v>313</v>
      </c>
      <c r="B130" s="187" t="s">
        <v>1759</v>
      </c>
      <c r="C130" s="141">
        <v>2015</v>
      </c>
      <c r="D130" s="188">
        <v>16</v>
      </c>
      <c r="E130" s="135">
        <v>1963</v>
      </c>
      <c r="F130" s="189" t="s">
        <v>773</v>
      </c>
      <c r="G130" s="188">
        <v>0</v>
      </c>
      <c r="H130" s="188">
        <v>0</v>
      </c>
      <c r="I130" s="188">
        <v>1</v>
      </c>
      <c r="J130" s="188">
        <v>1</v>
      </c>
      <c r="K130" s="188">
        <v>0</v>
      </c>
      <c r="L130" s="188">
        <v>0</v>
      </c>
      <c r="M130" s="188">
        <v>0</v>
      </c>
      <c r="N130" s="188">
        <v>0</v>
      </c>
      <c r="O130" s="188">
        <v>0</v>
      </c>
      <c r="P130" s="188">
        <v>0</v>
      </c>
      <c r="Q130" s="188">
        <v>0</v>
      </c>
      <c r="R130" s="188">
        <v>0</v>
      </c>
      <c r="S130" s="188">
        <v>0</v>
      </c>
      <c r="T130" s="188">
        <v>0</v>
      </c>
      <c r="U130" s="188">
        <v>0</v>
      </c>
      <c r="V130" s="188">
        <v>0</v>
      </c>
      <c r="W130" s="188">
        <v>0</v>
      </c>
      <c r="X130" s="188">
        <v>0</v>
      </c>
      <c r="Y130" s="188">
        <v>0</v>
      </c>
      <c r="Z130" s="188">
        <v>0</v>
      </c>
      <c r="AA130" s="188">
        <v>0</v>
      </c>
      <c r="AB130" s="188">
        <v>0</v>
      </c>
      <c r="AC130" s="188">
        <v>0</v>
      </c>
      <c r="AD130" s="188">
        <v>0</v>
      </c>
      <c r="AE130" s="188">
        <v>0</v>
      </c>
      <c r="AF130" s="191">
        <v>0.1</v>
      </c>
      <c r="AG130" s="183">
        <v>2</v>
      </c>
      <c r="AH130" s="4"/>
      <c r="AI130" s="5" t="s">
        <v>1655</v>
      </c>
      <c r="AL130" s="5" t="s">
        <v>1668</v>
      </c>
      <c r="AO130" s="5" t="s">
        <v>1668</v>
      </c>
    </row>
    <row r="131" spans="1:41" ht="15" customHeight="1" x14ac:dyDescent="0.2">
      <c r="A131" s="141" t="s">
        <v>313</v>
      </c>
      <c r="B131" s="187" t="s">
        <v>1759</v>
      </c>
      <c r="C131" s="141">
        <v>2015</v>
      </c>
      <c r="D131" s="188">
        <v>16</v>
      </c>
      <c r="E131" s="135">
        <v>1971</v>
      </c>
      <c r="F131" s="192" t="s">
        <v>769</v>
      </c>
      <c r="G131" s="188">
        <v>1</v>
      </c>
      <c r="H131" s="188">
        <v>1</v>
      </c>
      <c r="I131" s="188">
        <v>0</v>
      </c>
      <c r="J131" s="188">
        <v>1</v>
      </c>
      <c r="K131" s="188">
        <v>1</v>
      </c>
      <c r="L131" s="188">
        <v>1</v>
      </c>
      <c r="M131" s="188">
        <v>0</v>
      </c>
      <c r="N131" s="188">
        <v>1</v>
      </c>
      <c r="O131" s="188">
        <v>1</v>
      </c>
      <c r="P131" s="188">
        <v>1</v>
      </c>
      <c r="Q131" s="188">
        <v>1</v>
      </c>
      <c r="R131" s="188">
        <v>1</v>
      </c>
      <c r="S131" s="188">
        <v>1</v>
      </c>
      <c r="T131" s="188">
        <v>1</v>
      </c>
      <c r="U131" s="188">
        <v>1</v>
      </c>
      <c r="V131" s="188">
        <v>1</v>
      </c>
      <c r="W131" s="188">
        <v>1</v>
      </c>
      <c r="X131" s="188">
        <v>1</v>
      </c>
      <c r="Y131" s="188">
        <v>1</v>
      </c>
      <c r="Z131" s="188">
        <v>1</v>
      </c>
      <c r="AA131" s="188">
        <v>1</v>
      </c>
      <c r="AB131" s="188">
        <v>1</v>
      </c>
      <c r="AC131" s="188">
        <v>1</v>
      </c>
      <c r="AD131" s="188">
        <v>1</v>
      </c>
      <c r="AE131" s="188">
        <v>1</v>
      </c>
      <c r="AF131" s="191">
        <v>6</v>
      </c>
      <c r="AG131" s="183">
        <v>23</v>
      </c>
    </row>
    <row r="132" spans="1:41" ht="15" customHeight="1" x14ac:dyDescent="0.2">
      <c r="A132" s="141" t="s">
        <v>313</v>
      </c>
      <c r="B132" s="187" t="s">
        <v>1759</v>
      </c>
      <c r="C132" s="141">
        <v>2015</v>
      </c>
      <c r="D132" s="188">
        <v>16</v>
      </c>
      <c r="E132" s="135" t="e">
        <v>#N/A</v>
      </c>
      <c r="F132" s="192" t="s">
        <v>1768</v>
      </c>
      <c r="G132" s="188">
        <v>0</v>
      </c>
      <c r="H132" s="188">
        <v>0</v>
      </c>
      <c r="I132" s="188">
        <v>0</v>
      </c>
      <c r="J132" s="188">
        <v>0</v>
      </c>
      <c r="K132" s="188">
        <v>0</v>
      </c>
      <c r="L132" s="188">
        <v>0</v>
      </c>
      <c r="M132" s="188">
        <v>0</v>
      </c>
      <c r="N132" s="188">
        <v>0</v>
      </c>
      <c r="O132" s="188">
        <v>0</v>
      </c>
      <c r="P132" s="188">
        <v>0</v>
      </c>
      <c r="Q132" s="188">
        <v>0</v>
      </c>
      <c r="R132" s="188">
        <v>0</v>
      </c>
      <c r="S132" s="188">
        <v>0</v>
      </c>
      <c r="T132" s="188">
        <v>0</v>
      </c>
      <c r="U132" s="188">
        <v>0</v>
      </c>
      <c r="V132" s="188">
        <v>0</v>
      </c>
      <c r="W132" s="188">
        <v>0</v>
      </c>
      <c r="X132" s="188">
        <v>0</v>
      </c>
      <c r="Y132" s="188">
        <v>0</v>
      </c>
      <c r="Z132" s="188">
        <v>0</v>
      </c>
      <c r="AA132" s="188">
        <v>0</v>
      </c>
      <c r="AB132" s="188">
        <v>0</v>
      </c>
      <c r="AC132" s="188">
        <v>1</v>
      </c>
      <c r="AD132" s="188">
        <v>0</v>
      </c>
      <c r="AE132" s="188">
        <v>0</v>
      </c>
      <c r="AF132" s="191">
        <v>3</v>
      </c>
      <c r="AG132" s="183">
        <v>1</v>
      </c>
      <c r="AH132" s="5" t="s">
        <v>1972</v>
      </c>
      <c r="AL132" s="5" t="s">
        <v>1677</v>
      </c>
      <c r="AO132" s="5" t="s">
        <v>1677</v>
      </c>
    </row>
    <row r="133" spans="1:41" ht="15" customHeight="1" x14ac:dyDescent="0.2">
      <c r="A133" s="141" t="s">
        <v>313</v>
      </c>
      <c r="B133" s="187" t="s">
        <v>1759</v>
      </c>
      <c r="C133" s="141">
        <v>2015</v>
      </c>
      <c r="D133" s="188">
        <v>18</v>
      </c>
      <c r="E133" s="135">
        <v>2607</v>
      </c>
      <c r="F133" s="192" t="s">
        <v>616</v>
      </c>
      <c r="G133" s="188">
        <v>0</v>
      </c>
      <c r="H133" s="188">
        <v>1</v>
      </c>
      <c r="I133" s="188">
        <v>0</v>
      </c>
      <c r="J133" s="188">
        <v>1</v>
      </c>
      <c r="K133" s="188">
        <v>0</v>
      </c>
      <c r="L133" s="188">
        <v>0</v>
      </c>
      <c r="M133" s="188">
        <v>0</v>
      </c>
      <c r="N133" s="188">
        <v>0</v>
      </c>
      <c r="O133" s="188">
        <v>1</v>
      </c>
      <c r="P133" s="188">
        <v>0</v>
      </c>
      <c r="Q133" s="188">
        <v>1</v>
      </c>
      <c r="R133" s="188">
        <v>0</v>
      </c>
      <c r="S133" s="188">
        <v>0</v>
      </c>
      <c r="T133" s="188">
        <v>0</v>
      </c>
      <c r="U133" s="188">
        <v>1</v>
      </c>
      <c r="V133" s="188">
        <v>0</v>
      </c>
      <c r="W133" s="188">
        <v>0</v>
      </c>
      <c r="X133" s="188">
        <v>0</v>
      </c>
      <c r="Y133" s="188">
        <v>0</v>
      </c>
      <c r="Z133" s="188">
        <v>0</v>
      </c>
      <c r="AA133" s="188">
        <v>1</v>
      </c>
      <c r="AB133" s="188">
        <v>0</v>
      </c>
      <c r="AC133" s="188">
        <v>0</v>
      </c>
      <c r="AD133" s="188">
        <v>0</v>
      </c>
      <c r="AE133" s="188">
        <v>0</v>
      </c>
      <c r="AF133" s="191">
        <v>1</v>
      </c>
      <c r="AG133" s="183">
        <v>6</v>
      </c>
    </row>
    <row r="134" spans="1:41" ht="15" customHeight="1" x14ac:dyDescent="0.2">
      <c r="A134" s="141" t="s">
        <v>313</v>
      </c>
      <c r="B134" s="187" t="s">
        <v>1759</v>
      </c>
      <c r="C134" s="141">
        <v>2015</v>
      </c>
      <c r="D134" s="188">
        <v>18</v>
      </c>
      <c r="E134" s="135">
        <v>278</v>
      </c>
      <c r="F134" s="192" t="s">
        <v>132</v>
      </c>
      <c r="G134" s="188">
        <v>1</v>
      </c>
      <c r="H134" s="188">
        <v>1</v>
      </c>
      <c r="I134" s="188">
        <v>1</v>
      </c>
      <c r="J134" s="188">
        <v>1</v>
      </c>
      <c r="K134" s="188">
        <v>1</v>
      </c>
      <c r="L134" s="188">
        <v>1</v>
      </c>
      <c r="M134" s="188">
        <v>1</v>
      </c>
      <c r="N134" s="188">
        <v>1</v>
      </c>
      <c r="O134" s="188">
        <v>1</v>
      </c>
      <c r="P134" s="188">
        <v>1</v>
      </c>
      <c r="Q134" s="188">
        <v>1</v>
      </c>
      <c r="R134" s="188">
        <v>1</v>
      </c>
      <c r="S134" s="188">
        <v>1</v>
      </c>
      <c r="T134" s="188">
        <v>1</v>
      </c>
      <c r="U134" s="188">
        <v>1</v>
      </c>
      <c r="V134" s="188">
        <v>1</v>
      </c>
      <c r="W134" s="188">
        <v>1</v>
      </c>
      <c r="X134" s="188">
        <v>1</v>
      </c>
      <c r="Y134" s="188">
        <v>0</v>
      </c>
      <c r="Z134" s="188">
        <v>1</v>
      </c>
      <c r="AA134" s="188">
        <v>1</v>
      </c>
      <c r="AB134" s="188">
        <v>1</v>
      </c>
      <c r="AC134" s="188">
        <v>1</v>
      </c>
      <c r="AD134" s="188">
        <v>0</v>
      </c>
      <c r="AE134" s="188">
        <v>1</v>
      </c>
      <c r="AF134" s="191">
        <v>55</v>
      </c>
      <c r="AG134" s="183">
        <v>23</v>
      </c>
    </row>
    <row r="135" spans="1:41" ht="15" customHeight="1" x14ac:dyDescent="0.2">
      <c r="A135" s="141" t="s">
        <v>313</v>
      </c>
      <c r="B135" s="187" t="s">
        <v>1759</v>
      </c>
      <c r="C135" s="141">
        <v>2015</v>
      </c>
      <c r="D135" s="188">
        <v>18</v>
      </c>
      <c r="E135" s="135">
        <v>6003</v>
      </c>
      <c r="F135" s="192" t="s">
        <v>288</v>
      </c>
      <c r="G135" s="188">
        <v>1</v>
      </c>
      <c r="H135" s="188">
        <v>0</v>
      </c>
      <c r="I135" s="188">
        <v>0</v>
      </c>
      <c r="J135" s="188">
        <v>0</v>
      </c>
      <c r="K135" s="188">
        <v>0</v>
      </c>
      <c r="L135" s="188">
        <v>1</v>
      </c>
      <c r="M135" s="188">
        <v>0</v>
      </c>
      <c r="N135" s="188">
        <v>0</v>
      </c>
      <c r="O135" s="188">
        <v>0</v>
      </c>
      <c r="P135" s="188">
        <v>0</v>
      </c>
      <c r="Q135" s="188">
        <v>0</v>
      </c>
      <c r="R135" s="188">
        <v>0</v>
      </c>
      <c r="S135" s="188">
        <v>0</v>
      </c>
      <c r="T135" s="188">
        <v>0</v>
      </c>
      <c r="U135" s="188">
        <v>0</v>
      </c>
      <c r="V135" s="188">
        <v>1</v>
      </c>
      <c r="W135" s="188">
        <v>1</v>
      </c>
      <c r="X135" s="188">
        <v>0</v>
      </c>
      <c r="Y135" s="188">
        <v>1</v>
      </c>
      <c r="Z135" s="188">
        <v>0</v>
      </c>
      <c r="AA135" s="188">
        <v>0</v>
      </c>
      <c r="AB135" s="188">
        <v>0</v>
      </c>
      <c r="AC135" s="188">
        <v>0</v>
      </c>
      <c r="AD135" s="188">
        <v>0</v>
      </c>
      <c r="AE135" s="188">
        <v>0</v>
      </c>
      <c r="AF135" s="191">
        <v>0.1</v>
      </c>
      <c r="AG135" s="183">
        <v>5</v>
      </c>
      <c r="AI135" s="5" t="s">
        <v>1655</v>
      </c>
      <c r="AL135" s="5" t="s">
        <v>1668</v>
      </c>
      <c r="AO135" s="5" t="s">
        <v>1668</v>
      </c>
    </row>
    <row r="136" spans="1:41" ht="15" customHeight="1" x14ac:dyDescent="0.2">
      <c r="A136" s="141" t="s">
        <v>313</v>
      </c>
      <c r="B136" s="187" t="s">
        <v>1759</v>
      </c>
      <c r="C136" s="141">
        <v>2015</v>
      </c>
      <c r="D136" s="188">
        <v>18</v>
      </c>
      <c r="E136" s="135">
        <v>2359</v>
      </c>
      <c r="F136" s="192" t="s">
        <v>665</v>
      </c>
      <c r="G136" s="188">
        <v>1</v>
      </c>
      <c r="H136" s="188">
        <v>1</v>
      </c>
      <c r="I136" s="188">
        <v>1</v>
      </c>
      <c r="J136" s="188">
        <v>0</v>
      </c>
      <c r="K136" s="188">
        <v>0</v>
      </c>
      <c r="L136" s="188">
        <v>1</v>
      </c>
      <c r="M136" s="188">
        <v>0</v>
      </c>
      <c r="N136" s="188">
        <v>0</v>
      </c>
      <c r="O136" s="188">
        <v>0</v>
      </c>
      <c r="P136" s="188">
        <v>0</v>
      </c>
      <c r="Q136" s="188">
        <v>1</v>
      </c>
      <c r="R136" s="188">
        <v>1</v>
      </c>
      <c r="S136" s="188">
        <v>0</v>
      </c>
      <c r="T136" s="188">
        <v>0</v>
      </c>
      <c r="U136" s="188">
        <v>0</v>
      </c>
      <c r="V136" s="188">
        <v>1</v>
      </c>
      <c r="W136" s="188">
        <v>1</v>
      </c>
      <c r="X136" s="188">
        <v>1</v>
      </c>
      <c r="Y136" s="188">
        <v>1</v>
      </c>
      <c r="Z136" s="188">
        <v>0</v>
      </c>
      <c r="AA136" s="188">
        <v>1</v>
      </c>
      <c r="AB136" s="188">
        <v>0</v>
      </c>
      <c r="AC136" s="188">
        <v>1</v>
      </c>
      <c r="AD136" s="188">
        <v>0</v>
      </c>
      <c r="AE136" s="188">
        <v>0</v>
      </c>
      <c r="AF136" s="191">
        <v>0.1</v>
      </c>
      <c r="AG136" s="183">
        <v>12</v>
      </c>
      <c r="AI136" s="5" t="s">
        <v>1655</v>
      </c>
      <c r="AL136" s="5" t="s">
        <v>1668</v>
      </c>
      <c r="AO136" s="5" t="s">
        <v>1668</v>
      </c>
    </row>
    <row r="137" spans="1:41" ht="15" customHeight="1" x14ac:dyDescent="0.2">
      <c r="A137" s="141" t="s">
        <v>313</v>
      </c>
      <c r="B137" s="187" t="s">
        <v>1759</v>
      </c>
      <c r="C137" s="141">
        <v>2015</v>
      </c>
      <c r="D137" s="188">
        <v>18</v>
      </c>
      <c r="E137" s="135">
        <v>2360</v>
      </c>
      <c r="F137" s="192" t="s">
        <v>664</v>
      </c>
      <c r="G137" s="188">
        <v>0</v>
      </c>
      <c r="H137" s="188">
        <v>0</v>
      </c>
      <c r="I137" s="188">
        <v>0</v>
      </c>
      <c r="J137" s="188">
        <v>0</v>
      </c>
      <c r="K137" s="188">
        <v>0</v>
      </c>
      <c r="L137" s="188">
        <v>0</v>
      </c>
      <c r="M137" s="188">
        <v>0</v>
      </c>
      <c r="N137" s="188">
        <v>0</v>
      </c>
      <c r="O137" s="188">
        <v>0</v>
      </c>
      <c r="P137" s="188">
        <v>0</v>
      </c>
      <c r="Q137" s="188">
        <v>1</v>
      </c>
      <c r="R137" s="188">
        <v>0</v>
      </c>
      <c r="S137" s="188">
        <v>0</v>
      </c>
      <c r="T137" s="188">
        <v>0</v>
      </c>
      <c r="U137" s="188">
        <v>0</v>
      </c>
      <c r="V137" s="188">
        <v>0</v>
      </c>
      <c r="W137" s="188">
        <v>0</v>
      </c>
      <c r="X137" s="188">
        <v>0</v>
      </c>
      <c r="Y137" s="188">
        <v>0</v>
      </c>
      <c r="Z137" s="188">
        <v>0</v>
      </c>
      <c r="AA137" s="188">
        <v>0</v>
      </c>
      <c r="AB137" s="188">
        <v>1</v>
      </c>
      <c r="AC137" s="188">
        <v>0</v>
      </c>
      <c r="AD137" s="188">
        <v>0</v>
      </c>
      <c r="AE137" s="188">
        <v>0</v>
      </c>
      <c r="AF137" s="191">
        <v>0.1</v>
      </c>
      <c r="AG137" s="183">
        <v>2</v>
      </c>
      <c r="AI137" s="5" t="s">
        <v>1655</v>
      </c>
      <c r="AL137" s="5" t="s">
        <v>1668</v>
      </c>
      <c r="AO137" s="5" t="s">
        <v>1668</v>
      </c>
    </row>
    <row r="138" spans="1:41" ht="15" customHeight="1" x14ac:dyDescent="0.2">
      <c r="A138" s="141" t="s">
        <v>313</v>
      </c>
      <c r="B138" s="187" t="s">
        <v>1759</v>
      </c>
      <c r="C138" s="141">
        <v>2015</v>
      </c>
      <c r="D138" s="188">
        <v>18</v>
      </c>
      <c r="E138" s="135">
        <v>2362</v>
      </c>
      <c r="F138" s="192" t="s">
        <v>663</v>
      </c>
      <c r="G138" s="188">
        <v>1</v>
      </c>
      <c r="H138" s="188">
        <v>0</v>
      </c>
      <c r="I138" s="188">
        <v>0</v>
      </c>
      <c r="J138" s="188">
        <v>0</v>
      </c>
      <c r="K138" s="188">
        <v>0</v>
      </c>
      <c r="L138" s="188">
        <v>0</v>
      </c>
      <c r="M138" s="188">
        <v>0</v>
      </c>
      <c r="N138" s="188">
        <v>0</v>
      </c>
      <c r="O138" s="188">
        <v>0</v>
      </c>
      <c r="P138" s="188">
        <v>0</v>
      </c>
      <c r="Q138" s="188">
        <v>1</v>
      </c>
      <c r="R138" s="188">
        <v>0</v>
      </c>
      <c r="S138" s="188">
        <v>0</v>
      </c>
      <c r="T138" s="188">
        <v>0</v>
      </c>
      <c r="U138" s="188">
        <v>0</v>
      </c>
      <c r="V138" s="188">
        <v>0</v>
      </c>
      <c r="W138" s="188">
        <v>0</v>
      </c>
      <c r="X138" s="188">
        <v>0</v>
      </c>
      <c r="Y138" s="188">
        <v>0</v>
      </c>
      <c r="Z138" s="188">
        <v>0</v>
      </c>
      <c r="AA138" s="188">
        <v>0</v>
      </c>
      <c r="AB138" s="188">
        <v>0</v>
      </c>
      <c r="AC138" s="188">
        <v>0</v>
      </c>
      <c r="AD138" s="188">
        <v>0</v>
      </c>
      <c r="AE138" s="188">
        <v>0</v>
      </c>
      <c r="AF138" s="191">
        <v>0.1</v>
      </c>
      <c r="AG138" s="183">
        <v>2</v>
      </c>
      <c r="AI138" s="5" t="s">
        <v>1655</v>
      </c>
      <c r="AL138" s="5" t="s">
        <v>1668</v>
      </c>
      <c r="AO138" s="5" t="s">
        <v>1668</v>
      </c>
    </row>
    <row r="139" spans="1:41" ht="15" customHeight="1" x14ac:dyDescent="0.2">
      <c r="A139" s="141" t="s">
        <v>313</v>
      </c>
      <c r="B139" s="187" t="s">
        <v>1759</v>
      </c>
      <c r="C139" s="141">
        <v>2015</v>
      </c>
      <c r="D139" s="188">
        <v>18</v>
      </c>
      <c r="E139" s="135">
        <v>2366</v>
      </c>
      <c r="F139" s="192" t="s">
        <v>660</v>
      </c>
      <c r="G139" s="188">
        <v>1</v>
      </c>
      <c r="H139" s="188">
        <v>0</v>
      </c>
      <c r="I139" s="188">
        <v>0</v>
      </c>
      <c r="J139" s="188">
        <v>0</v>
      </c>
      <c r="K139" s="188">
        <v>0</v>
      </c>
      <c r="L139" s="188">
        <v>0</v>
      </c>
      <c r="M139" s="188">
        <v>0</v>
      </c>
      <c r="N139" s="188">
        <v>0</v>
      </c>
      <c r="O139" s="188">
        <v>0</v>
      </c>
      <c r="P139" s="188">
        <v>0</v>
      </c>
      <c r="Q139" s="188">
        <v>0</v>
      </c>
      <c r="R139" s="188">
        <v>0</v>
      </c>
      <c r="S139" s="188">
        <v>0</v>
      </c>
      <c r="T139" s="188">
        <v>0</v>
      </c>
      <c r="U139" s="188">
        <v>0</v>
      </c>
      <c r="V139" s="188">
        <v>0</v>
      </c>
      <c r="W139" s="188">
        <v>0</v>
      </c>
      <c r="X139" s="188">
        <v>0</v>
      </c>
      <c r="Y139" s="188">
        <v>0</v>
      </c>
      <c r="Z139" s="188">
        <v>0</v>
      </c>
      <c r="AA139" s="188">
        <v>0</v>
      </c>
      <c r="AB139" s="188">
        <v>0</v>
      </c>
      <c r="AC139" s="188">
        <v>0</v>
      </c>
      <c r="AD139" s="188">
        <v>0</v>
      </c>
      <c r="AE139" s="188">
        <v>0</v>
      </c>
      <c r="AF139" s="191">
        <v>0.1</v>
      </c>
      <c r="AG139" s="183">
        <v>1</v>
      </c>
      <c r="AH139" s="4"/>
      <c r="AI139" s="5" t="s">
        <v>1655</v>
      </c>
      <c r="AL139" s="5" t="s">
        <v>1668</v>
      </c>
      <c r="AO139" s="5" t="s">
        <v>1668</v>
      </c>
    </row>
    <row r="140" spans="1:41" ht="15" customHeight="1" x14ac:dyDescent="0.2">
      <c r="A140" s="141" t="s">
        <v>313</v>
      </c>
      <c r="B140" s="187" t="s">
        <v>1759</v>
      </c>
      <c r="C140" s="141">
        <v>2015</v>
      </c>
      <c r="D140" s="188">
        <v>18</v>
      </c>
      <c r="E140" s="135">
        <v>541</v>
      </c>
      <c r="F140" s="192" t="s">
        <v>1313</v>
      </c>
      <c r="G140" s="188">
        <v>1</v>
      </c>
      <c r="H140" s="188">
        <v>0</v>
      </c>
      <c r="I140" s="188">
        <v>1</v>
      </c>
      <c r="J140" s="188">
        <v>1</v>
      </c>
      <c r="K140" s="188">
        <v>0</v>
      </c>
      <c r="L140" s="188">
        <v>0</v>
      </c>
      <c r="M140" s="188">
        <v>0</v>
      </c>
      <c r="N140" s="188">
        <v>0</v>
      </c>
      <c r="O140" s="188">
        <v>0</v>
      </c>
      <c r="P140" s="188">
        <v>0</v>
      </c>
      <c r="Q140" s="188">
        <v>0</v>
      </c>
      <c r="R140" s="188">
        <v>0</v>
      </c>
      <c r="S140" s="188">
        <v>0</v>
      </c>
      <c r="T140" s="188">
        <v>0</v>
      </c>
      <c r="U140" s="188">
        <v>0</v>
      </c>
      <c r="V140" s="188">
        <v>0</v>
      </c>
      <c r="W140" s="188">
        <v>0</v>
      </c>
      <c r="X140" s="188">
        <v>0</v>
      </c>
      <c r="Y140" s="188">
        <v>0</v>
      </c>
      <c r="Z140" s="188">
        <v>0</v>
      </c>
      <c r="AA140" s="188">
        <v>1</v>
      </c>
      <c r="AB140" s="188">
        <v>0</v>
      </c>
      <c r="AC140" s="188">
        <v>0</v>
      </c>
      <c r="AD140" s="188">
        <v>0</v>
      </c>
      <c r="AE140" s="188">
        <v>0</v>
      </c>
      <c r="AF140" s="191">
        <v>1</v>
      </c>
      <c r="AG140" s="183">
        <v>4</v>
      </c>
    </row>
    <row r="141" spans="1:41" ht="15" customHeight="1" x14ac:dyDescent="0.2">
      <c r="A141" s="141" t="s">
        <v>313</v>
      </c>
      <c r="B141" s="187" t="s">
        <v>1759</v>
      </c>
      <c r="C141" s="141">
        <v>2015</v>
      </c>
      <c r="D141" s="188">
        <v>18</v>
      </c>
      <c r="E141" s="135">
        <v>876</v>
      </c>
      <c r="F141" s="192" t="s">
        <v>1163</v>
      </c>
      <c r="G141" s="188">
        <v>1</v>
      </c>
      <c r="H141" s="188">
        <v>1</v>
      </c>
      <c r="I141" s="188">
        <v>1</v>
      </c>
      <c r="J141" s="188">
        <v>1</v>
      </c>
      <c r="K141" s="188">
        <v>1</v>
      </c>
      <c r="L141" s="188">
        <v>1</v>
      </c>
      <c r="M141" s="188">
        <v>1</v>
      </c>
      <c r="N141" s="188">
        <v>1</v>
      </c>
      <c r="O141" s="188">
        <v>1</v>
      </c>
      <c r="P141" s="188">
        <v>1</v>
      </c>
      <c r="Q141" s="188">
        <v>1</v>
      </c>
      <c r="R141" s="188">
        <v>1</v>
      </c>
      <c r="S141" s="188">
        <v>1</v>
      </c>
      <c r="T141" s="188">
        <v>1</v>
      </c>
      <c r="U141" s="188">
        <v>1</v>
      </c>
      <c r="V141" s="188">
        <v>1</v>
      </c>
      <c r="W141" s="188">
        <v>1</v>
      </c>
      <c r="X141" s="188">
        <v>1</v>
      </c>
      <c r="Y141" s="188">
        <v>1</v>
      </c>
      <c r="Z141" s="188">
        <v>1</v>
      </c>
      <c r="AA141" s="188">
        <v>1</v>
      </c>
      <c r="AB141" s="188">
        <v>1</v>
      </c>
      <c r="AC141" s="188">
        <v>1</v>
      </c>
      <c r="AD141" s="188">
        <v>1</v>
      </c>
      <c r="AE141" s="188">
        <v>1</v>
      </c>
      <c r="AF141" s="191">
        <v>30</v>
      </c>
      <c r="AG141" s="183">
        <v>25</v>
      </c>
    </row>
    <row r="142" spans="1:41" ht="15" customHeight="1" x14ac:dyDescent="0.2">
      <c r="A142" s="141" t="s">
        <v>313</v>
      </c>
      <c r="B142" s="187" t="s">
        <v>1759</v>
      </c>
      <c r="C142" s="141">
        <v>2015</v>
      </c>
      <c r="D142" s="188">
        <v>18</v>
      </c>
      <c r="E142" s="135">
        <v>2620</v>
      </c>
      <c r="F142" s="189" t="s">
        <v>605</v>
      </c>
      <c r="G142" s="188">
        <v>0</v>
      </c>
      <c r="H142" s="188">
        <v>0</v>
      </c>
      <c r="I142" s="188">
        <v>0</v>
      </c>
      <c r="J142" s="188">
        <v>0</v>
      </c>
      <c r="K142" s="188">
        <v>0</v>
      </c>
      <c r="L142" s="188">
        <v>0</v>
      </c>
      <c r="M142" s="188">
        <v>1</v>
      </c>
      <c r="N142" s="188">
        <v>0</v>
      </c>
      <c r="O142" s="188">
        <v>0</v>
      </c>
      <c r="P142" s="188">
        <v>0</v>
      </c>
      <c r="Q142" s="188">
        <v>0</v>
      </c>
      <c r="R142" s="188">
        <v>0</v>
      </c>
      <c r="S142" s="188">
        <v>0</v>
      </c>
      <c r="T142" s="188">
        <v>1</v>
      </c>
      <c r="U142" s="188">
        <v>0</v>
      </c>
      <c r="V142" s="188">
        <v>0</v>
      </c>
      <c r="W142" s="188">
        <v>1</v>
      </c>
      <c r="X142" s="188">
        <v>1</v>
      </c>
      <c r="Y142" s="188">
        <v>0</v>
      </c>
      <c r="Z142" s="188">
        <v>0</v>
      </c>
      <c r="AA142" s="188">
        <v>0</v>
      </c>
      <c r="AB142" s="188">
        <v>0</v>
      </c>
      <c r="AC142" s="188">
        <v>1</v>
      </c>
      <c r="AD142" s="188">
        <v>1</v>
      </c>
      <c r="AE142" s="188">
        <v>1</v>
      </c>
      <c r="AF142" s="191">
        <v>1</v>
      </c>
      <c r="AG142" s="183">
        <v>7</v>
      </c>
    </row>
    <row r="143" spans="1:41" ht="15" customHeight="1" x14ac:dyDescent="0.2">
      <c r="A143" s="141" t="s">
        <v>313</v>
      </c>
      <c r="B143" s="187" t="s">
        <v>1759</v>
      </c>
      <c r="C143" s="141">
        <v>2015</v>
      </c>
      <c r="D143" s="188">
        <v>18</v>
      </c>
      <c r="E143" s="135">
        <v>1894</v>
      </c>
      <c r="F143" s="192" t="s">
        <v>795</v>
      </c>
      <c r="G143" s="188">
        <v>1</v>
      </c>
      <c r="H143" s="188">
        <v>0</v>
      </c>
      <c r="I143" s="188">
        <v>0</v>
      </c>
      <c r="J143" s="188">
        <v>1</v>
      </c>
      <c r="K143" s="188">
        <v>1</v>
      </c>
      <c r="L143" s="188">
        <v>0</v>
      </c>
      <c r="M143" s="188">
        <v>0</v>
      </c>
      <c r="N143" s="188">
        <v>0</v>
      </c>
      <c r="O143" s="188">
        <v>1</v>
      </c>
      <c r="P143" s="188">
        <v>0</v>
      </c>
      <c r="Q143" s="188">
        <v>0</v>
      </c>
      <c r="R143" s="188">
        <v>0</v>
      </c>
      <c r="S143" s="188">
        <v>0</v>
      </c>
      <c r="T143" s="188">
        <v>1</v>
      </c>
      <c r="U143" s="188">
        <v>1</v>
      </c>
      <c r="V143" s="188">
        <v>1</v>
      </c>
      <c r="W143" s="188">
        <v>0</v>
      </c>
      <c r="X143" s="188">
        <v>1</v>
      </c>
      <c r="Y143" s="188">
        <v>1</v>
      </c>
      <c r="Z143" s="188">
        <v>1</v>
      </c>
      <c r="AA143" s="188">
        <v>1</v>
      </c>
      <c r="AB143" s="188">
        <v>1</v>
      </c>
      <c r="AC143" s="188">
        <v>0</v>
      </c>
      <c r="AD143" s="188">
        <v>1</v>
      </c>
      <c r="AE143" s="188">
        <v>1</v>
      </c>
      <c r="AF143" s="191">
        <v>1</v>
      </c>
      <c r="AG143" s="183">
        <v>14</v>
      </c>
      <c r="AL143" s="5" t="s">
        <v>1671</v>
      </c>
      <c r="AO143" s="5" t="s">
        <v>1671</v>
      </c>
    </row>
    <row r="144" spans="1:41" ht="15" customHeight="1" x14ac:dyDescent="0.2">
      <c r="A144" s="141" t="s">
        <v>313</v>
      </c>
      <c r="B144" s="187" t="s">
        <v>1759</v>
      </c>
      <c r="C144" s="141">
        <v>2015</v>
      </c>
      <c r="D144" s="188">
        <v>18</v>
      </c>
      <c r="E144" s="135">
        <v>1066</v>
      </c>
      <c r="F144" s="192" t="s">
        <v>1082</v>
      </c>
      <c r="G144" s="188">
        <v>1</v>
      </c>
      <c r="H144" s="188">
        <v>0</v>
      </c>
      <c r="I144" s="188">
        <v>1</v>
      </c>
      <c r="J144" s="188">
        <v>1</v>
      </c>
      <c r="K144" s="188">
        <v>1</v>
      </c>
      <c r="L144" s="188">
        <v>1</v>
      </c>
      <c r="M144" s="188">
        <v>0</v>
      </c>
      <c r="N144" s="188">
        <v>0</v>
      </c>
      <c r="O144" s="188">
        <v>1</v>
      </c>
      <c r="P144" s="188">
        <v>0</v>
      </c>
      <c r="Q144" s="188">
        <v>0</v>
      </c>
      <c r="R144" s="188">
        <v>0</v>
      </c>
      <c r="S144" s="188">
        <v>0</v>
      </c>
      <c r="T144" s="188">
        <v>1</v>
      </c>
      <c r="U144" s="188">
        <v>1</v>
      </c>
      <c r="V144" s="188">
        <v>1</v>
      </c>
      <c r="W144" s="188">
        <v>1</v>
      </c>
      <c r="X144" s="188">
        <v>1</v>
      </c>
      <c r="Y144" s="188">
        <v>0</v>
      </c>
      <c r="Z144" s="188">
        <v>1</v>
      </c>
      <c r="AA144" s="188">
        <v>1</v>
      </c>
      <c r="AB144" s="188">
        <v>1</v>
      </c>
      <c r="AC144" s="188">
        <v>1</v>
      </c>
      <c r="AD144" s="188">
        <v>1</v>
      </c>
      <c r="AE144" s="188">
        <v>0</v>
      </c>
      <c r="AF144" s="191">
        <v>4</v>
      </c>
      <c r="AG144" s="183">
        <v>16</v>
      </c>
    </row>
    <row r="145" spans="1:41" ht="15" customHeight="1" x14ac:dyDescent="0.2">
      <c r="A145" s="141" t="s">
        <v>313</v>
      </c>
      <c r="B145" s="187" t="s">
        <v>1759</v>
      </c>
      <c r="C145" s="141">
        <v>2015</v>
      </c>
      <c r="D145" s="188">
        <v>18</v>
      </c>
      <c r="E145" s="135" t="e">
        <v>#N/A</v>
      </c>
      <c r="F145" s="192" t="s">
        <v>1772</v>
      </c>
      <c r="G145" s="188">
        <v>1</v>
      </c>
      <c r="H145" s="188">
        <v>1</v>
      </c>
      <c r="I145" s="188">
        <v>1</v>
      </c>
      <c r="J145" s="188">
        <v>1</v>
      </c>
      <c r="K145" s="188">
        <v>1</v>
      </c>
      <c r="L145" s="188">
        <v>1</v>
      </c>
      <c r="M145" s="188">
        <v>1</v>
      </c>
      <c r="N145" s="188">
        <v>1</v>
      </c>
      <c r="O145" s="188">
        <v>1</v>
      </c>
      <c r="P145" s="188">
        <v>1</v>
      </c>
      <c r="Q145" s="188">
        <v>0</v>
      </c>
      <c r="R145" s="188">
        <v>0</v>
      </c>
      <c r="S145" s="188">
        <v>1</v>
      </c>
      <c r="T145" s="188">
        <v>1</v>
      </c>
      <c r="U145" s="188">
        <v>1</v>
      </c>
      <c r="V145" s="188">
        <v>0</v>
      </c>
      <c r="W145" s="188">
        <v>1</v>
      </c>
      <c r="X145" s="188">
        <v>0</v>
      </c>
      <c r="Y145" s="188">
        <v>1</v>
      </c>
      <c r="Z145" s="188">
        <v>1</v>
      </c>
      <c r="AA145" s="188">
        <v>0</v>
      </c>
      <c r="AB145" s="188">
        <v>1</v>
      </c>
      <c r="AC145" s="188">
        <v>1</v>
      </c>
      <c r="AD145" s="188">
        <v>0</v>
      </c>
      <c r="AE145" s="188">
        <v>1</v>
      </c>
      <c r="AF145" s="190">
        <v>15</v>
      </c>
      <c r="AG145" s="183">
        <v>19</v>
      </c>
      <c r="AH145" s="5" t="s">
        <v>1815</v>
      </c>
      <c r="AI145" s="5" t="s">
        <v>1654</v>
      </c>
      <c r="AL145" s="5" t="s">
        <v>1668</v>
      </c>
      <c r="AM145" s="5" t="s">
        <v>1434</v>
      </c>
      <c r="AO145" s="5" t="s">
        <v>1434</v>
      </c>
    </row>
    <row r="146" spans="1:41" ht="15" customHeight="1" x14ac:dyDescent="0.2">
      <c r="A146" s="141" t="s">
        <v>313</v>
      </c>
      <c r="B146" s="187" t="s">
        <v>1759</v>
      </c>
      <c r="C146" s="141">
        <v>2015</v>
      </c>
      <c r="D146" s="188">
        <v>20</v>
      </c>
      <c r="E146" s="135">
        <v>278</v>
      </c>
      <c r="F146" s="192" t="s">
        <v>132</v>
      </c>
      <c r="G146" s="188">
        <v>1</v>
      </c>
      <c r="H146" s="188">
        <v>1</v>
      </c>
      <c r="I146" s="188">
        <v>1</v>
      </c>
      <c r="J146" s="188">
        <v>1</v>
      </c>
      <c r="K146" s="188">
        <v>1</v>
      </c>
      <c r="L146" s="188">
        <v>1</v>
      </c>
      <c r="M146" s="188">
        <v>1</v>
      </c>
      <c r="N146" s="188">
        <v>1</v>
      </c>
      <c r="O146" s="188">
        <v>1</v>
      </c>
      <c r="P146" s="188">
        <v>1</v>
      </c>
      <c r="Q146" s="188">
        <v>1</v>
      </c>
      <c r="R146" s="188">
        <v>1</v>
      </c>
      <c r="S146" s="188">
        <v>1</v>
      </c>
      <c r="T146" s="188">
        <v>1</v>
      </c>
      <c r="U146" s="188">
        <v>1</v>
      </c>
      <c r="V146" s="188">
        <v>1</v>
      </c>
      <c r="W146" s="188">
        <v>1</v>
      </c>
      <c r="X146" s="188">
        <v>1</v>
      </c>
      <c r="Y146" s="188">
        <v>1</v>
      </c>
      <c r="Z146" s="188">
        <v>1</v>
      </c>
      <c r="AA146" s="188">
        <v>1</v>
      </c>
      <c r="AB146" s="188">
        <v>1</v>
      </c>
      <c r="AC146" s="188">
        <v>1</v>
      </c>
      <c r="AD146" s="188">
        <v>1</v>
      </c>
      <c r="AE146" s="188">
        <v>1</v>
      </c>
      <c r="AF146" s="191">
        <v>15</v>
      </c>
      <c r="AG146" s="183">
        <v>25</v>
      </c>
    </row>
    <row r="147" spans="1:41" ht="15" customHeight="1" x14ac:dyDescent="0.2">
      <c r="A147" s="141" t="s">
        <v>313</v>
      </c>
      <c r="B147" s="187" t="s">
        <v>1759</v>
      </c>
      <c r="C147" s="141">
        <v>2015</v>
      </c>
      <c r="D147" s="188">
        <v>20</v>
      </c>
      <c r="E147" s="135">
        <v>1576</v>
      </c>
      <c r="F147" s="192" t="s">
        <v>882</v>
      </c>
      <c r="G147" s="188">
        <v>1</v>
      </c>
      <c r="H147" s="188">
        <v>1</v>
      </c>
      <c r="I147" s="188">
        <v>1</v>
      </c>
      <c r="J147" s="188">
        <v>1</v>
      </c>
      <c r="K147" s="188">
        <v>1</v>
      </c>
      <c r="L147" s="188">
        <v>1</v>
      </c>
      <c r="M147" s="188">
        <v>1</v>
      </c>
      <c r="N147" s="188">
        <v>1</v>
      </c>
      <c r="O147" s="188">
        <v>1</v>
      </c>
      <c r="P147" s="188">
        <v>1</v>
      </c>
      <c r="Q147" s="188">
        <v>1</v>
      </c>
      <c r="R147" s="188">
        <v>1</v>
      </c>
      <c r="S147" s="188">
        <v>1</v>
      </c>
      <c r="T147" s="188">
        <v>1</v>
      </c>
      <c r="U147" s="188">
        <v>1</v>
      </c>
      <c r="V147" s="188">
        <v>1</v>
      </c>
      <c r="W147" s="188">
        <v>1</v>
      </c>
      <c r="X147" s="188">
        <v>0</v>
      </c>
      <c r="Y147" s="188">
        <v>1</v>
      </c>
      <c r="Z147" s="188">
        <v>1</v>
      </c>
      <c r="AA147" s="188">
        <v>1</v>
      </c>
      <c r="AB147" s="188">
        <v>1</v>
      </c>
      <c r="AC147" s="188">
        <v>1</v>
      </c>
      <c r="AD147" s="188">
        <v>1</v>
      </c>
      <c r="AE147" s="188">
        <v>1</v>
      </c>
      <c r="AF147" s="190">
        <v>50</v>
      </c>
      <c r="AG147" s="183">
        <v>24</v>
      </c>
      <c r="AL147" s="5" t="s">
        <v>1434</v>
      </c>
      <c r="AO147" s="5" t="s">
        <v>1434</v>
      </c>
    </row>
    <row r="148" spans="1:41" ht="15" customHeight="1" x14ac:dyDescent="0.2">
      <c r="A148" s="141" t="s">
        <v>313</v>
      </c>
      <c r="B148" s="187" t="s">
        <v>1759</v>
      </c>
      <c r="C148" s="141">
        <v>2015</v>
      </c>
      <c r="D148" s="188">
        <v>20</v>
      </c>
      <c r="E148" s="135">
        <v>2359</v>
      </c>
      <c r="F148" s="192" t="s">
        <v>665</v>
      </c>
      <c r="G148" s="188">
        <v>0</v>
      </c>
      <c r="H148" s="188">
        <v>0</v>
      </c>
      <c r="I148" s="188">
        <v>1</v>
      </c>
      <c r="J148" s="188">
        <v>0</v>
      </c>
      <c r="K148" s="188">
        <v>0</v>
      </c>
      <c r="L148" s="188">
        <v>0</v>
      </c>
      <c r="M148" s="188">
        <v>0</v>
      </c>
      <c r="N148" s="188">
        <v>0</v>
      </c>
      <c r="O148" s="188">
        <v>1</v>
      </c>
      <c r="P148" s="188">
        <v>0</v>
      </c>
      <c r="Q148" s="188">
        <v>0</v>
      </c>
      <c r="R148" s="188">
        <v>1</v>
      </c>
      <c r="S148" s="188">
        <v>1</v>
      </c>
      <c r="T148" s="188">
        <v>0</v>
      </c>
      <c r="U148" s="188">
        <v>1</v>
      </c>
      <c r="V148" s="188">
        <v>1</v>
      </c>
      <c r="W148" s="188">
        <v>1</v>
      </c>
      <c r="X148" s="188">
        <v>0</v>
      </c>
      <c r="Y148" s="188">
        <v>1</v>
      </c>
      <c r="Z148" s="188">
        <v>0</v>
      </c>
      <c r="AA148" s="188">
        <v>0</v>
      </c>
      <c r="AB148" s="188">
        <v>0</v>
      </c>
      <c r="AC148" s="188">
        <v>0</v>
      </c>
      <c r="AD148" s="188">
        <v>0</v>
      </c>
      <c r="AE148" s="188">
        <v>0</v>
      </c>
      <c r="AF148" s="191">
        <v>0.1</v>
      </c>
      <c r="AG148" s="183">
        <v>8</v>
      </c>
      <c r="AH148" s="4"/>
      <c r="AI148" s="5" t="s">
        <v>1655</v>
      </c>
      <c r="AL148" s="5" t="s">
        <v>1668</v>
      </c>
      <c r="AO148" s="5" t="s">
        <v>1668</v>
      </c>
    </row>
    <row r="149" spans="1:41" ht="15" customHeight="1" x14ac:dyDescent="0.2">
      <c r="A149" s="141" t="s">
        <v>313</v>
      </c>
      <c r="B149" s="187" t="s">
        <v>1759</v>
      </c>
      <c r="C149" s="141">
        <v>2015</v>
      </c>
      <c r="D149" s="188">
        <v>20</v>
      </c>
      <c r="E149" s="135">
        <v>2362</v>
      </c>
      <c r="F149" s="192" t="s">
        <v>663</v>
      </c>
      <c r="G149" s="188">
        <v>0</v>
      </c>
      <c r="H149" s="188">
        <v>0</v>
      </c>
      <c r="I149" s="188">
        <v>1</v>
      </c>
      <c r="J149" s="188">
        <v>1</v>
      </c>
      <c r="K149" s="188">
        <v>0</v>
      </c>
      <c r="L149" s="188">
        <v>1</v>
      </c>
      <c r="M149" s="188">
        <v>1</v>
      </c>
      <c r="N149" s="188">
        <v>1</v>
      </c>
      <c r="O149" s="188">
        <v>0</v>
      </c>
      <c r="P149" s="188">
        <v>0</v>
      </c>
      <c r="Q149" s="188">
        <v>0</v>
      </c>
      <c r="R149" s="188">
        <v>0</v>
      </c>
      <c r="S149" s="188">
        <v>0</v>
      </c>
      <c r="T149" s="188">
        <v>0</v>
      </c>
      <c r="U149" s="188">
        <v>0</v>
      </c>
      <c r="V149" s="188">
        <v>0</v>
      </c>
      <c r="W149" s="188">
        <v>0</v>
      </c>
      <c r="X149" s="188">
        <v>0</v>
      </c>
      <c r="Y149" s="188">
        <v>0</v>
      </c>
      <c r="Z149" s="188">
        <v>0</v>
      </c>
      <c r="AA149" s="188">
        <v>0</v>
      </c>
      <c r="AB149" s="188">
        <v>0</v>
      </c>
      <c r="AC149" s="188">
        <v>0</v>
      </c>
      <c r="AD149" s="188">
        <v>0</v>
      </c>
      <c r="AE149" s="188">
        <v>0</v>
      </c>
      <c r="AF149" s="191">
        <v>0.1</v>
      </c>
      <c r="AG149" s="183">
        <v>5</v>
      </c>
      <c r="AI149" s="5" t="s">
        <v>1655</v>
      </c>
      <c r="AL149" s="5" t="s">
        <v>1668</v>
      </c>
      <c r="AO149" s="5" t="s">
        <v>1668</v>
      </c>
    </row>
    <row r="150" spans="1:41" ht="15" customHeight="1" x14ac:dyDescent="0.2">
      <c r="A150" s="141" t="s">
        <v>313</v>
      </c>
      <c r="B150" s="187" t="s">
        <v>1759</v>
      </c>
      <c r="C150" s="141">
        <v>2015</v>
      </c>
      <c r="D150" s="188">
        <v>20</v>
      </c>
      <c r="E150" s="135">
        <v>2366</v>
      </c>
      <c r="F150" s="192" t="s">
        <v>660</v>
      </c>
      <c r="G150" s="188">
        <v>0</v>
      </c>
      <c r="H150" s="188">
        <v>0</v>
      </c>
      <c r="I150" s="188">
        <v>0</v>
      </c>
      <c r="J150" s="188">
        <v>0</v>
      </c>
      <c r="K150" s="188">
        <v>0</v>
      </c>
      <c r="L150" s="188">
        <v>0</v>
      </c>
      <c r="M150" s="188">
        <v>1</v>
      </c>
      <c r="N150" s="188">
        <v>0</v>
      </c>
      <c r="O150" s="188">
        <v>1</v>
      </c>
      <c r="P150" s="188">
        <v>0</v>
      </c>
      <c r="Q150" s="188">
        <v>0</v>
      </c>
      <c r="R150" s="188">
        <v>0</v>
      </c>
      <c r="S150" s="188">
        <v>0</v>
      </c>
      <c r="T150" s="188">
        <v>0</v>
      </c>
      <c r="U150" s="188">
        <v>0</v>
      </c>
      <c r="V150" s="188">
        <v>0</v>
      </c>
      <c r="W150" s="188">
        <v>0</v>
      </c>
      <c r="X150" s="188">
        <v>0</v>
      </c>
      <c r="Y150" s="188">
        <v>0</v>
      </c>
      <c r="Z150" s="188">
        <v>0</v>
      </c>
      <c r="AA150" s="188">
        <v>0</v>
      </c>
      <c r="AB150" s="188">
        <v>0</v>
      </c>
      <c r="AC150" s="188">
        <v>0</v>
      </c>
      <c r="AD150" s="188">
        <v>0</v>
      </c>
      <c r="AE150" s="188">
        <v>0</v>
      </c>
      <c r="AF150" s="191">
        <v>0.1</v>
      </c>
      <c r="AG150" s="183">
        <v>2</v>
      </c>
      <c r="AH150" s="4"/>
      <c r="AI150" s="5" t="s">
        <v>1655</v>
      </c>
      <c r="AL150" s="5" t="s">
        <v>1668</v>
      </c>
      <c r="AO150" s="5" t="s">
        <v>1668</v>
      </c>
    </row>
    <row r="151" spans="1:41" ht="15" customHeight="1" x14ac:dyDescent="0.2">
      <c r="A151" s="141" t="s">
        <v>313</v>
      </c>
      <c r="B151" s="187" t="s">
        <v>1759</v>
      </c>
      <c r="C151" s="141">
        <v>2015</v>
      </c>
      <c r="D151" s="188">
        <v>20</v>
      </c>
      <c r="E151" s="135">
        <v>541</v>
      </c>
      <c r="F151" s="192" t="s">
        <v>1313</v>
      </c>
      <c r="G151" s="188">
        <v>1</v>
      </c>
      <c r="H151" s="188">
        <v>1</v>
      </c>
      <c r="I151" s="188">
        <v>1</v>
      </c>
      <c r="J151" s="188">
        <v>1</v>
      </c>
      <c r="K151" s="188">
        <v>1</v>
      </c>
      <c r="L151" s="188">
        <v>1</v>
      </c>
      <c r="M151" s="188">
        <v>1</v>
      </c>
      <c r="N151" s="188">
        <v>1</v>
      </c>
      <c r="O151" s="188">
        <v>1</v>
      </c>
      <c r="P151" s="188">
        <v>1</v>
      </c>
      <c r="Q151" s="188">
        <v>1</v>
      </c>
      <c r="R151" s="188">
        <v>1</v>
      </c>
      <c r="S151" s="188">
        <v>1</v>
      </c>
      <c r="T151" s="188">
        <v>1</v>
      </c>
      <c r="U151" s="188">
        <v>1</v>
      </c>
      <c r="V151" s="188">
        <v>1</v>
      </c>
      <c r="W151" s="188">
        <v>1</v>
      </c>
      <c r="X151" s="188">
        <v>1</v>
      </c>
      <c r="Y151" s="188">
        <v>1</v>
      </c>
      <c r="Z151" s="188">
        <v>1</v>
      </c>
      <c r="AA151" s="188">
        <v>1</v>
      </c>
      <c r="AB151" s="188">
        <v>1</v>
      </c>
      <c r="AC151" s="188">
        <v>1</v>
      </c>
      <c r="AD151" s="188">
        <v>1</v>
      </c>
      <c r="AE151" s="188">
        <v>1</v>
      </c>
      <c r="AF151" s="191">
        <v>15</v>
      </c>
      <c r="AG151" s="183">
        <v>25</v>
      </c>
      <c r="AH151" s="4"/>
    </row>
    <row r="152" spans="1:41" ht="15" customHeight="1" x14ac:dyDescent="0.2">
      <c r="A152" s="141" t="s">
        <v>313</v>
      </c>
      <c r="B152" s="187" t="s">
        <v>1759</v>
      </c>
      <c r="C152" s="141">
        <v>2015</v>
      </c>
      <c r="D152" s="188">
        <v>20</v>
      </c>
      <c r="E152" s="135" t="e">
        <v>#N/A</v>
      </c>
      <c r="F152" s="192" t="s">
        <v>1772</v>
      </c>
      <c r="G152" s="188">
        <v>0</v>
      </c>
      <c r="H152" s="188">
        <v>0</v>
      </c>
      <c r="I152" s="188">
        <v>0</v>
      </c>
      <c r="J152" s="188">
        <v>1</v>
      </c>
      <c r="K152" s="188">
        <v>0</v>
      </c>
      <c r="L152" s="188">
        <v>0</v>
      </c>
      <c r="M152" s="188">
        <v>0</v>
      </c>
      <c r="N152" s="188">
        <v>1</v>
      </c>
      <c r="O152" s="188">
        <v>1</v>
      </c>
      <c r="P152" s="188">
        <v>0</v>
      </c>
      <c r="Q152" s="188">
        <v>1</v>
      </c>
      <c r="R152" s="188">
        <v>0</v>
      </c>
      <c r="S152" s="188">
        <v>1</v>
      </c>
      <c r="T152" s="188">
        <v>1</v>
      </c>
      <c r="U152" s="188">
        <v>1</v>
      </c>
      <c r="V152" s="188">
        <v>1</v>
      </c>
      <c r="W152" s="188">
        <v>1</v>
      </c>
      <c r="X152" s="188">
        <v>1</v>
      </c>
      <c r="Y152" s="188">
        <v>0</v>
      </c>
      <c r="Z152" s="188">
        <v>1</v>
      </c>
      <c r="AA152" s="188">
        <v>0</v>
      </c>
      <c r="AB152" s="188">
        <v>0</v>
      </c>
      <c r="AC152" s="188">
        <v>0</v>
      </c>
      <c r="AD152" s="188">
        <v>0</v>
      </c>
      <c r="AE152" s="188">
        <v>1</v>
      </c>
      <c r="AF152" s="190">
        <v>8</v>
      </c>
      <c r="AG152" s="183">
        <v>12</v>
      </c>
      <c r="AL152" s="5" t="s">
        <v>1434</v>
      </c>
      <c r="AO152" s="5" t="s">
        <v>1434</v>
      </c>
    </row>
    <row r="153" spans="1:41" ht="15" customHeight="1" x14ac:dyDescent="0.2">
      <c r="A153" s="141" t="s">
        <v>313</v>
      </c>
      <c r="B153" s="187" t="s">
        <v>1759</v>
      </c>
      <c r="C153" s="141">
        <v>2015</v>
      </c>
      <c r="D153" s="188">
        <v>21</v>
      </c>
      <c r="E153" s="135">
        <v>278</v>
      </c>
      <c r="F153" s="189" t="s">
        <v>132</v>
      </c>
      <c r="G153" s="188">
        <v>0</v>
      </c>
      <c r="H153" s="188">
        <v>0</v>
      </c>
      <c r="I153" s="188">
        <v>1</v>
      </c>
      <c r="J153" s="188">
        <v>1</v>
      </c>
      <c r="K153" s="188">
        <v>0</v>
      </c>
      <c r="L153" s="188">
        <v>1</v>
      </c>
      <c r="M153" s="188">
        <v>0</v>
      </c>
      <c r="N153" s="188">
        <v>1</v>
      </c>
      <c r="O153" s="188">
        <v>1</v>
      </c>
      <c r="P153" s="188">
        <v>1</v>
      </c>
      <c r="Q153" s="188">
        <v>0</v>
      </c>
      <c r="R153" s="188">
        <v>0</v>
      </c>
      <c r="S153" s="188">
        <v>0</v>
      </c>
      <c r="T153" s="188">
        <v>0</v>
      </c>
      <c r="U153" s="188">
        <v>0</v>
      </c>
      <c r="V153" s="188">
        <v>0</v>
      </c>
      <c r="W153" s="188">
        <v>0</v>
      </c>
      <c r="X153" s="188">
        <v>0</v>
      </c>
      <c r="Y153" s="188">
        <v>0</v>
      </c>
      <c r="Z153" s="188">
        <v>0</v>
      </c>
      <c r="AA153" s="188">
        <v>0</v>
      </c>
      <c r="AB153" s="188">
        <v>0</v>
      </c>
      <c r="AC153" s="188">
        <v>0</v>
      </c>
      <c r="AD153" s="188">
        <v>0</v>
      </c>
      <c r="AE153" s="188">
        <v>0</v>
      </c>
      <c r="AF153" s="191">
        <v>1</v>
      </c>
      <c r="AG153" s="183">
        <v>6</v>
      </c>
      <c r="AH153" s="4"/>
    </row>
    <row r="154" spans="1:41" ht="15" customHeight="1" x14ac:dyDescent="0.2">
      <c r="A154" s="141" t="s">
        <v>313</v>
      </c>
      <c r="B154" s="187" t="s">
        <v>1759</v>
      </c>
      <c r="C154" s="141">
        <v>2015</v>
      </c>
      <c r="D154" s="188">
        <v>21</v>
      </c>
      <c r="E154" s="135">
        <v>494</v>
      </c>
      <c r="F154" s="192" t="s">
        <v>22</v>
      </c>
      <c r="G154" s="188">
        <v>1</v>
      </c>
      <c r="H154" s="188">
        <v>0</v>
      </c>
      <c r="I154" s="188">
        <v>0</v>
      </c>
      <c r="J154" s="188">
        <v>0</v>
      </c>
      <c r="K154" s="188">
        <v>1</v>
      </c>
      <c r="L154" s="188">
        <v>0</v>
      </c>
      <c r="M154" s="188">
        <v>1</v>
      </c>
      <c r="N154" s="188">
        <v>1</v>
      </c>
      <c r="O154" s="188">
        <v>0</v>
      </c>
      <c r="P154" s="188">
        <v>1</v>
      </c>
      <c r="Q154" s="188">
        <v>1</v>
      </c>
      <c r="R154" s="188">
        <v>0</v>
      </c>
      <c r="S154" s="188">
        <v>1</v>
      </c>
      <c r="T154" s="188">
        <v>0</v>
      </c>
      <c r="U154" s="188">
        <v>0</v>
      </c>
      <c r="V154" s="188">
        <v>0</v>
      </c>
      <c r="W154" s="188">
        <v>0</v>
      </c>
      <c r="X154" s="188">
        <v>1</v>
      </c>
      <c r="Y154" s="188">
        <v>0</v>
      </c>
      <c r="Z154" s="188">
        <v>1</v>
      </c>
      <c r="AA154" s="188">
        <v>0</v>
      </c>
      <c r="AB154" s="188">
        <v>0</v>
      </c>
      <c r="AC154" s="188">
        <v>0</v>
      </c>
      <c r="AD154" s="188">
        <v>1</v>
      </c>
      <c r="AE154" s="188">
        <v>1</v>
      </c>
      <c r="AF154" s="191">
        <v>0.1</v>
      </c>
      <c r="AG154" s="183">
        <v>11</v>
      </c>
      <c r="AH154" s="4"/>
      <c r="AI154" s="5" t="s">
        <v>1655</v>
      </c>
      <c r="AL154" s="5" t="s">
        <v>1668</v>
      </c>
      <c r="AO154" s="5" t="s">
        <v>1668</v>
      </c>
    </row>
    <row r="155" spans="1:41" ht="15" customHeight="1" x14ac:dyDescent="0.2">
      <c r="A155" s="141" t="s">
        <v>313</v>
      </c>
      <c r="B155" s="187" t="s">
        <v>1759</v>
      </c>
      <c r="C155" s="141">
        <v>2015</v>
      </c>
      <c r="D155" s="188">
        <v>21</v>
      </c>
      <c r="E155" s="135">
        <v>542</v>
      </c>
      <c r="F155" s="192" t="s">
        <v>1312</v>
      </c>
      <c r="G155" s="188">
        <v>1</v>
      </c>
      <c r="H155" s="188">
        <v>1</v>
      </c>
      <c r="I155" s="188">
        <v>1</v>
      </c>
      <c r="J155" s="188">
        <v>1</v>
      </c>
      <c r="K155" s="188">
        <v>1</v>
      </c>
      <c r="L155" s="188">
        <v>1</v>
      </c>
      <c r="M155" s="188">
        <v>1</v>
      </c>
      <c r="N155" s="188">
        <v>1</v>
      </c>
      <c r="O155" s="188">
        <v>1</v>
      </c>
      <c r="P155" s="188">
        <v>1</v>
      </c>
      <c r="Q155" s="188">
        <v>1</v>
      </c>
      <c r="R155" s="188">
        <v>1</v>
      </c>
      <c r="S155" s="188">
        <v>1</v>
      </c>
      <c r="T155" s="188">
        <v>1</v>
      </c>
      <c r="U155" s="188">
        <v>1</v>
      </c>
      <c r="V155" s="188">
        <v>1</v>
      </c>
      <c r="W155" s="188">
        <v>1</v>
      </c>
      <c r="X155" s="188">
        <v>1</v>
      </c>
      <c r="Y155" s="188">
        <v>1</v>
      </c>
      <c r="Z155" s="188">
        <v>1</v>
      </c>
      <c r="AA155" s="188">
        <v>1</v>
      </c>
      <c r="AB155" s="188">
        <v>1</v>
      </c>
      <c r="AC155" s="188">
        <v>1</v>
      </c>
      <c r="AD155" s="188">
        <v>1</v>
      </c>
      <c r="AE155" s="188">
        <v>1</v>
      </c>
      <c r="AF155" s="191">
        <v>35</v>
      </c>
      <c r="AG155" s="183">
        <v>25</v>
      </c>
      <c r="AH155" s="4"/>
    </row>
    <row r="156" spans="1:41" ht="15" customHeight="1" x14ac:dyDescent="0.2">
      <c r="A156" s="141" t="s">
        <v>313</v>
      </c>
      <c r="B156" s="187" t="s">
        <v>1759</v>
      </c>
      <c r="C156" s="141">
        <v>2015</v>
      </c>
      <c r="D156" s="188">
        <v>21</v>
      </c>
      <c r="E156" s="135">
        <v>546</v>
      </c>
      <c r="F156" s="189" t="s">
        <v>1310</v>
      </c>
      <c r="G156" s="188">
        <v>1</v>
      </c>
      <c r="H156" s="188">
        <v>1</v>
      </c>
      <c r="I156" s="188">
        <v>1</v>
      </c>
      <c r="J156" s="188">
        <v>1</v>
      </c>
      <c r="K156" s="188">
        <v>1</v>
      </c>
      <c r="L156" s="188">
        <v>1</v>
      </c>
      <c r="M156" s="188">
        <v>1</v>
      </c>
      <c r="N156" s="188">
        <v>1</v>
      </c>
      <c r="O156" s="188">
        <v>1</v>
      </c>
      <c r="P156" s="188">
        <v>1</v>
      </c>
      <c r="Q156" s="188">
        <v>1</v>
      </c>
      <c r="R156" s="188">
        <v>1</v>
      </c>
      <c r="S156" s="188">
        <v>1</v>
      </c>
      <c r="T156" s="188">
        <v>1</v>
      </c>
      <c r="U156" s="188">
        <v>1</v>
      </c>
      <c r="V156" s="188">
        <v>1</v>
      </c>
      <c r="W156" s="188">
        <v>1</v>
      </c>
      <c r="X156" s="188">
        <v>1</v>
      </c>
      <c r="Y156" s="188">
        <v>1</v>
      </c>
      <c r="Z156" s="188">
        <v>1</v>
      </c>
      <c r="AA156" s="188">
        <v>1</v>
      </c>
      <c r="AB156" s="188">
        <v>1</v>
      </c>
      <c r="AC156" s="188">
        <v>1</v>
      </c>
      <c r="AD156" s="188">
        <v>1</v>
      </c>
      <c r="AE156" s="188">
        <v>1</v>
      </c>
      <c r="AF156" s="191">
        <v>7</v>
      </c>
      <c r="AG156" s="183">
        <v>25</v>
      </c>
      <c r="AH156" s="4"/>
    </row>
    <row r="157" spans="1:41" ht="15" customHeight="1" x14ac:dyDescent="0.2">
      <c r="A157" s="141" t="s">
        <v>313</v>
      </c>
      <c r="B157" s="187" t="s">
        <v>1759</v>
      </c>
      <c r="C157" s="141">
        <v>2015</v>
      </c>
      <c r="D157" s="188">
        <v>21</v>
      </c>
      <c r="E157" s="135">
        <v>876</v>
      </c>
      <c r="F157" s="192" t="s">
        <v>1163</v>
      </c>
      <c r="G157" s="188">
        <v>1</v>
      </c>
      <c r="H157" s="188">
        <v>1</v>
      </c>
      <c r="I157" s="188">
        <v>1</v>
      </c>
      <c r="J157" s="188">
        <v>1</v>
      </c>
      <c r="K157" s="188">
        <v>1</v>
      </c>
      <c r="L157" s="188">
        <v>1</v>
      </c>
      <c r="M157" s="188">
        <v>1</v>
      </c>
      <c r="N157" s="188">
        <v>1</v>
      </c>
      <c r="O157" s="188">
        <v>1</v>
      </c>
      <c r="P157" s="188">
        <v>1</v>
      </c>
      <c r="Q157" s="188">
        <v>1</v>
      </c>
      <c r="R157" s="188">
        <v>1</v>
      </c>
      <c r="S157" s="188">
        <v>1</v>
      </c>
      <c r="T157" s="188">
        <v>1</v>
      </c>
      <c r="U157" s="188">
        <v>1</v>
      </c>
      <c r="V157" s="188">
        <v>1</v>
      </c>
      <c r="W157" s="188">
        <v>1</v>
      </c>
      <c r="X157" s="188">
        <v>1</v>
      </c>
      <c r="Y157" s="188">
        <v>1</v>
      </c>
      <c r="Z157" s="188">
        <v>1</v>
      </c>
      <c r="AA157" s="188">
        <v>1</v>
      </c>
      <c r="AB157" s="188">
        <v>1</v>
      </c>
      <c r="AC157" s="188">
        <v>1</v>
      </c>
      <c r="AD157" s="188">
        <v>1</v>
      </c>
      <c r="AE157" s="188">
        <v>1</v>
      </c>
      <c r="AF157" s="191">
        <v>1</v>
      </c>
      <c r="AG157" s="183">
        <v>25</v>
      </c>
      <c r="AH157" s="4"/>
    </row>
    <row r="158" spans="1:41" ht="15" customHeight="1" x14ac:dyDescent="0.2">
      <c r="A158" s="141" t="s">
        <v>313</v>
      </c>
      <c r="B158" s="187" t="s">
        <v>1759</v>
      </c>
      <c r="C158" s="141">
        <v>2015</v>
      </c>
      <c r="D158" s="188">
        <v>21</v>
      </c>
      <c r="E158" s="135">
        <v>901</v>
      </c>
      <c r="F158" s="192" t="s">
        <v>1149</v>
      </c>
      <c r="G158" s="188">
        <v>1</v>
      </c>
      <c r="H158" s="188">
        <v>1</v>
      </c>
      <c r="I158" s="188">
        <v>1</v>
      </c>
      <c r="J158" s="188">
        <v>1</v>
      </c>
      <c r="K158" s="188">
        <v>1</v>
      </c>
      <c r="L158" s="188">
        <v>1</v>
      </c>
      <c r="M158" s="188">
        <v>1</v>
      </c>
      <c r="N158" s="188">
        <v>1</v>
      </c>
      <c r="O158" s="188">
        <v>1</v>
      </c>
      <c r="P158" s="188">
        <v>1</v>
      </c>
      <c r="Q158" s="188">
        <v>1</v>
      </c>
      <c r="R158" s="188">
        <v>1</v>
      </c>
      <c r="S158" s="188">
        <v>1</v>
      </c>
      <c r="T158" s="188">
        <v>1</v>
      </c>
      <c r="U158" s="188">
        <v>1</v>
      </c>
      <c r="V158" s="188">
        <v>1</v>
      </c>
      <c r="W158" s="188">
        <v>1</v>
      </c>
      <c r="X158" s="188">
        <v>1</v>
      </c>
      <c r="Y158" s="188">
        <v>1</v>
      </c>
      <c r="Z158" s="188">
        <v>1</v>
      </c>
      <c r="AA158" s="188">
        <v>1</v>
      </c>
      <c r="AB158" s="188">
        <v>1</v>
      </c>
      <c r="AC158" s="188">
        <v>1</v>
      </c>
      <c r="AD158" s="188">
        <v>1</v>
      </c>
      <c r="AE158" s="188">
        <v>1</v>
      </c>
      <c r="AF158" s="191">
        <v>60</v>
      </c>
      <c r="AG158" s="183">
        <v>25</v>
      </c>
    </row>
    <row r="159" spans="1:41" ht="15" customHeight="1" x14ac:dyDescent="0.2">
      <c r="A159" s="141" t="s">
        <v>313</v>
      </c>
      <c r="B159" s="187" t="s">
        <v>1759</v>
      </c>
      <c r="C159" s="141">
        <v>2015</v>
      </c>
      <c r="D159" s="188">
        <v>21</v>
      </c>
      <c r="E159" s="135">
        <v>2620</v>
      </c>
      <c r="F159" s="192" t="s">
        <v>605</v>
      </c>
      <c r="G159" s="188">
        <v>1</v>
      </c>
      <c r="H159" s="188">
        <v>0</v>
      </c>
      <c r="I159" s="188">
        <v>0</v>
      </c>
      <c r="J159" s="188">
        <v>0</v>
      </c>
      <c r="K159" s="188">
        <v>0</v>
      </c>
      <c r="L159" s="188">
        <v>0</v>
      </c>
      <c r="M159" s="188">
        <v>0</v>
      </c>
      <c r="N159" s="188">
        <v>0</v>
      </c>
      <c r="O159" s="188">
        <v>0</v>
      </c>
      <c r="P159" s="188">
        <v>1</v>
      </c>
      <c r="Q159" s="188">
        <v>0</v>
      </c>
      <c r="R159" s="188">
        <v>0</v>
      </c>
      <c r="S159" s="188">
        <v>0</v>
      </c>
      <c r="T159" s="188">
        <v>0</v>
      </c>
      <c r="U159" s="188">
        <v>0</v>
      </c>
      <c r="V159" s="188">
        <v>0</v>
      </c>
      <c r="W159" s="188">
        <v>0</v>
      </c>
      <c r="X159" s="188">
        <v>0</v>
      </c>
      <c r="Y159" s="188">
        <v>0</v>
      </c>
      <c r="Z159" s="188">
        <v>0</v>
      </c>
      <c r="AA159" s="188">
        <v>0</v>
      </c>
      <c r="AB159" s="188">
        <v>0</v>
      </c>
      <c r="AC159" s="188">
        <v>0</v>
      </c>
      <c r="AD159" s="188">
        <v>0</v>
      </c>
      <c r="AE159" s="188">
        <v>0</v>
      </c>
      <c r="AF159" s="191">
        <v>0.1</v>
      </c>
      <c r="AG159" s="183">
        <v>2</v>
      </c>
      <c r="AH159" s="4"/>
      <c r="AI159" s="5" t="s">
        <v>1655</v>
      </c>
      <c r="AL159" s="5" t="s">
        <v>1668</v>
      </c>
      <c r="AO159" s="5" t="s">
        <v>1668</v>
      </c>
    </row>
    <row r="160" spans="1:41" ht="15" customHeight="1" x14ac:dyDescent="0.2">
      <c r="A160" s="141" t="s">
        <v>313</v>
      </c>
      <c r="B160" s="187" t="s">
        <v>1759</v>
      </c>
      <c r="C160" s="141">
        <v>2015</v>
      </c>
      <c r="D160" s="188">
        <v>21</v>
      </c>
      <c r="E160" s="135">
        <v>1971</v>
      </c>
      <c r="F160" s="192" t="s">
        <v>769</v>
      </c>
      <c r="G160" s="188">
        <v>1</v>
      </c>
      <c r="H160" s="188">
        <v>1</v>
      </c>
      <c r="I160" s="188">
        <v>1</v>
      </c>
      <c r="J160" s="188">
        <v>1</v>
      </c>
      <c r="K160" s="188">
        <v>1</v>
      </c>
      <c r="L160" s="188">
        <v>1</v>
      </c>
      <c r="M160" s="188">
        <v>1</v>
      </c>
      <c r="N160" s="188">
        <v>1</v>
      </c>
      <c r="O160" s="188">
        <v>1</v>
      </c>
      <c r="P160" s="188">
        <v>1</v>
      </c>
      <c r="Q160" s="188">
        <v>1</v>
      </c>
      <c r="R160" s="188">
        <v>1</v>
      </c>
      <c r="S160" s="188">
        <v>1</v>
      </c>
      <c r="T160" s="188">
        <v>1</v>
      </c>
      <c r="U160" s="188">
        <v>1</v>
      </c>
      <c r="V160" s="188">
        <v>1</v>
      </c>
      <c r="W160" s="188">
        <v>1</v>
      </c>
      <c r="X160" s="188">
        <v>1</v>
      </c>
      <c r="Y160" s="188">
        <v>1</v>
      </c>
      <c r="Z160" s="188">
        <v>1</v>
      </c>
      <c r="AA160" s="188">
        <v>1</v>
      </c>
      <c r="AB160" s="188">
        <v>1</v>
      </c>
      <c r="AC160" s="188">
        <v>1</v>
      </c>
      <c r="AD160" s="188">
        <v>1</v>
      </c>
      <c r="AE160" s="188">
        <v>1</v>
      </c>
      <c r="AF160" s="191">
        <v>80</v>
      </c>
      <c r="AG160" s="183">
        <v>25</v>
      </c>
      <c r="AH160" s="4" t="s">
        <v>1788</v>
      </c>
      <c r="AI160" s="5" t="s">
        <v>1468</v>
      </c>
      <c r="AL160" s="5" t="s">
        <v>1671</v>
      </c>
      <c r="AO160" s="5" t="s">
        <v>1676</v>
      </c>
    </row>
    <row r="161" spans="1:41" ht="15" customHeight="1" x14ac:dyDescent="0.2">
      <c r="A161" s="141" t="s">
        <v>313</v>
      </c>
      <c r="B161" s="187" t="s">
        <v>1759</v>
      </c>
      <c r="C161" s="141">
        <v>2015</v>
      </c>
      <c r="D161" s="188">
        <v>21</v>
      </c>
      <c r="E161" s="135">
        <v>1972</v>
      </c>
      <c r="F161" s="192" t="s">
        <v>768</v>
      </c>
      <c r="G161" s="188">
        <v>1</v>
      </c>
      <c r="H161" s="188">
        <v>1</v>
      </c>
      <c r="I161" s="188">
        <v>1</v>
      </c>
      <c r="J161" s="188">
        <v>1</v>
      </c>
      <c r="K161" s="188">
        <v>1</v>
      </c>
      <c r="L161" s="188">
        <v>1</v>
      </c>
      <c r="M161" s="188">
        <v>1</v>
      </c>
      <c r="N161" s="188">
        <v>1</v>
      </c>
      <c r="O161" s="188">
        <v>1</v>
      </c>
      <c r="P161" s="188">
        <v>1</v>
      </c>
      <c r="Q161" s="188">
        <v>1</v>
      </c>
      <c r="R161" s="188">
        <v>1</v>
      </c>
      <c r="S161" s="188">
        <v>1</v>
      </c>
      <c r="T161" s="188">
        <v>1</v>
      </c>
      <c r="U161" s="188">
        <v>1</v>
      </c>
      <c r="V161" s="188">
        <v>1</v>
      </c>
      <c r="W161" s="188">
        <v>1</v>
      </c>
      <c r="X161" s="188">
        <v>1</v>
      </c>
      <c r="Y161" s="188">
        <v>1</v>
      </c>
      <c r="Z161" s="188">
        <v>1</v>
      </c>
      <c r="AA161" s="188">
        <v>1</v>
      </c>
      <c r="AB161" s="188">
        <v>1</v>
      </c>
      <c r="AC161" s="188">
        <v>1</v>
      </c>
      <c r="AD161" s="188">
        <v>1</v>
      </c>
      <c r="AE161" s="188">
        <v>1</v>
      </c>
      <c r="AF161" s="191">
        <v>80</v>
      </c>
      <c r="AG161" s="183">
        <v>25</v>
      </c>
      <c r="AH161" s="4" t="s">
        <v>1787</v>
      </c>
      <c r="AI161" s="5" t="s">
        <v>1468</v>
      </c>
      <c r="AL161" s="5" t="s">
        <v>1671</v>
      </c>
      <c r="AO161" s="5" t="s">
        <v>1676</v>
      </c>
    </row>
    <row r="162" spans="1:41" ht="15" customHeight="1" x14ac:dyDescent="0.2">
      <c r="A162" s="141" t="s">
        <v>313</v>
      </c>
      <c r="B162" s="187" t="s">
        <v>1759</v>
      </c>
      <c r="C162" s="141">
        <v>2015</v>
      </c>
      <c r="D162" s="188">
        <v>24</v>
      </c>
      <c r="E162" s="135">
        <v>2701</v>
      </c>
      <c r="F162" s="192" t="s">
        <v>564</v>
      </c>
      <c r="G162" s="188">
        <v>1</v>
      </c>
      <c r="H162" s="188">
        <v>1</v>
      </c>
      <c r="I162" s="188">
        <v>1</v>
      </c>
      <c r="J162" s="188">
        <v>1</v>
      </c>
      <c r="K162" s="188">
        <v>1</v>
      </c>
      <c r="L162" s="188">
        <v>1</v>
      </c>
      <c r="M162" s="188">
        <v>1</v>
      </c>
      <c r="N162" s="188">
        <v>1</v>
      </c>
      <c r="O162" s="188">
        <v>1</v>
      </c>
      <c r="P162" s="188">
        <v>1</v>
      </c>
      <c r="Q162" s="188">
        <v>1</v>
      </c>
      <c r="R162" s="188">
        <v>1</v>
      </c>
      <c r="S162" s="188">
        <v>1</v>
      </c>
      <c r="T162" s="188">
        <v>1</v>
      </c>
      <c r="U162" s="188">
        <v>1</v>
      </c>
      <c r="V162" s="188">
        <v>1</v>
      </c>
      <c r="W162" s="188">
        <v>1</v>
      </c>
      <c r="X162" s="188">
        <v>1</v>
      </c>
      <c r="Y162" s="188">
        <v>1</v>
      </c>
      <c r="Z162" s="188">
        <v>1</v>
      </c>
      <c r="AA162" s="188">
        <v>1</v>
      </c>
      <c r="AB162" s="188">
        <v>1</v>
      </c>
      <c r="AC162" s="188">
        <v>1</v>
      </c>
      <c r="AD162" s="188">
        <v>1</v>
      </c>
      <c r="AE162" s="188">
        <v>1</v>
      </c>
      <c r="AF162" s="191">
        <v>20</v>
      </c>
      <c r="AG162" s="183">
        <v>25</v>
      </c>
      <c r="AH162" s="4"/>
    </row>
    <row r="163" spans="1:41" ht="15" customHeight="1" x14ac:dyDescent="0.2">
      <c r="A163" s="141" t="s">
        <v>313</v>
      </c>
      <c r="B163" s="187" t="s">
        <v>1759</v>
      </c>
      <c r="C163" s="141">
        <v>2015</v>
      </c>
      <c r="D163" s="188">
        <v>24</v>
      </c>
      <c r="E163" s="135">
        <v>2607</v>
      </c>
      <c r="F163" s="189" t="s">
        <v>616</v>
      </c>
      <c r="G163" s="188">
        <v>0</v>
      </c>
      <c r="H163" s="188">
        <v>0</v>
      </c>
      <c r="I163" s="188">
        <v>1</v>
      </c>
      <c r="J163" s="188">
        <v>0</v>
      </c>
      <c r="K163" s="188">
        <v>0</v>
      </c>
      <c r="L163" s="188">
        <v>0</v>
      </c>
      <c r="M163" s="188">
        <v>0</v>
      </c>
      <c r="N163" s="188">
        <v>0</v>
      </c>
      <c r="O163" s="188">
        <v>0</v>
      </c>
      <c r="P163" s="188">
        <v>0</v>
      </c>
      <c r="Q163" s="188">
        <v>0</v>
      </c>
      <c r="R163" s="188">
        <v>0</v>
      </c>
      <c r="S163" s="188">
        <v>0</v>
      </c>
      <c r="T163" s="188">
        <v>0</v>
      </c>
      <c r="U163" s="188">
        <v>0</v>
      </c>
      <c r="V163" s="188">
        <v>0</v>
      </c>
      <c r="W163" s="188">
        <v>0</v>
      </c>
      <c r="X163" s="188">
        <v>0</v>
      </c>
      <c r="Y163" s="188">
        <v>0</v>
      </c>
      <c r="Z163" s="188">
        <v>0</v>
      </c>
      <c r="AA163" s="188">
        <v>0</v>
      </c>
      <c r="AB163" s="188">
        <v>0</v>
      </c>
      <c r="AC163" s="188">
        <v>0</v>
      </c>
      <c r="AD163" s="188">
        <v>0</v>
      </c>
      <c r="AE163" s="188">
        <v>0</v>
      </c>
      <c r="AF163" s="191">
        <v>1</v>
      </c>
      <c r="AG163" s="183">
        <v>1</v>
      </c>
      <c r="AH163" s="4"/>
    </row>
    <row r="164" spans="1:41" ht="15" customHeight="1" x14ac:dyDescent="0.2">
      <c r="A164" s="141" t="s">
        <v>313</v>
      </c>
      <c r="B164" s="187" t="s">
        <v>1759</v>
      </c>
      <c r="C164" s="141">
        <v>2015</v>
      </c>
      <c r="D164" s="188">
        <v>24</v>
      </c>
      <c r="E164" s="135">
        <v>1519</v>
      </c>
      <c r="F164" s="192" t="s">
        <v>898</v>
      </c>
      <c r="G164" s="188">
        <v>0</v>
      </c>
      <c r="H164" s="188">
        <v>0</v>
      </c>
      <c r="I164" s="188">
        <v>0</v>
      </c>
      <c r="J164" s="188">
        <v>1</v>
      </c>
      <c r="K164" s="188">
        <v>1</v>
      </c>
      <c r="L164" s="188">
        <v>0</v>
      </c>
      <c r="M164" s="188">
        <v>0</v>
      </c>
      <c r="N164" s="188">
        <v>1</v>
      </c>
      <c r="O164" s="188">
        <v>1</v>
      </c>
      <c r="P164" s="188">
        <v>0</v>
      </c>
      <c r="Q164" s="188">
        <v>0</v>
      </c>
      <c r="R164" s="188">
        <v>0</v>
      </c>
      <c r="S164" s="188">
        <v>0</v>
      </c>
      <c r="T164" s="188">
        <v>0</v>
      </c>
      <c r="U164" s="188">
        <v>0</v>
      </c>
      <c r="V164" s="188">
        <v>0</v>
      </c>
      <c r="W164" s="188">
        <v>0</v>
      </c>
      <c r="X164" s="188">
        <v>0</v>
      </c>
      <c r="Y164" s="188">
        <v>0</v>
      </c>
      <c r="Z164" s="188">
        <v>1</v>
      </c>
      <c r="AA164" s="188">
        <v>0</v>
      </c>
      <c r="AB164" s="188">
        <v>0</v>
      </c>
      <c r="AC164" s="188">
        <v>0</v>
      </c>
      <c r="AD164" s="188">
        <v>0</v>
      </c>
      <c r="AE164" s="188">
        <v>1</v>
      </c>
      <c r="AF164" s="191">
        <v>1</v>
      </c>
      <c r="AG164" s="183">
        <v>6</v>
      </c>
    </row>
    <row r="165" spans="1:41" ht="15" customHeight="1" x14ac:dyDescent="0.2">
      <c r="A165" s="141" t="s">
        <v>313</v>
      </c>
      <c r="B165" s="187" t="s">
        <v>1759</v>
      </c>
      <c r="C165" s="141">
        <v>2015</v>
      </c>
      <c r="D165" s="188">
        <v>24</v>
      </c>
      <c r="E165" s="135">
        <v>344</v>
      </c>
      <c r="F165" s="192" t="s">
        <v>94</v>
      </c>
      <c r="G165" s="188">
        <v>0</v>
      </c>
      <c r="H165" s="188">
        <v>1</v>
      </c>
      <c r="I165" s="188">
        <v>1</v>
      </c>
      <c r="J165" s="188">
        <v>0</v>
      </c>
      <c r="K165" s="188">
        <v>1</v>
      </c>
      <c r="L165" s="188">
        <v>1</v>
      </c>
      <c r="M165" s="188">
        <v>1</v>
      </c>
      <c r="N165" s="188">
        <v>1</v>
      </c>
      <c r="O165" s="188">
        <v>1</v>
      </c>
      <c r="P165" s="188">
        <v>1</v>
      </c>
      <c r="Q165" s="188">
        <v>1</v>
      </c>
      <c r="R165" s="188">
        <v>1</v>
      </c>
      <c r="S165" s="188">
        <v>1</v>
      </c>
      <c r="T165" s="188">
        <v>1</v>
      </c>
      <c r="U165" s="188">
        <v>1</v>
      </c>
      <c r="V165" s="188">
        <v>1</v>
      </c>
      <c r="W165" s="188">
        <v>1</v>
      </c>
      <c r="X165" s="188">
        <v>1</v>
      </c>
      <c r="Y165" s="188">
        <v>1</v>
      </c>
      <c r="Z165" s="188">
        <v>0</v>
      </c>
      <c r="AA165" s="188">
        <v>1</v>
      </c>
      <c r="AB165" s="188">
        <v>1</v>
      </c>
      <c r="AC165" s="188">
        <v>1</v>
      </c>
      <c r="AD165" s="188">
        <v>1</v>
      </c>
      <c r="AE165" s="188">
        <v>1</v>
      </c>
      <c r="AF165" s="191">
        <v>10</v>
      </c>
      <c r="AG165" s="183">
        <v>22</v>
      </c>
      <c r="AH165" s="4"/>
    </row>
    <row r="166" spans="1:41" ht="15" customHeight="1" x14ac:dyDescent="0.2">
      <c r="A166" s="141" t="s">
        <v>313</v>
      </c>
      <c r="B166" s="187" t="s">
        <v>1759</v>
      </c>
      <c r="C166" s="141">
        <v>2015</v>
      </c>
      <c r="D166" s="188">
        <v>24</v>
      </c>
      <c r="E166" s="135">
        <v>384</v>
      </c>
      <c r="F166" s="192" t="s">
        <v>72</v>
      </c>
      <c r="G166" s="188">
        <v>0</v>
      </c>
      <c r="H166" s="188">
        <v>0</v>
      </c>
      <c r="I166" s="188">
        <v>0</v>
      </c>
      <c r="J166" s="188">
        <v>0</v>
      </c>
      <c r="K166" s="188">
        <v>0</v>
      </c>
      <c r="L166" s="188">
        <v>0</v>
      </c>
      <c r="M166" s="188">
        <v>0</v>
      </c>
      <c r="N166" s="188">
        <v>0</v>
      </c>
      <c r="O166" s="188">
        <v>0</v>
      </c>
      <c r="P166" s="188">
        <v>0</v>
      </c>
      <c r="Q166" s="188">
        <v>0</v>
      </c>
      <c r="R166" s="188">
        <v>0</v>
      </c>
      <c r="S166" s="188">
        <v>0</v>
      </c>
      <c r="T166" s="188">
        <v>1</v>
      </c>
      <c r="U166" s="188">
        <v>0</v>
      </c>
      <c r="V166" s="188">
        <v>0</v>
      </c>
      <c r="W166" s="188">
        <v>0</v>
      </c>
      <c r="X166" s="188">
        <v>0</v>
      </c>
      <c r="Y166" s="188">
        <v>0</v>
      </c>
      <c r="Z166" s="188">
        <v>0</v>
      </c>
      <c r="AA166" s="188">
        <v>0</v>
      </c>
      <c r="AB166" s="188">
        <v>0</v>
      </c>
      <c r="AC166" s="188">
        <v>0</v>
      </c>
      <c r="AD166" s="188">
        <v>0</v>
      </c>
      <c r="AE166" s="188">
        <v>0</v>
      </c>
      <c r="AF166" s="191">
        <v>0.1</v>
      </c>
      <c r="AG166" s="183">
        <v>1</v>
      </c>
      <c r="AH166" s="4"/>
    </row>
    <row r="167" spans="1:41" ht="15" customHeight="1" x14ac:dyDescent="0.2">
      <c r="A167" s="141" t="s">
        <v>313</v>
      </c>
      <c r="B167" s="187" t="s">
        <v>1759</v>
      </c>
      <c r="C167" s="141">
        <v>2015</v>
      </c>
      <c r="D167" s="188">
        <v>24</v>
      </c>
      <c r="E167" s="135">
        <v>478</v>
      </c>
      <c r="F167" s="192" t="s">
        <v>24</v>
      </c>
      <c r="G167" s="188">
        <v>1</v>
      </c>
      <c r="H167" s="188">
        <v>1</v>
      </c>
      <c r="I167" s="188">
        <v>1</v>
      </c>
      <c r="J167" s="188">
        <v>1</v>
      </c>
      <c r="K167" s="188">
        <v>1</v>
      </c>
      <c r="L167" s="188">
        <v>1</v>
      </c>
      <c r="M167" s="188">
        <v>1</v>
      </c>
      <c r="N167" s="188">
        <v>1</v>
      </c>
      <c r="O167" s="188">
        <v>1</v>
      </c>
      <c r="P167" s="188">
        <v>1</v>
      </c>
      <c r="Q167" s="188">
        <v>1</v>
      </c>
      <c r="R167" s="188">
        <v>1</v>
      </c>
      <c r="S167" s="188">
        <v>1</v>
      </c>
      <c r="T167" s="188">
        <v>1</v>
      </c>
      <c r="U167" s="188">
        <v>1</v>
      </c>
      <c r="V167" s="188">
        <v>1</v>
      </c>
      <c r="W167" s="188">
        <v>1</v>
      </c>
      <c r="X167" s="188">
        <v>1</v>
      </c>
      <c r="Y167" s="188">
        <v>1</v>
      </c>
      <c r="Z167" s="188">
        <v>1</v>
      </c>
      <c r="AA167" s="188">
        <v>1</v>
      </c>
      <c r="AB167" s="188">
        <v>1</v>
      </c>
      <c r="AC167" s="188">
        <v>1</v>
      </c>
      <c r="AD167" s="188">
        <v>1</v>
      </c>
      <c r="AE167" s="188">
        <v>1</v>
      </c>
      <c r="AF167" s="191">
        <v>80</v>
      </c>
      <c r="AG167" s="183">
        <v>25</v>
      </c>
      <c r="AH167" s="4"/>
    </row>
    <row r="168" spans="1:41" ht="15" customHeight="1" x14ac:dyDescent="0.2">
      <c r="A168" s="141" t="s">
        <v>313</v>
      </c>
      <c r="B168" s="187" t="s">
        <v>1759</v>
      </c>
      <c r="C168" s="141">
        <v>2015</v>
      </c>
      <c r="D168" s="188">
        <v>24</v>
      </c>
      <c r="E168" s="135">
        <v>541</v>
      </c>
      <c r="F168" s="192" t="s">
        <v>1313</v>
      </c>
      <c r="G168" s="188">
        <v>1</v>
      </c>
      <c r="H168" s="188">
        <v>1</v>
      </c>
      <c r="I168" s="188">
        <v>1</v>
      </c>
      <c r="J168" s="188">
        <v>1</v>
      </c>
      <c r="K168" s="188">
        <v>1</v>
      </c>
      <c r="L168" s="188">
        <v>1</v>
      </c>
      <c r="M168" s="188">
        <v>1</v>
      </c>
      <c r="N168" s="188">
        <v>1</v>
      </c>
      <c r="O168" s="188">
        <v>0</v>
      </c>
      <c r="P168" s="188">
        <v>0</v>
      </c>
      <c r="Q168" s="188">
        <v>1</v>
      </c>
      <c r="R168" s="188">
        <v>1</v>
      </c>
      <c r="S168" s="188">
        <v>1</v>
      </c>
      <c r="T168" s="188">
        <v>0</v>
      </c>
      <c r="U168" s="188">
        <v>1</v>
      </c>
      <c r="V168" s="188">
        <v>1</v>
      </c>
      <c r="W168" s="188">
        <v>1</v>
      </c>
      <c r="X168" s="188">
        <v>1</v>
      </c>
      <c r="Y168" s="188">
        <v>1</v>
      </c>
      <c r="Z168" s="188">
        <v>1</v>
      </c>
      <c r="AA168" s="188">
        <v>1</v>
      </c>
      <c r="AB168" s="188">
        <v>1</v>
      </c>
      <c r="AC168" s="188">
        <v>1</v>
      </c>
      <c r="AD168" s="188">
        <v>1</v>
      </c>
      <c r="AE168" s="188">
        <v>1</v>
      </c>
      <c r="AF168" s="191">
        <v>40</v>
      </c>
      <c r="AG168" s="183">
        <v>22</v>
      </c>
      <c r="AH168" s="4"/>
    </row>
    <row r="169" spans="1:41" ht="15" customHeight="1" x14ac:dyDescent="0.2">
      <c r="A169" s="141" t="s">
        <v>313</v>
      </c>
      <c r="B169" s="187" t="s">
        <v>1759</v>
      </c>
      <c r="C169" s="141">
        <v>2015</v>
      </c>
      <c r="D169" s="188">
        <v>24</v>
      </c>
      <c r="E169" s="135">
        <v>610</v>
      </c>
      <c r="F169" s="193" t="s">
        <v>1281</v>
      </c>
      <c r="G169" s="188">
        <v>1</v>
      </c>
      <c r="H169" s="188">
        <v>1</v>
      </c>
      <c r="I169" s="188">
        <v>1</v>
      </c>
      <c r="J169" s="188">
        <v>1</v>
      </c>
      <c r="K169" s="188">
        <v>1</v>
      </c>
      <c r="L169" s="188">
        <v>1</v>
      </c>
      <c r="M169" s="188">
        <v>1</v>
      </c>
      <c r="N169" s="188">
        <v>1</v>
      </c>
      <c r="O169" s="188">
        <v>1</v>
      </c>
      <c r="P169" s="188">
        <v>1</v>
      </c>
      <c r="Q169" s="188">
        <v>1</v>
      </c>
      <c r="R169" s="188">
        <v>0</v>
      </c>
      <c r="S169" s="188">
        <v>1</v>
      </c>
      <c r="T169" s="188">
        <v>1</v>
      </c>
      <c r="U169" s="188">
        <v>1</v>
      </c>
      <c r="V169" s="188">
        <v>1</v>
      </c>
      <c r="W169" s="188">
        <v>1</v>
      </c>
      <c r="X169" s="188">
        <v>1</v>
      </c>
      <c r="Y169" s="188">
        <v>1</v>
      </c>
      <c r="Z169" s="188">
        <v>1</v>
      </c>
      <c r="AA169" s="188">
        <v>1</v>
      </c>
      <c r="AB169" s="188">
        <v>1</v>
      </c>
      <c r="AC169" s="188">
        <v>1</v>
      </c>
      <c r="AD169" s="188">
        <v>1</v>
      </c>
      <c r="AE169" s="188">
        <v>1</v>
      </c>
      <c r="AF169" s="191">
        <v>5</v>
      </c>
      <c r="AG169" s="183">
        <v>24</v>
      </c>
    </row>
    <row r="170" spans="1:41" ht="15" customHeight="1" x14ac:dyDescent="0.2">
      <c r="A170" s="141" t="s">
        <v>313</v>
      </c>
      <c r="B170" s="187" t="s">
        <v>1759</v>
      </c>
      <c r="C170" s="141">
        <v>2015</v>
      </c>
      <c r="D170" s="188">
        <v>24</v>
      </c>
      <c r="E170" s="135">
        <v>2695</v>
      </c>
      <c r="F170" s="189" t="s">
        <v>569</v>
      </c>
      <c r="G170" s="188">
        <v>0</v>
      </c>
      <c r="H170" s="188">
        <v>1</v>
      </c>
      <c r="I170" s="188">
        <v>1</v>
      </c>
      <c r="J170" s="188">
        <v>1</v>
      </c>
      <c r="K170" s="188">
        <v>1</v>
      </c>
      <c r="L170" s="188">
        <v>1</v>
      </c>
      <c r="M170" s="188">
        <v>1</v>
      </c>
      <c r="N170" s="188">
        <v>1</v>
      </c>
      <c r="O170" s="188">
        <v>1</v>
      </c>
      <c r="P170" s="188">
        <v>1</v>
      </c>
      <c r="Q170" s="188">
        <v>1</v>
      </c>
      <c r="R170" s="188">
        <v>1</v>
      </c>
      <c r="S170" s="188">
        <v>1</v>
      </c>
      <c r="T170" s="188">
        <v>1</v>
      </c>
      <c r="U170" s="188">
        <v>1</v>
      </c>
      <c r="V170" s="188">
        <v>1</v>
      </c>
      <c r="W170" s="188">
        <v>1</v>
      </c>
      <c r="X170" s="188">
        <v>1</v>
      </c>
      <c r="Y170" s="188">
        <v>1</v>
      </c>
      <c r="Z170" s="188">
        <v>0</v>
      </c>
      <c r="AA170" s="188">
        <v>1</v>
      </c>
      <c r="AB170" s="188">
        <v>1</v>
      </c>
      <c r="AC170" s="188">
        <v>1</v>
      </c>
      <c r="AD170" s="188">
        <v>1</v>
      </c>
      <c r="AE170" s="188">
        <v>0</v>
      </c>
      <c r="AF170" s="191">
        <v>15</v>
      </c>
      <c r="AG170" s="183">
        <v>22</v>
      </c>
      <c r="AH170" s="4"/>
    </row>
    <row r="171" spans="1:41" ht="15" customHeight="1" x14ac:dyDescent="0.2">
      <c r="A171" s="141" t="s">
        <v>313</v>
      </c>
      <c r="B171" s="187" t="s">
        <v>1759</v>
      </c>
      <c r="C171" s="141">
        <v>2015</v>
      </c>
      <c r="D171" s="188">
        <v>24</v>
      </c>
      <c r="E171" s="135">
        <v>807</v>
      </c>
      <c r="F171" s="189" t="s">
        <v>1190</v>
      </c>
      <c r="G171" s="188">
        <v>0</v>
      </c>
      <c r="H171" s="188">
        <v>0</v>
      </c>
      <c r="I171" s="188">
        <v>0</v>
      </c>
      <c r="J171" s="188">
        <v>0</v>
      </c>
      <c r="K171" s="188">
        <v>0</v>
      </c>
      <c r="L171" s="188">
        <v>0</v>
      </c>
      <c r="M171" s="188">
        <v>0</v>
      </c>
      <c r="N171" s="188">
        <v>0</v>
      </c>
      <c r="O171" s="188">
        <v>0</v>
      </c>
      <c r="P171" s="188">
        <v>0</v>
      </c>
      <c r="Q171" s="188">
        <v>0</v>
      </c>
      <c r="R171" s="188">
        <v>0</v>
      </c>
      <c r="S171" s="188">
        <v>0</v>
      </c>
      <c r="T171" s="188">
        <v>0</v>
      </c>
      <c r="U171" s="188">
        <v>0</v>
      </c>
      <c r="V171" s="188">
        <v>0</v>
      </c>
      <c r="W171" s="188">
        <v>0</v>
      </c>
      <c r="X171" s="188">
        <v>0</v>
      </c>
      <c r="Y171" s="188">
        <v>0</v>
      </c>
      <c r="Z171" s="188">
        <v>1</v>
      </c>
      <c r="AA171" s="188">
        <v>0</v>
      </c>
      <c r="AB171" s="188">
        <v>0</v>
      </c>
      <c r="AC171" s="188">
        <v>0</v>
      </c>
      <c r="AD171" s="188">
        <v>0</v>
      </c>
      <c r="AE171" s="188">
        <v>1</v>
      </c>
      <c r="AF171" s="191">
        <v>0.1</v>
      </c>
      <c r="AG171" s="183">
        <v>2</v>
      </c>
    </row>
    <row r="172" spans="1:41" ht="15" customHeight="1" x14ac:dyDescent="0.2">
      <c r="A172" s="141" t="s">
        <v>313</v>
      </c>
      <c r="B172" s="187" t="s">
        <v>1759</v>
      </c>
      <c r="C172" s="141">
        <v>2015</v>
      </c>
      <c r="D172" s="188">
        <v>24</v>
      </c>
      <c r="E172" s="135">
        <v>2626</v>
      </c>
      <c r="F172" s="192" t="s">
        <v>599</v>
      </c>
      <c r="G172" s="188">
        <v>0</v>
      </c>
      <c r="H172" s="188">
        <v>0</v>
      </c>
      <c r="I172" s="188">
        <v>0</v>
      </c>
      <c r="J172" s="188">
        <v>0</v>
      </c>
      <c r="K172" s="188">
        <v>0</v>
      </c>
      <c r="L172" s="188">
        <v>0</v>
      </c>
      <c r="M172" s="188">
        <v>0</v>
      </c>
      <c r="N172" s="188">
        <v>0</v>
      </c>
      <c r="O172" s="188">
        <v>0</v>
      </c>
      <c r="P172" s="188">
        <v>0</v>
      </c>
      <c r="Q172" s="188">
        <v>0</v>
      </c>
      <c r="R172" s="188">
        <v>0</v>
      </c>
      <c r="S172" s="188">
        <v>0</v>
      </c>
      <c r="T172" s="188">
        <v>0</v>
      </c>
      <c r="U172" s="188">
        <v>1</v>
      </c>
      <c r="V172" s="188">
        <v>0</v>
      </c>
      <c r="W172" s="188">
        <v>0</v>
      </c>
      <c r="X172" s="188">
        <v>0</v>
      </c>
      <c r="Y172" s="188">
        <v>0</v>
      </c>
      <c r="Z172" s="188">
        <v>0</v>
      </c>
      <c r="AA172" s="188">
        <v>0</v>
      </c>
      <c r="AB172" s="188">
        <v>0</v>
      </c>
      <c r="AC172" s="188">
        <v>0</v>
      </c>
      <c r="AD172" s="188">
        <v>0</v>
      </c>
      <c r="AE172" s="188">
        <v>0</v>
      </c>
      <c r="AF172" s="191">
        <v>0.1</v>
      </c>
      <c r="AG172" s="183">
        <v>1</v>
      </c>
    </row>
    <row r="173" spans="1:41" ht="15" customHeight="1" x14ac:dyDescent="0.2">
      <c r="A173" s="141" t="s">
        <v>313</v>
      </c>
      <c r="B173" s="187" t="s">
        <v>1759</v>
      </c>
      <c r="C173" s="141">
        <v>2015</v>
      </c>
      <c r="D173" s="188">
        <v>24</v>
      </c>
      <c r="E173" s="135">
        <v>1140</v>
      </c>
      <c r="F173" s="189" t="s">
        <v>1052</v>
      </c>
      <c r="G173" s="188">
        <v>0</v>
      </c>
      <c r="H173" s="188">
        <v>0</v>
      </c>
      <c r="I173" s="188">
        <v>1</v>
      </c>
      <c r="J173" s="188">
        <v>1</v>
      </c>
      <c r="K173" s="188">
        <v>1</v>
      </c>
      <c r="L173" s="188">
        <v>0</v>
      </c>
      <c r="M173" s="188">
        <v>0</v>
      </c>
      <c r="N173" s="188">
        <v>0</v>
      </c>
      <c r="O173" s="188">
        <v>1</v>
      </c>
      <c r="P173" s="188">
        <v>1</v>
      </c>
      <c r="Q173" s="188">
        <v>0</v>
      </c>
      <c r="R173" s="188">
        <v>0</v>
      </c>
      <c r="S173" s="188">
        <v>0</v>
      </c>
      <c r="T173" s="188">
        <v>1</v>
      </c>
      <c r="U173" s="188">
        <v>1</v>
      </c>
      <c r="V173" s="188">
        <v>0</v>
      </c>
      <c r="W173" s="188">
        <v>0</v>
      </c>
      <c r="X173" s="188">
        <v>0</v>
      </c>
      <c r="Y173" s="188">
        <v>1</v>
      </c>
      <c r="Z173" s="188">
        <v>0</v>
      </c>
      <c r="AA173" s="188">
        <v>0</v>
      </c>
      <c r="AB173" s="188">
        <v>1</v>
      </c>
      <c r="AC173" s="188">
        <v>0</v>
      </c>
      <c r="AD173" s="188">
        <v>0</v>
      </c>
      <c r="AE173" s="188">
        <v>0</v>
      </c>
      <c r="AF173" s="191">
        <v>1</v>
      </c>
      <c r="AG173" s="183">
        <v>9</v>
      </c>
    </row>
    <row r="174" spans="1:41" ht="15" customHeight="1" x14ac:dyDescent="0.2">
      <c r="A174" s="141" t="s">
        <v>313</v>
      </c>
      <c r="B174" s="187" t="s">
        <v>1759</v>
      </c>
      <c r="C174" s="141">
        <v>2015</v>
      </c>
      <c r="D174" s="188">
        <v>24</v>
      </c>
      <c r="E174" s="135">
        <v>2639</v>
      </c>
      <c r="F174" s="189" t="s">
        <v>590</v>
      </c>
      <c r="G174" s="188">
        <v>0</v>
      </c>
      <c r="H174" s="188">
        <v>1</v>
      </c>
      <c r="I174" s="188">
        <v>0</v>
      </c>
      <c r="J174" s="188">
        <v>0</v>
      </c>
      <c r="K174" s="188">
        <v>0</v>
      </c>
      <c r="L174" s="188">
        <v>0</v>
      </c>
      <c r="M174" s="188">
        <v>0</v>
      </c>
      <c r="N174" s="188">
        <v>0</v>
      </c>
      <c r="O174" s="188">
        <v>0</v>
      </c>
      <c r="P174" s="188">
        <v>1</v>
      </c>
      <c r="Q174" s="188">
        <v>0</v>
      </c>
      <c r="R174" s="188">
        <v>0</v>
      </c>
      <c r="S174" s="188">
        <v>0</v>
      </c>
      <c r="T174" s="188">
        <v>0</v>
      </c>
      <c r="U174" s="188">
        <v>0</v>
      </c>
      <c r="V174" s="188">
        <v>0</v>
      </c>
      <c r="W174" s="188">
        <v>0</v>
      </c>
      <c r="X174" s="188">
        <v>0</v>
      </c>
      <c r="Y174" s="188">
        <v>0</v>
      </c>
      <c r="Z174" s="188">
        <v>0</v>
      </c>
      <c r="AA174" s="188">
        <v>0</v>
      </c>
      <c r="AB174" s="188">
        <v>0</v>
      </c>
      <c r="AC174" s="188">
        <v>0</v>
      </c>
      <c r="AD174" s="188">
        <v>0</v>
      </c>
      <c r="AE174" s="188">
        <v>0</v>
      </c>
      <c r="AF174" s="191">
        <v>1</v>
      </c>
      <c r="AG174" s="183">
        <v>2</v>
      </c>
      <c r="AH174" s="4"/>
    </row>
    <row r="175" spans="1:41" ht="15" customHeight="1" x14ac:dyDescent="0.2">
      <c r="A175" s="141" t="s">
        <v>313</v>
      </c>
      <c r="B175" s="187" t="s">
        <v>1759</v>
      </c>
      <c r="C175" s="141">
        <v>2015</v>
      </c>
      <c r="D175" s="188">
        <v>26</v>
      </c>
      <c r="E175" s="135">
        <v>278</v>
      </c>
      <c r="F175" s="192" t="s">
        <v>132</v>
      </c>
      <c r="G175" s="188">
        <v>0</v>
      </c>
      <c r="H175" s="188">
        <v>0</v>
      </c>
      <c r="I175" s="188">
        <v>1</v>
      </c>
      <c r="J175" s="188">
        <v>0</v>
      </c>
      <c r="K175" s="188">
        <v>0</v>
      </c>
      <c r="L175" s="188">
        <v>0</v>
      </c>
      <c r="M175" s="188">
        <v>1</v>
      </c>
      <c r="N175" s="188">
        <v>1</v>
      </c>
      <c r="O175" s="188">
        <v>1</v>
      </c>
      <c r="P175" s="188">
        <v>0</v>
      </c>
      <c r="Q175" s="188">
        <v>1</v>
      </c>
      <c r="R175" s="188">
        <v>1</v>
      </c>
      <c r="S175" s="188">
        <v>1</v>
      </c>
      <c r="T175" s="188">
        <v>1</v>
      </c>
      <c r="U175" s="188">
        <v>0</v>
      </c>
      <c r="V175" s="188">
        <v>0</v>
      </c>
      <c r="W175" s="188">
        <v>1</v>
      </c>
      <c r="X175" s="188">
        <v>1</v>
      </c>
      <c r="Y175" s="188">
        <v>1</v>
      </c>
      <c r="Z175" s="188">
        <v>1</v>
      </c>
      <c r="AA175" s="188">
        <v>1</v>
      </c>
      <c r="AB175" s="188">
        <v>1</v>
      </c>
      <c r="AC175" s="188">
        <v>1</v>
      </c>
      <c r="AD175" s="188">
        <v>1</v>
      </c>
      <c r="AE175" s="188">
        <v>1</v>
      </c>
      <c r="AF175" s="191">
        <v>20</v>
      </c>
      <c r="AG175" s="183">
        <v>17</v>
      </c>
      <c r="AH175" s="4" t="s">
        <v>1789</v>
      </c>
      <c r="AJ175" s="5" t="s">
        <v>1665</v>
      </c>
    </row>
    <row r="176" spans="1:41" ht="15" customHeight="1" x14ac:dyDescent="0.2">
      <c r="A176" s="141" t="s">
        <v>313</v>
      </c>
      <c r="B176" s="187" t="s">
        <v>1759</v>
      </c>
      <c r="C176" s="141">
        <v>2015</v>
      </c>
      <c r="D176" s="188">
        <v>26</v>
      </c>
      <c r="E176" s="135">
        <v>1576</v>
      </c>
      <c r="F176" s="192" t="s">
        <v>882</v>
      </c>
      <c r="G176" s="188">
        <v>1</v>
      </c>
      <c r="H176" s="188">
        <v>1</v>
      </c>
      <c r="I176" s="188">
        <v>1</v>
      </c>
      <c r="J176" s="188">
        <v>0</v>
      </c>
      <c r="K176" s="188">
        <v>0</v>
      </c>
      <c r="L176" s="188">
        <v>1</v>
      </c>
      <c r="M176" s="188">
        <v>1</v>
      </c>
      <c r="N176" s="188">
        <v>1</v>
      </c>
      <c r="O176" s="188">
        <v>1</v>
      </c>
      <c r="P176" s="188">
        <v>0</v>
      </c>
      <c r="Q176" s="188">
        <v>0</v>
      </c>
      <c r="R176" s="188">
        <v>0</v>
      </c>
      <c r="S176" s="188">
        <v>0</v>
      </c>
      <c r="T176" s="188">
        <v>1</v>
      </c>
      <c r="U176" s="188">
        <v>1</v>
      </c>
      <c r="V176" s="188">
        <v>1</v>
      </c>
      <c r="W176" s="188">
        <v>0</v>
      </c>
      <c r="X176" s="188">
        <v>0</v>
      </c>
      <c r="Y176" s="188">
        <v>1</v>
      </c>
      <c r="Z176" s="188">
        <v>0</v>
      </c>
      <c r="AA176" s="188">
        <v>0</v>
      </c>
      <c r="AB176" s="188">
        <v>0</v>
      </c>
      <c r="AC176" s="188">
        <v>0</v>
      </c>
      <c r="AD176" s="188">
        <v>1</v>
      </c>
      <c r="AE176" s="188">
        <v>1</v>
      </c>
      <c r="AF176" s="191">
        <v>2</v>
      </c>
      <c r="AG176" s="183">
        <v>13</v>
      </c>
      <c r="AH176" s="4" t="s">
        <v>1966</v>
      </c>
      <c r="AI176" s="5" t="s">
        <v>1655</v>
      </c>
      <c r="AJ176" s="5" t="s">
        <v>1659</v>
      </c>
      <c r="AK176" s="5" t="s">
        <v>1665</v>
      </c>
      <c r="AL176" s="5" t="s">
        <v>1668</v>
      </c>
      <c r="AM176" s="5" t="s">
        <v>1432</v>
      </c>
      <c r="AN176" s="5" t="s">
        <v>1671</v>
      </c>
      <c r="AO176" s="5" t="s">
        <v>1676</v>
      </c>
    </row>
    <row r="177" spans="1:41" ht="15" customHeight="1" x14ac:dyDescent="0.2">
      <c r="A177" s="141" t="s">
        <v>313</v>
      </c>
      <c r="B177" s="187" t="s">
        <v>1759</v>
      </c>
      <c r="C177" s="141">
        <v>2015</v>
      </c>
      <c r="D177" s="188">
        <v>26</v>
      </c>
      <c r="E177" s="135">
        <v>2824</v>
      </c>
      <c r="F177" s="192" t="s">
        <v>512</v>
      </c>
      <c r="G177" s="188">
        <v>1</v>
      </c>
      <c r="H177" s="188">
        <v>1</v>
      </c>
      <c r="I177" s="188">
        <v>1</v>
      </c>
      <c r="J177" s="188">
        <v>1</v>
      </c>
      <c r="K177" s="188">
        <v>0</v>
      </c>
      <c r="L177" s="188">
        <v>0</v>
      </c>
      <c r="M177" s="188">
        <v>1</v>
      </c>
      <c r="N177" s="188">
        <v>1</v>
      </c>
      <c r="O177" s="188">
        <v>0</v>
      </c>
      <c r="P177" s="188">
        <v>0</v>
      </c>
      <c r="Q177" s="188">
        <v>1</v>
      </c>
      <c r="R177" s="188">
        <v>0</v>
      </c>
      <c r="S177" s="188">
        <v>1</v>
      </c>
      <c r="T177" s="188">
        <v>1</v>
      </c>
      <c r="U177" s="188">
        <v>1</v>
      </c>
      <c r="V177" s="188">
        <v>0</v>
      </c>
      <c r="W177" s="188">
        <v>1</v>
      </c>
      <c r="X177" s="188">
        <v>1</v>
      </c>
      <c r="Y177" s="188">
        <v>1</v>
      </c>
      <c r="Z177" s="188">
        <v>1</v>
      </c>
      <c r="AA177" s="188">
        <v>0</v>
      </c>
      <c r="AB177" s="188">
        <v>0</v>
      </c>
      <c r="AC177" s="188">
        <v>0</v>
      </c>
      <c r="AD177" s="188">
        <v>0</v>
      </c>
      <c r="AE177" s="188">
        <v>0</v>
      </c>
      <c r="AF177" s="191">
        <v>0.1</v>
      </c>
      <c r="AG177" s="183">
        <v>14</v>
      </c>
      <c r="AH177" s="5" t="s">
        <v>1965</v>
      </c>
      <c r="AI177" s="5" t="s">
        <v>1665</v>
      </c>
      <c r="AJ177" s="5" t="s">
        <v>1655</v>
      </c>
      <c r="AK177" s="5" t="s">
        <v>1656</v>
      </c>
      <c r="AL177" s="5" t="s">
        <v>1668</v>
      </c>
      <c r="AM177" s="5" t="s">
        <v>1434</v>
      </c>
      <c r="AO177" s="5" t="s">
        <v>1434</v>
      </c>
    </row>
    <row r="178" spans="1:41" ht="15" customHeight="1" x14ac:dyDescent="0.2">
      <c r="A178" s="141" t="s">
        <v>313</v>
      </c>
      <c r="B178" s="187" t="s">
        <v>1759</v>
      </c>
      <c r="C178" s="141">
        <v>2015</v>
      </c>
      <c r="D178" s="188">
        <v>26</v>
      </c>
      <c r="E178" s="135">
        <v>6003</v>
      </c>
      <c r="F178" s="192" t="s">
        <v>288</v>
      </c>
      <c r="G178" s="188">
        <v>1</v>
      </c>
      <c r="H178" s="188">
        <v>1</v>
      </c>
      <c r="I178" s="188">
        <v>1</v>
      </c>
      <c r="J178" s="188">
        <v>0</v>
      </c>
      <c r="K178" s="188">
        <v>1</v>
      </c>
      <c r="L178" s="188">
        <v>1</v>
      </c>
      <c r="M178" s="188">
        <v>1</v>
      </c>
      <c r="N178" s="188">
        <v>1</v>
      </c>
      <c r="O178" s="188">
        <v>1</v>
      </c>
      <c r="P178" s="188">
        <v>0</v>
      </c>
      <c r="Q178" s="188">
        <v>1</v>
      </c>
      <c r="R178" s="188">
        <v>1</v>
      </c>
      <c r="S178" s="188">
        <v>0</v>
      </c>
      <c r="T178" s="188">
        <v>1</v>
      </c>
      <c r="U178" s="188">
        <v>0</v>
      </c>
      <c r="V178" s="188">
        <v>1</v>
      </c>
      <c r="W178" s="188">
        <v>1</v>
      </c>
      <c r="X178" s="188">
        <v>0</v>
      </c>
      <c r="Y178" s="188">
        <v>1</v>
      </c>
      <c r="Z178" s="188">
        <v>0</v>
      </c>
      <c r="AA178" s="188">
        <v>1</v>
      </c>
      <c r="AB178" s="188">
        <v>1</v>
      </c>
      <c r="AC178" s="188">
        <v>0</v>
      </c>
      <c r="AD178" s="188">
        <v>0</v>
      </c>
      <c r="AE178" s="188">
        <v>0</v>
      </c>
      <c r="AF178" s="191">
        <v>0.1</v>
      </c>
      <c r="AG178" s="183">
        <v>16</v>
      </c>
      <c r="AH178" s="5" t="s">
        <v>1789</v>
      </c>
      <c r="AI178" s="5" t="s">
        <v>1655</v>
      </c>
      <c r="AJ178" s="5" t="s">
        <v>1665</v>
      </c>
      <c r="AL178" s="5" t="s">
        <v>1668</v>
      </c>
      <c r="AO178" s="5" t="s">
        <v>1668</v>
      </c>
    </row>
    <row r="179" spans="1:41" ht="15" customHeight="1" x14ac:dyDescent="0.2">
      <c r="A179" s="141" t="s">
        <v>313</v>
      </c>
      <c r="B179" s="187" t="s">
        <v>1759</v>
      </c>
      <c r="C179" s="141">
        <v>2015</v>
      </c>
      <c r="D179" s="188">
        <v>26</v>
      </c>
      <c r="E179" s="135">
        <v>2359</v>
      </c>
      <c r="F179" s="192" t="s">
        <v>665</v>
      </c>
      <c r="G179" s="188">
        <v>1</v>
      </c>
      <c r="H179" s="188">
        <v>1</v>
      </c>
      <c r="I179" s="188">
        <v>1</v>
      </c>
      <c r="J179" s="188">
        <v>1</v>
      </c>
      <c r="K179" s="188">
        <v>1</v>
      </c>
      <c r="L179" s="188">
        <v>1</v>
      </c>
      <c r="M179" s="188">
        <v>1</v>
      </c>
      <c r="N179" s="188">
        <v>1</v>
      </c>
      <c r="O179" s="188">
        <v>1</v>
      </c>
      <c r="P179" s="188">
        <v>0</v>
      </c>
      <c r="Q179" s="188">
        <v>1</v>
      </c>
      <c r="R179" s="188">
        <v>1</v>
      </c>
      <c r="S179" s="188">
        <v>0</v>
      </c>
      <c r="T179" s="188">
        <v>1</v>
      </c>
      <c r="U179" s="188">
        <v>1</v>
      </c>
      <c r="V179" s="188">
        <v>1</v>
      </c>
      <c r="W179" s="188">
        <v>1</v>
      </c>
      <c r="X179" s="188">
        <v>0</v>
      </c>
      <c r="Y179" s="188">
        <v>1</v>
      </c>
      <c r="Z179" s="188">
        <v>1</v>
      </c>
      <c r="AA179" s="188">
        <v>1</v>
      </c>
      <c r="AB179" s="188">
        <v>0</v>
      </c>
      <c r="AC179" s="188">
        <v>1</v>
      </c>
      <c r="AD179" s="188">
        <v>1</v>
      </c>
      <c r="AE179" s="188">
        <v>0</v>
      </c>
      <c r="AF179" s="191">
        <v>1</v>
      </c>
      <c r="AG179" s="183">
        <v>20</v>
      </c>
      <c r="AH179" s="5" t="s">
        <v>1789</v>
      </c>
      <c r="AJ179" s="5" t="s">
        <v>1665</v>
      </c>
    </row>
    <row r="180" spans="1:41" ht="15" customHeight="1" x14ac:dyDescent="0.2">
      <c r="A180" s="141" t="s">
        <v>313</v>
      </c>
      <c r="B180" s="187" t="s">
        <v>1759</v>
      </c>
      <c r="C180" s="141">
        <v>2015</v>
      </c>
      <c r="D180" s="188">
        <v>26</v>
      </c>
      <c r="E180" s="135">
        <v>2360</v>
      </c>
      <c r="F180" s="192" t="s">
        <v>664</v>
      </c>
      <c r="G180" s="188">
        <v>1</v>
      </c>
      <c r="H180" s="188">
        <v>0</v>
      </c>
      <c r="I180" s="188">
        <v>0</v>
      </c>
      <c r="J180" s="188">
        <v>0</v>
      </c>
      <c r="K180" s="188">
        <v>0</v>
      </c>
      <c r="L180" s="188">
        <v>0</v>
      </c>
      <c r="M180" s="188">
        <v>0</v>
      </c>
      <c r="N180" s="188">
        <v>0</v>
      </c>
      <c r="O180" s="188">
        <v>0</v>
      </c>
      <c r="P180" s="188">
        <v>0</v>
      </c>
      <c r="Q180" s="188">
        <v>0</v>
      </c>
      <c r="R180" s="188">
        <v>0</v>
      </c>
      <c r="S180" s="188">
        <v>0</v>
      </c>
      <c r="T180" s="188">
        <v>0</v>
      </c>
      <c r="U180" s="188">
        <v>0</v>
      </c>
      <c r="V180" s="188">
        <v>0</v>
      </c>
      <c r="W180" s="188">
        <v>0</v>
      </c>
      <c r="X180" s="188">
        <v>0</v>
      </c>
      <c r="Y180" s="188">
        <v>0</v>
      </c>
      <c r="Z180" s="188">
        <v>0</v>
      </c>
      <c r="AA180" s="188">
        <v>0</v>
      </c>
      <c r="AB180" s="188">
        <v>0</v>
      </c>
      <c r="AC180" s="188">
        <v>0</v>
      </c>
      <c r="AD180" s="188">
        <v>0</v>
      </c>
      <c r="AE180" s="188">
        <v>0</v>
      </c>
      <c r="AF180" s="191">
        <v>0.1</v>
      </c>
      <c r="AG180" s="183">
        <v>1</v>
      </c>
      <c r="AH180" s="4" t="s">
        <v>1964</v>
      </c>
      <c r="AI180" s="5" t="s">
        <v>1652</v>
      </c>
      <c r="AL180" s="5" t="s">
        <v>1668</v>
      </c>
      <c r="AO180" s="5" t="s">
        <v>1668</v>
      </c>
    </row>
    <row r="181" spans="1:41" ht="15" customHeight="1" x14ac:dyDescent="0.2">
      <c r="A181" s="141" t="s">
        <v>313</v>
      </c>
      <c r="B181" s="187" t="s">
        <v>1759</v>
      </c>
      <c r="C181" s="141">
        <v>2015</v>
      </c>
      <c r="D181" s="188">
        <v>26</v>
      </c>
      <c r="E181" s="135">
        <v>2362</v>
      </c>
      <c r="F181" s="192" t="s">
        <v>663</v>
      </c>
      <c r="G181" s="188">
        <v>1</v>
      </c>
      <c r="H181" s="188">
        <v>0</v>
      </c>
      <c r="I181" s="188">
        <v>1</v>
      </c>
      <c r="J181" s="188">
        <v>1</v>
      </c>
      <c r="K181" s="188">
        <v>0</v>
      </c>
      <c r="L181" s="188">
        <v>1</v>
      </c>
      <c r="M181" s="188">
        <v>0</v>
      </c>
      <c r="N181" s="188">
        <v>0</v>
      </c>
      <c r="O181" s="188">
        <v>1</v>
      </c>
      <c r="P181" s="188">
        <v>0</v>
      </c>
      <c r="Q181" s="188">
        <v>1</v>
      </c>
      <c r="R181" s="188">
        <v>0</v>
      </c>
      <c r="S181" s="188">
        <v>0</v>
      </c>
      <c r="T181" s="188">
        <v>0</v>
      </c>
      <c r="U181" s="188">
        <v>0</v>
      </c>
      <c r="V181" s="188">
        <v>1</v>
      </c>
      <c r="W181" s="188">
        <v>0</v>
      </c>
      <c r="X181" s="188">
        <v>0</v>
      </c>
      <c r="Y181" s="188">
        <v>1</v>
      </c>
      <c r="Z181" s="188">
        <v>0</v>
      </c>
      <c r="AA181" s="188">
        <v>0</v>
      </c>
      <c r="AB181" s="188">
        <v>1</v>
      </c>
      <c r="AC181" s="188">
        <v>0</v>
      </c>
      <c r="AD181" s="188">
        <v>0</v>
      </c>
      <c r="AE181" s="188">
        <v>0</v>
      </c>
      <c r="AF181" s="191">
        <v>0.1</v>
      </c>
      <c r="AG181" s="183">
        <v>9</v>
      </c>
      <c r="AH181" s="5" t="s">
        <v>1790</v>
      </c>
      <c r="AI181" s="5" t="s">
        <v>1655</v>
      </c>
      <c r="AJ181" s="5" t="s">
        <v>1665</v>
      </c>
      <c r="AL181" s="5" t="s">
        <v>1668</v>
      </c>
      <c r="AM181" s="5" t="s">
        <v>1671</v>
      </c>
      <c r="AO181" s="5" t="s">
        <v>1668</v>
      </c>
    </row>
    <row r="182" spans="1:41" ht="15" customHeight="1" x14ac:dyDescent="0.2">
      <c r="A182" s="141" t="s">
        <v>313</v>
      </c>
      <c r="B182" s="187" t="s">
        <v>1759</v>
      </c>
      <c r="C182" s="141">
        <v>2015</v>
      </c>
      <c r="D182" s="188">
        <v>26</v>
      </c>
      <c r="E182" s="135">
        <v>2362</v>
      </c>
      <c r="F182" s="192" t="s">
        <v>663</v>
      </c>
      <c r="G182" s="188">
        <v>0</v>
      </c>
      <c r="H182" s="188">
        <v>1</v>
      </c>
      <c r="I182" s="188">
        <v>1</v>
      </c>
      <c r="J182" s="188">
        <v>0</v>
      </c>
      <c r="K182" s="188">
        <v>1</v>
      </c>
      <c r="L182" s="188">
        <v>1</v>
      </c>
      <c r="M182" s="188">
        <v>1</v>
      </c>
      <c r="N182" s="188">
        <v>1</v>
      </c>
      <c r="O182" s="188">
        <v>0</v>
      </c>
      <c r="P182" s="188">
        <v>0</v>
      </c>
      <c r="Q182" s="188">
        <v>1</v>
      </c>
      <c r="R182" s="188">
        <v>1</v>
      </c>
      <c r="S182" s="188">
        <v>1</v>
      </c>
      <c r="T182" s="188">
        <v>1</v>
      </c>
      <c r="U182" s="188">
        <v>0</v>
      </c>
      <c r="V182" s="188">
        <v>1</v>
      </c>
      <c r="W182" s="188">
        <v>0</v>
      </c>
      <c r="X182" s="188">
        <v>1</v>
      </c>
      <c r="Y182" s="188">
        <v>0</v>
      </c>
      <c r="Z182" s="188">
        <v>1</v>
      </c>
      <c r="AA182" s="188">
        <v>0</v>
      </c>
      <c r="AB182" s="188">
        <v>0</v>
      </c>
      <c r="AC182" s="188">
        <v>1</v>
      </c>
      <c r="AD182" s="188">
        <v>0</v>
      </c>
      <c r="AE182" s="188">
        <v>0</v>
      </c>
      <c r="AF182" s="191">
        <v>0.1</v>
      </c>
      <c r="AG182" s="183">
        <v>14</v>
      </c>
      <c r="AH182" s="5" t="s">
        <v>1789</v>
      </c>
      <c r="AI182" s="5" t="s">
        <v>1655</v>
      </c>
      <c r="AJ182" s="5" t="s">
        <v>1665</v>
      </c>
      <c r="AL182" s="5" t="s">
        <v>1668</v>
      </c>
      <c r="AO182" s="5" t="s">
        <v>1668</v>
      </c>
    </row>
    <row r="183" spans="1:41" ht="15" customHeight="1" x14ac:dyDescent="0.2">
      <c r="A183" s="141" t="s">
        <v>313</v>
      </c>
      <c r="B183" s="187" t="s">
        <v>1759</v>
      </c>
      <c r="C183" s="141">
        <v>2015</v>
      </c>
      <c r="D183" s="188">
        <v>26</v>
      </c>
      <c r="E183" s="135" t="e">
        <v>#N/A</v>
      </c>
      <c r="F183" s="192" t="s">
        <v>1767</v>
      </c>
      <c r="G183" s="188">
        <v>1</v>
      </c>
      <c r="H183" s="188">
        <v>1</v>
      </c>
      <c r="I183" s="188">
        <v>0</v>
      </c>
      <c r="J183" s="188">
        <v>1</v>
      </c>
      <c r="K183" s="188">
        <v>0</v>
      </c>
      <c r="L183" s="188">
        <v>0</v>
      </c>
      <c r="M183" s="188">
        <v>1</v>
      </c>
      <c r="N183" s="188">
        <v>1</v>
      </c>
      <c r="O183" s="188">
        <v>1</v>
      </c>
      <c r="P183" s="188">
        <v>0</v>
      </c>
      <c r="Q183" s="188">
        <v>0</v>
      </c>
      <c r="R183" s="188">
        <v>1</v>
      </c>
      <c r="S183" s="188">
        <v>0</v>
      </c>
      <c r="T183" s="188">
        <v>0</v>
      </c>
      <c r="U183" s="188">
        <v>1</v>
      </c>
      <c r="V183" s="188">
        <v>0</v>
      </c>
      <c r="W183" s="188">
        <v>0</v>
      </c>
      <c r="X183" s="188">
        <v>0</v>
      </c>
      <c r="Y183" s="188">
        <v>0</v>
      </c>
      <c r="Z183" s="188">
        <v>1</v>
      </c>
      <c r="AA183" s="188">
        <v>1</v>
      </c>
      <c r="AB183" s="188">
        <v>0</v>
      </c>
      <c r="AC183" s="188">
        <v>0</v>
      </c>
      <c r="AD183" s="188">
        <v>0</v>
      </c>
      <c r="AE183" s="188">
        <v>0</v>
      </c>
      <c r="AF183" s="191">
        <v>0.1</v>
      </c>
      <c r="AG183" s="183">
        <v>10</v>
      </c>
      <c r="AH183" s="5" t="s">
        <v>1791</v>
      </c>
      <c r="AI183" s="5" t="s">
        <v>1655</v>
      </c>
      <c r="AJ183" s="5" t="s">
        <v>1659</v>
      </c>
      <c r="AK183" s="5" t="s">
        <v>1665</v>
      </c>
      <c r="AL183" s="5" t="s">
        <v>1668</v>
      </c>
      <c r="AM183" s="5" t="s">
        <v>1432</v>
      </c>
      <c r="AN183" s="5" t="s">
        <v>1671</v>
      </c>
      <c r="AO183" s="5" t="s">
        <v>1676</v>
      </c>
    </row>
    <row r="184" spans="1:41" ht="15" customHeight="1" x14ac:dyDescent="0.2">
      <c r="A184" s="141" t="s">
        <v>313</v>
      </c>
      <c r="B184" s="187" t="s">
        <v>1759</v>
      </c>
      <c r="C184" s="141">
        <v>2015</v>
      </c>
      <c r="D184" s="188">
        <v>26</v>
      </c>
      <c r="E184" s="135">
        <v>2383</v>
      </c>
      <c r="F184" s="192" t="s">
        <v>649</v>
      </c>
      <c r="G184" s="188">
        <v>1</v>
      </c>
      <c r="H184" s="188">
        <v>0</v>
      </c>
      <c r="I184" s="188">
        <v>1</v>
      </c>
      <c r="J184" s="188">
        <v>1</v>
      </c>
      <c r="K184" s="188">
        <v>1</v>
      </c>
      <c r="L184" s="188">
        <v>1</v>
      </c>
      <c r="M184" s="188">
        <v>1</v>
      </c>
      <c r="N184" s="188">
        <v>1</v>
      </c>
      <c r="O184" s="188">
        <v>1</v>
      </c>
      <c r="P184" s="188">
        <v>0</v>
      </c>
      <c r="Q184" s="188">
        <v>1</v>
      </c>
      <c r="R184" s="188">
        <v>1</v>
      </c>
      <c r="S184" s="188">
        <v>1</v>
      </c>
      <c r="T184" s="188">
        <v>1</v>
      </c>
      <c r="U184" s="188">
        <v>1</v>
      </c>
      <c r="V184" s="188">
        <v>1</v>
      </c>
      <c r="W184" s="188">
        <v>1</v>
      </c>
      <c r="X184" s="188">
        <v>0</v>
      </c>
      <c r="Y184" s="188">
        <v>1</v>
      </c>
      <c r="Z184" s="188">
        <v>1</v>
      </c>
      <c r="AA184" s="188">
        <v>1</v>
      </c>
      <c r="AB184" s="188">
        <v>1</v>
      </c>
      <c r="AC184" s="188">
        <v>1</v>
      </c>
      <c r="AD184" s="188">
        <v>0</v>
      </c>
      <c r="AE184" s="188">
        <v>1</v>
      </c>
      <c r="AF184" s="191">
        <v>0.1</v>
      </c>
      <c r="AG184" s="183">
        <v>21</v>
      </c>
      <c r="AH184" s="5" t="s">
        <v>1789</v>
      </c>
      <c r="AI184" s="5" t="s">
        <v>1655</v>
      </c>
      <c r="AJ184" s="5" t="s">
        <v>1665</v>
      </c>
      <c r="AL184" s="5" t="s">
        <v>1668</v>
      </c>
      <c r="AO184" s="5" t="s">
        <v>1668</v>
      </c>
    </row>
    <row r="185" spans="1:41" ht="15" customHeight="1" x14ac:dyDescent="0.2">
      <c r="A185" s="141" t="s">
        <v>313</v>
      </c>
      <c r="B185" s="187" t="s">
        <v>1759</v>
      </c>
      <c r="C185" s="141">
        <v>2015</v>
      </c>
      <c r="D185" s="188">
        <v>26</v>
      </c>
      <c r="E185" s="135">
        <v>2388</v>
      </c>
      <c r="F185" s="192" t="s">
        <v>646</v>
      </c>
      <c r="G185" s="188">
        <v>0</v>
      </c>
      <c r="H185" s="188">
        <v>0</v>
      </c>
      <c r="I185" s="188">
        <v>0</v>
      </c>
      <c r="J185" s="188">
        <v>0</v>
      </c>
      <c r="K185" s="188">
        <v>0</v>
      </c>
      <c r="L185" s="188">
        <v>0</v>
      </c>
      <c r="M185" s="188">
        <v>0</v>
      </c>
      <c r="N185" s="188">
        <v>1</v>
      </c>
      <c r="O185" s="188">
        <v>0</v>
      </c>
      <c r="P185" s="188">
        <v>0</v>
      </c>
      <c r="Q185" s="188">
        <v>0</v>
      </c>
      <c r="R185" s="188">
        <v>0</v>
      </c>
      <c r="S185" s="188">
        <v>1</v>
      </c>
      <c r="T185" s="188">
        <v>0</v>
      </c>
      <c r="U185" s="188">
        <v>0</v>
      </c>
      <c r="V185" s="188">
        <v>0</v>
      </c>
      <c r="W185" s="188">
        <v>0</v>
      </c>
      <c r="X185" s="188">
        <v>0</v>
      </c>
      <c r="Y185" s="188">
        <v>0</v>
      </c>
      <c r="Z185" s="188">
        <v>0</v>
      </c>
      <c r="AA185" s="188">
        <v>0</v>
      </c>
      <c r="AB185" s="188">
        <v>1</v>
      </c>
      <c r="AC185" s="188">
        <v>0</v>
      </c>
      <c r="AD185" s="188">
        <v>0</v>
      </c>
      <c r="AE185" s="188">
        <v>0</v>
      </c>
      <c r="AF185" s="191">
        <v>0.1</v>
      </c>
      <c r="AG185" s="183">
        <v>3</v>
      </c>
      <c r="AH185" s="4" t="s">
        <v>1792</v>
      </c>
      <c r="AI185" s="5" t="s">
        <v>1655</v>
      </c>
      <c r="AJ185" s="5" t="s">
        <v>1665</v>
      </c>
      <c r="AL185" s="5" t="s">
        <v>1668</v>
      </c>
      <c r="AM185" s="5" t="s">
        <v>1671</v>
      </c>
      <c r="AO185" s="5" t="s">
        <v>1668</v>
      </c>
    </row>
    <row r="186" spans="1:41" ht="15" customHeight="1" x14ac:dyDescent="0.2">
      <c r="A186" s="141" t="s">
        <v>313</v>
      </c>
      <c r="B186" s="187" t="s">
        <v>1759</v>
      </c>
      <c r="C186" s="141">
        <v>2015</v>
      </c>
      <c r="D186" s="188">
        <v>26</v>
      </c>
      <c r="E186" s="135">
        <v>478</v>
      </c>
      <c r="F186" s="192" t="s">
        <v>24</v>
      </c>
      <c r="G186" s="188">
        <v>1</v>
      </c>
      <c r="H186" s="188">
        <v>1</v>
      </c>
      <c r="I186" s="188">
        <v>0</v>
      </c>
      <c r="J186" s="188">
        <v>0</v>
      </c>
      <c r="K186" s="188">
        <v>0</v>
      </c>
      <c r="L186" s="188">
        <v>0</v>
      </c>
      <c r="M186" s="188">
        <v>0</v>
      </c>
      <c r="N186" s="188">
        <v>0</v>
      </c>
      <c r="O186" s="188">
        <v>0</v>
      </c>
      <c r="P186" s="188">
        <v>0</v>
      </c>
      <c r="Q186" s="188">
        <v>0</v>
      </c>
      <c r="R186" s="188">
        <v>0</v>
      </c>
      <c r="S186" s="188">
        <v>0</v>
      </c>
      <c r="T186" s="188">
        <v>0</v>
      </c>
      <c r="U186" s="188">
        <v>0</v>
      </c>
      <c r="V186" s="188">
        <v>0</v>
      </c>
      <c r="W186" s="188">
        <v>0</v>
      </c>
      <c r="X186" s="188">
        <v>0</v>
      </c>
      <c r="Y186" s="188">
        <v>0</v>
      </c>
      <c r="Z186" s="188">
        <v>0</v>
      </c>
      <c r="AA186" s="188">
        <v>0</v>
      </c>
      <c r="AB186" s="188">
        <v>0</v>
      </c>
      <c r="AC186" s="188">
        <v>0</v>
      </c>
      <c r="AD186" s="188">
        <v>1</v>
      </c>
      <c r="AE186" s="188">
        <v>0</v>
      </c>
      <c r="AF186" s="191">
        <v>1</v>
      </c>
      <c r="AG186" s="183">
        <v>3</v>
      </c>
      <c r="AH186" s="5" t="s">
        <v>1789</v>
      </c>
      <c r="AJ186" s="5" t="s">
        <v>1665</v>
      </c>
    </row>
    <row r="187" spans="1:41" ht="15" customHeight="1" x14ac:dyDescent="0.2">
      <c r="A187" s="141" t="s">
        <v>313</v>
      </c>
      <c r="B187" s="187" t="s">
        <v>1759</v>
      </c>
      <c r="C187" s="141">
        <v>2015</v>
      </c>
      <c r="D187" s="188">
        <v>26</v>
      </c>
      <c r="E187" s="135">
        <v>541</v>
      </c>
      <c r="F187" s="192" t="s">
        <v>1313</v>
      </c>
      <c r="G187" s="188">
        <v>1</v>
      </c>
      <c r="H187" s="188">
        <v>1</v>
      </c>
      <c r="I187" s="188">
        <v>1</v>
      </c>
      <c r="J187" s="188">
        <v>1</v>
      </c>
      <c r="K187" s="188">
        <v>1</v>
      </c>
      <c r="L187" s="188">
        <v>1</v>
      </c>
      <c r="M187" s="188">
        <v>1</v>
      </c>
      <c r="N187" s="188">
        <v>1</v>
      </c>
      <c r="O187" s="188">
        <v>1</v>
      </c>
      <c r="P187" s="188">
        <v>1</v>
      </c>
      <c r="Q187" s="188">
        <v>1</v>
      </c>
      <c r="R187" s="188">
        <v>1</v>
      </c>
      <c r="S187" s="188">
        <v>1</v>
      </c>
      <c r="T187" s="188">
        <v>1</v>
      </c>
      <c r="U187" s="188">
        <v>1</v>
      </c>
      <c r="V187" s="188">
        <v>1</v>
      </c>
      <c r="W187" s="188">
        <v>1</v>
      </c>
      <c r="X187" s="188">
        <v>1</v>
      </c>
      <c r="Y187" s="188">
        <v>1</v>
      </c>
      <c r="Z187" s="188">
        <v>1</v>
      </c>
      <c r="AA187" s="188">
        <v>1</v>
      </c>
      <c r="AB187" s="188">
        <v>1</v>
      </c>
      <c r="AC187" s="188">
        <v>1</v>
      </c>
      <c r="AD187" s="188">
        <v>1</v>
      </c>
      <c r="AE187" s="188">
        <v>1</v>
      </c>
      <c r="AF187" s="191">
        <v>30</v>
      </c>
      <c r="AG187" s="183">
        <v>25</v>
      </c>
      <c r="AH187" s="4" t="s">
        <v>1789</v>
      </c>
      <c r="AJ187" s="5" t="s">
        <v>1665</v>
      </c>
    </row>
    <row r="188" spans="1:41" ht="15" customHeight="1" x14ac:dyDescent="0.2">
      <c r="A188" s="141" t="s">
        <v>313</v>
      </c>
      <c r="B188" s="187" t="s">
        <v>1759</v>
      </c>
      <c r="C188" s="141">
        <v>2015</v>
      </c>
      <c r="D188" s="188">
        <v>26</v>
      </c>
      <c r="E188" s="135" t="e">
        <v>#N/A</v>
      </c>
      <c r="F188" s="189" t="s">
        <v>1774</v>
      </c>
      <c r="G188" s="188">
        <v>0</v>
      </c>
      <c r="H188" s="188">
        <v>1</v>
      </c>
      <c r="I188" s="188">
        <v>0</v>
      </c>
      <c r="J188" s="188">
        <v>0</v>
      </c>
      <c r="K188" s="188">
        <v>0</v>
      </c>
      <c r="L188" s="188">
        <v>0</v>
      </c>
      <c r="M188" s="188">
        <v>0</v>
      </c>
      <c r="N188" s="188">
        <v>0</v>
      </c>
      <c r="O188" s="188">
        <v>0</v>
      </c>
      <c r="P188" s="188">
        <v>0</v>
      </c>
      <c r="Q188" s="188">
        <v>0</v>
      </c>
      <c r="R188" s="188">
        <v>1</v>
      </c>
      <c r="S188" s="188">
        <v>1</v>
      </c>
      <c r="T188" s="188">
        <v>0</v>
      </c>
      <c r="U188" s="188">
        <v>0</v>
      </c>
      <c r="V188" s="188">
        <v>0</v>
      </c>
      <c r="W188" s="188">
        <v>0</v>
      </c>
      <c r="X188" s="188">
        <v>0</v>
      </c>
      <c r="Y188" s="188">
        <v>0</v>
      </c>
      <c r="Z188" s="188">
        <v>0</v>
      </c>
      <c r="AA188" s="188">
        <v>0</v>
      </c>
      <c r="AB188" s="188">
        <v>0</v>
      </c>
      <c r="AC188" s="188">
        <v>0</v>
      </c>
      <c r="AD188" s="188">
        <v>0</v>
      </c>
      <c r="AE188" s="188">
        <v>0</v>
      </c>
      <c r="AF188" s="191">
        <v>0.1</v>
      </c>
      <c r="AG188" s="183">
        <v>3</v>
      </c>
      <c r="AH188" s="5" t="s">
        <v>1789</v>
      </c>
      <c r="AI188" s="5" t="s">
        <v>1665</v>
      </c>
      <c r="AJ188" s="5" t="s">
        <v>1655</v>
      </c>
      <c r="AL188" s="5" t="s">
        <v>1668</v>
      </c>
      <c r="AM188" s="5" t="s">
        <v>1434</v>
      </c>
      <c r="AO188" s="5" t="s">
        <v>1434</v>
      </c>
    </row>
    <row r="189" spans="1:41" ht="15" customHeight="1" x14ac:dyDescent="0.2">
      <c r="A189" s="141" t="s">
        <v>313</v>
      </c>
      <c r="B189" s="187" t="s">
        <v>1759</v>
      </c>
      <c r="C189" s="141">
        <v>2015</v>
      </c>
      <c r="D189" s="188">
        <v>26</v>
      </c>
      <c r="E189" s="135">
        <v>2695</v>
      </c>
      <c r="F189" s="189" t="s">
        <v>569</v>
      </c>
      <c r="G189" s="188">
        <v>0</v>
      </c>
      <c r="H189" s="188">
        <v>0</v>
      </c>
      <c r="I189" s="188">
        <v>0</v>
      </c>
      <c r="J189" s="188">
        <v>0</v>
      </c>
      <c r="K189" s="188">
        <v>0</v>
      </c>
      <c r="L189" s="188">
        <v>0</v>
      </c>
      <c r="M189" s="188">
        <v>0</v>
      </c>
      <c r="N189" s="188">
        <v>0</v>
      </c>
      <c r="O189" s="188">
        <v>0</v>
      </c>
      <c r="P189" s="188">
        <v>0</v>
      </c>
      <c r="Q189" s="188">
        <v>0</v>
      </c>
      <c r="R189" s="188">
        <v>0</v>
      </c>
      <c r="S189" s="188">
        <v>1</v>
      </c>
      <c r="T189" s="188">
        <v>1</v>
      </c>
      <c r="U189" s="188">
        <v>0</v>
      </c>
      <c r="V189" s="188">
        <v>0</v>
      </c>
      <c r="W189" s="188">
        <v>0</v>
      </c>
      <c r="X189" s="188">
        <v>0</v>
      </c>
      <c r="Y189" s="188">
        <v>0</v>
      </c>
      <c r="Z189" s="188">
        <v>1</v>
      </c>
      <c r="AA189" s="188">
        <v>0</v>
      </c>
      <c r="AB189" s="188">
        <v>0</v>
      </c>
      <c r="AC189" s="188">
        <v>0</v>
      </c>
      <c r="AD189" s="188">
        <v>1</v>
      </c>
      <c r="AE189" s="188">
        <v>1</v>
      </c>
      <c r="AF189" s="191">
        <v>0.1</v>
      </c>
      <c r="AG189" s="183">
        <v>5</v>
      </c>
      <c r="AH189" s="4" t="s">
        <v>1968</v>
      </c>
      <c r="AI189" s="5" t="s">
        <v>1655</v>
      </c>
      <c r="AJ189" s="5" t="s">
        <v>1660</v>
      </c>
      <c r="AK189" s="5" t="s">
        <v>1657</v>
      </c>
      <c r="AL189" s="5" t="s">
        <v>1668</v>
      </c>
      <c r="AM189" s="5" t="s">
        <v>1433</v>
      </c>
      <c r="AN189" s="5" t="s">
        <v>1671</v>
      </c>
      <c r="AO189" s="5" t="s">
        <v>1433</v>
      </c>
    </row>
    <row r="190" spans="1:41" ht="15" customHeight="1" x14ac:dyDescent="0.2">
      <c r="A190" s="141" t="s">
        <v>313</v>
      </c>
      <c r="B190" s="187" t="s">
        <v>1759</v>
      </c>
      <c r="C190" s="141">
        <v>2015</v>
      </c>
      <c r="D190" s="188">
        <v>26</v>
      </c>
      <c r="E190" s="135">
        <v>1894</v>
      </c>
      <c r="F190" s="192" t="s">
        <v>795</v>
      </c>
      <c r="G190" s="188">
        <v>0</v>
      </c>
      <c r="H190" s="188">
        <v>0</v>
      </c>
      <c r="I190" s="188">
        <v>1</v>
      </c>
      <c r="J190" s="188">
        <v>1</v>
      </c>
      <c r="K190" s="188">
        <v>1</v>
      </c>
      <c r="L190" s="188">
        <v>1</v>
      </c>
      <c r="M190" s="188">
        <v>1</v>
      </c>
      <c r="N190" s="188">
        <v>0</v>
      </c>
      <c r="O190" s="188">
        <v>0</v>
      </c>
      <c r="P190" s="188">
        <v>0</v>
      </c>
      <c r="Q190" s="188">
        <v>1</v>
      </c>
      <c r="R190" s="188">
        <v>1</v>
      </c>
      <c r="S190" s="188">
        <v>1</v>
      </c>
      <c r="T190" s="188">
        <v>1</v>
      </c>
      <c r="U190" s="188">
        <v>0</v>
      </c>
      <c r="V190" s="188">
        <v>1</v>
      </c>
      <c r="W190" s="188">
        <v>0</v>
      </c>
      <c r="X190" s="188">
        <v>1</v>
      </c>
      <c r="Y190" s="188">
        <v>1</v>
      </c>
      <c r="Z190" s="188">
        <v>1</v>
      </c>
      <c r="AA190" s="188">
        <v>1</v>
      </c>
      <c r="AB190" s="188">
        <v>1</v>
      </c>
      <c r="AC190" s="188">
        <v>0</v>
      </c>
      <c r="AD190" s="188">
        <v>1</v>
      </c>
      <c r="AE190" s="188">
        <v>1</v>
      </c>
      <c r="AF190" s="191">
        <v>0.1</v>
      </c>
      <c r="AG190" s="183">
        <v>17</v>
      </c>
      <c r="AH190" s="5" t="s">
        <v>1789</v>
      </c>
      <c r="AI190" s="5" t="s">
        <v>1655</v>
      </c>
      <c r="AJ190" s="5" t="s">
        <v>1665</v>
      </c>
      <c r="AL190" s="5" t="s">
        <v>1668</v>
      </c>
      <c r="AO190" s="5" t="s">
        <v>1668</v>
      </c>
    </row>
    <row r="191" spans="1:41" ht="15" customHeight="1" x14ac:dyDescent="0.2">
      <c r="A191" s="141" t="s">
        <v>313</v>
      </c>
      <c r="B191" s="187" t="s">
        <v>1759</v>
      </c>
      <c r="C191" s="141">
        <v>2015</v>
      </c>
      <c r="D191" s="188">
        <v>26</v>
      </c>
      <c r="E191" s="135">
        <v>2639</v>
      </c>
      <c r="F191" s="192" t="s">
        <v>590</v>
      </c>
      <c r="G191" s="188">
        <v>1</v>
      </c>
      <c r="H191" s="188">
        <v>0</v>
      </c>
      <c r="I191" s="188">
        <v>0</v>
      </c>
      <c r="J191" s="188">
        <v>0</v>
      </c>
      <c r="K191" s="188">
        <v>1</v>
      </c>
      <c r="L191" s="188">
        <v>0</v>
      </c>
      <c r="M191" s="188">
        <v>1</v>
      </c>
      <c r="N191" s="188">
        <v>0</v>
      </c>
      <c r="O191" s="188">
        <v>0</v>
      </c>
      <c r="P191" s="188">
        <v>0</v>
      </c>
      <c r="Q191" s="188">
        <v>0</v>
      </c>
      <c r="R191" s="188">
        <v>0</v>
      </c>
      <c r="S191" s="188">
        <v>0</v>
      </c>
      <c r="T191" s="188">
        <v>0</v>
      </c>
      <c r="U191" s="188">
        <v>0</v>
      </c>
      <c r="V191" s="188">
        <v>0</v>
      </c>
      <c r="W191" s="188">
        <v>0</v>
      </c>
      <c r="X191" s="188">
        <v>0</v>
      </c>
      <c r="Y191" s="188">
        <v>0</v>
      </c>
      <c r="Z191" s="188">
        <v>0</v>
      </c>
      <c r="AA191" s="188">
        <v>0</v>
      </c>
      <c r="AB191" s="188">
        <v>0</v>
      </c>
      <c r="AC191" s="188">
        <v>0</v>
      </c>
      <c r="AD191" s="188">
        <v>0</v>
      </c>
      <c r="AE191" s="188">
        <v>0</v>
      </c>
      <c r="AF191" s="191">
        <v>1</v>
      </c>
      <c r="AG191" s="183">
        <v>3</v>
      </c>
      <c r="AH191" s="5" t="s">
        <v>1789</v>
      </c>
      <c r="AJ191" s="5" t="s">
        <v>1665</v>
      </c>
    </row>
    <row r="192" spans="1:41" ht="15" customHeight="1" x14ac:dyDescent="0.2">
      <c r="A192" s="141" t="s">
        <v>313</v>
      </c>
      <c r="B192" s="187" t="s">
        <v>1759</v>
      </c>
      <c r="C192" s="141">
        <v>2015</v>
      </c>
      <c r="D192" s="188">
        <v>26</v>
      </c>
      <c r="E192" s="135" t="e">
        <v>#N/A</v>
      </c>
      <c r="F192" s="192" t="s">
        <v>1772</v>
      </c>
      <c r="G192" s="188">
        <v>1</v>
      </c>
      <c r="H192" s="188">
        <v>1</v>
      </c>
      <c r="I192" s="188">
        <v>1</v>
      </c>
      <c r="J192" s="188">
        <v>1</v>
      </c>
      <c r="K192" s="188">
        <v>1</v>
      </c>
      <c r="L192" s="188">
        <v>0</v>
      </c>
      <c r="M192" s="188">
        <v>0</v>
      </c>
      <c r="N192" s="188">
        <v>1</v>
      </c>
      <c r="O192" s="188">
        <v>1</v>
      </c>
      <c r="P192" s="188">
        <v>1</v>
      </c>
      <c r="Q192" s="188">
        <v>1</v>
      </c>
      <c r="R192" s="188">
        <v>1</v>
      </c>
      <c r="S192" s="188">
        <v>1</v>
      </c>
      <c r="T192" s="188">
        <v>1</v>
      </c>
      <c r="U192" s="188">
        <v>1</v>
      </c>
      <c r="V192" s="188">
        <v>1</v>
      </c>
      <c r="W192" s="188">
        <v>1</v>
      </c>
      <c r="X192" s="188">
        <v>1</v>
      </c>
      <c r="Y192" s="188">
        <v>1</v>
      </c>
      <c r="Z192" s="188">
        <v>1</v>
      </c>
      <c r="AA192" s="188">
        <v>1</v>
      </c>
      <c r="AB192" s="188">
        <v>1</v>
      </c>
      <c r="AC192" s="188">
        <v>0</v>
      </c>
      <c r="AD192" s="188">
        <v>1</v>
      </c>
      <c r="AE192" s="188">
        <v>1</v>
      </c>
      <c r="AF192" s="190">
        <v>45</v>
      </c>
      <c r="AG192" s="183">
        <v>22</v>
      </c>
      <c r="AH192" s="5" t="s">
        <v>1789</v>
      </c>
      <c r="AI192" s="5" t="s">
        <v>1665</v>
      </c>
      <c r="AL192" s="5" t="s">
        <v>1434</v>
      </c>
      <c r="AO192" s="5" t="s">
        <v>1434</v>
      </c>
    </row>
    <row r="193" spans="1:41" ht="15" customHeight="1" x14ac:dyDescent="0.2">
      <c r="A193" s="141" t="s">
        <v>313</v>
      </c>
      <c r="B193" s="187" t="s">
        <v>1759</v>
      </c>
      <c r="C193" s="141">
        <v>2015</v>
      </c>
      <c r="D193" s="188">
        <v>27</v>
      </c>
      <c r="E193" s="135">
        <v>123</v>
      </c>
      <c r="F193" s="192" t="s">
        <v>199</v>
      </c>
      <c r="G193" s="188">
        <v>0</v>
      </c>
      <c r="H193" s="188">
        <v>0</v>
      </c>
      <c r="I193" s="188">
        <v>0</v>
      </c>
      <c r="J193" s="188">
        <v>0</v>
      </c>
      <c r="K193" s="188">
        <v>1</v>
      </c>
      <c r="L193" s="188">
        <v>0</v>
      </c>
      <c r="M193" s="188">
        <v>0</v>
      </c>
      <c r="N193" s="188">
        <v>0</v>
      </c>
      <c r="O193" s="188">
        <v>0</v>
      </c>
      <c r="P193" s="188">
        <v>0</v>
      </c>
      <c r="Q193" s="188">
        <v>0</v>
      </c>
      <c r="R193" s="188">
        <v>0</v>
      </c>
      <c r="S193" s="188">
        <v>0</v>
      </c>
      <c r="T193" s="188">
        <v>0</v>
      </c>
      <c r="U193" s="188">
        <v>0</v>
      </c>
      <c r="V193" s="188">
        <v>0</v>
      </c>
      <c r="W193" s="188">
        <v>0</v>
      </c>
      <c r="X193" s="188">
        <v>0</v>
      </c>
      <c r="Y193" s="188">
        <v>0</v>
      </c>
      <c r="Z193" s="188">
        <v>0</v>
      </c>
      <c r="AA193" s="188">
        <v>0</v>
      </c>
      <c r="AB193" s="188">
        <v>0</v>
      </c>
      <c r="AC193" s="188">
        <v>0</v>
      </c>
      <c r="AD193" s="188">
        <v>0</v>
      </c>
      <c r="AE193" s="188">
        <v>0</v>
      </c>
      <c r="AF193" s="191">
        <v>0.1</v>
      </c>
      <c r="AG193" s="183">
        <v>1</v>
      </c>
      <c r="AI193" s="5" t="s">
        <v>1655</v>
      </c>
      <c r="AL193" s="5" t="s">
        <v>1668</v>
      </c>
      <c r="AO193" s="5" t="s">
        <v>1668</v>
      </c>
    </row>
    <row r="194" spans="1:41" ht="15" customHeight="1" x14ac:dyDescent="0.2">
      <c r="A194" s="141" t="s">
        <v>313</v>
      </c>
      <c r="B194" s="187" t="s">
        <v>1759</v>
      </c>
      <c r="C194" s="141">
        <v>2015</v>
      </c>
      <c r="D194" s="188">
        <v>27</v>
      </c>
      <c r="E194" s="135">
        <v>278</v>
      </c>
      <c r="F194" s="192" t="s">
        <v>132</v>
      </c>
      <c r="G194" s="188">
        <v>0</v>
      </c>
      <c r="H194" s="188">
        <v>0</v>
      </c>
      <c r="I194" s="188">
        <v>1</v>
      </c>
      <c r="J194" s="188">
        <v>1</v>
      </c>
      <c r="K194" s="188">
        <v>0</v>
      </c>
      <c r="L194" s="188">
        <v>0</v>
      </c>
      <c r="M194" s="188">
        <v>0</v>
      </c>
      <c r="N194" s="188">
        <v>1</v>
      </c>
      <c r="O194" s="188">
        <v>1</v>
      </c>
      <c r="P194" s="188">
        <v>1</v>
      </c>
      <c r="Q194" s="188">
        <v>1</v>
      </c>
      <c r="R194" s="188">
        <v>1</v>
      </c>
      <c r="S194" s="188">
        <v>0</v>
      </c>
      <c r="T194" s="188">
        <v>1</v>
      </c>
      <c r="U194" s="188">
        <v>1</v>
      </c>
      <c r="V194" s="188">
        <v>1</v>
      </c>
      <c r="W194" s="188">
        <v>0</v>
      </c>
      <c r="X194" s="188">
        <v>0</v>
      </c>
      <c r="Y194" s="188">
        <v>1</v>
      </c>
      <c r="Z194" s="188">
        <v>1</v>
      </c>
      <c r="AA194" s="188">
        <v>1</v>
      </c>
      <c r="AB194" s="188">
        <v>1</v>
      </c>
      <c r="AC194" s="188">
        <v>1</v>
      </c>
      <c r="AD194" s="188">
        <v>1</v>
      </c>
      <c r="AE194" s="188">
        <v>1</v>
      </c>
      <c r="AF194" s="191">
        <v>16</v>
      </c>
      <c r="AG194" s="183">
        <v>17</v>
      </c>
      <c r="AH194" s="4"/>
    </row>
    <row r="195" spans="1:41" ht="15" customHeight="1" x14ac:dyDescent="0.2">
      <c r="A195" s="141" t="s">
        <v>313</v>
      </c>
      <c r="B195" s="187" t="s">
        <v>1759</v>
      </c>
      <c r="C195" s="141">
        <v>2015</v>
      </c>
      <c r="D195" s="188">
        <v>27</v>
      </c>
      <c r="E195" s="135">
        <v>1576</v>
      </c>
      <c r="F195" s="189" t="s">
        <v>882</v>
      </c>
      <c r="G195" s="188">
        <v>1</v>
      </c>
      <c r="H195" s="188">
        <v>1</v>
      </c>
      <c r="I195" s="188">
        <v>0</v>
      </c>
      <c r="J195" s="188">
        <v>0</v>
      </c>
      <c r="K195" s="188">
        <v>0</v>
      </c>
      <c r="L195" s="188">
        <v>1</v>
      </c>
      <c r="M195" s="188">
        <v>1</v>
      </c>
      <c r="N195" s="188">
        <v>1</v>
      </c>
      <c r="O195" s="188">
        <v>0</v>
      </c>
      <c r="P195" s="188">
        <v>1</v>
      </c>
      <c r="Q195" s="188">
        <v>1</v>
      </c>
      <c r="R195" s="188">
        <v>0</v>
      </c>
      <c r="S195" s="188">
        <v>1</v>
      </c>
      <c r="T195" s="188">
        <v>0</v>
      </c>
      <c r="U195" s="188">
        <v>0</v>
      </c>
      <c r="V195" s="188">
        <v>1</v>
      </c>
      <c r="W195" s="188">
        <v>0</v>
      </c>
      <c r="X195" s="188">
        <v>0</v>
      </c>
      <c r="Y195" s="188">
        <v>0</v>
      </c>
      <c r="Z195" s="188">
        <v>0</v>
      </c>
      <c r="AA195" s="188">
        <v>0</v>
      </c>
      <c r="AB195" s="188">
        <v>0</v>
      </c>
      <c r="AC195" s="188">
        <v>0</v>
      </c>
      <c r="AD195" s="188">
        <v>0</v>
      </c>
      <c r="AE195" s="188">
        <v>0</v>
      </c>
      <c r="AF195" s="190">
        <v>25</v>
      </c>
      <c r="AG195" s="183">
        <v>9</v>
      </c>
      <c r="AL195" s="5" t="s">
        <v>1434</v>
      </c>
      <c r="AO195" s="5" t="s">
        <v>1434</v>
      </c>
    </row>
    <row r="196" spans="1:41" ht="15" customHeight="1" x14ac:dyDescent="0.2">
      <c r="A196" s="141" t="s">
        <v>313</v>
      </c>
      <c r="B196" s="187" t="s">
        <v>1759</v>
      </c>
      <c r="C196" s="141">
        <v>2015</v>
      </c>
      <c r="D196" s="188">
        <v>27</v>
      </c>
      <c r="E196" s="135">
        <v>344</v>
      </c>
      <c r="F196" s="192" t="s">
        <v>94</v>
      </c>
      <c r="G196" s="188">
        <v>0</v>
      </c>
      <c r="H196" s="188">
        <v>0</v>
      </c>
      <c r="I196" s="188">
        <v>0</v>
      </c>
      <c r="J196" s="188">
        <v>0</v>
      </c>
      <c r="K196" s="188">
        <v>0</v>
      </c>
      <c r="L196" s="188">
        <v>0</v>
      </c>
      <c r="M196" s="188">
        <v>0</v>
      </c>
      <c r="N196" s="188">
        <v>0</v>
      </c>
      <c r="O196" s="188">
        <v>0</v>
      </c>
      <c r="P196" s="188">
        <v>0</v>
      </c>
      <c r="Q196" s="188">
        <v>0</v>
      </c>
      <c r="R196" s="188">
        <v>0</v>
      </c>
      <c r="S196" s="188">
        <v>0</v>
      </c>
      <c r="T196" s="188">
        <v>0</v>
      </c>
      <c r="U196" s="188">
        <v>0</v>
      </c>
      <c r="V196" s="188">
        <v>0</v>
      </c>
      <c r="W196" s="188">
        <v>0</v>
      </c>
      <c r="X196" s="188">
        <v>0</v>
      </c>
      <c r="Y196" s="188">
        <v>1</v>
      </c>
      <c r="Z196" s="188">
        <v>0</v>
      </c>
      <c r="AA196" s="188">
        <v>0</v>
      </c>
      <c r="AB196" s="188">
        <v>0</v>
      </c>
      <c r="AC196" s="188">
        <v>0</v>
      </c>
      <c r="AD196" s="188">
        <v>0</v>
      </c>
      <c r="AE196" s="188">
        <v>0</v>
      </c>
      <c r="AF196" s="191">
        <v>0.1</v>
      </c>
      <c r="AG196" s="183">
        <v>1</v>
      </c>
    </row>
    <row r="197" spans="1:41" ht="15" customHeight="1" x14ac:dyDescent="0.2">
      <c r="A197" s="141" t="s">
        <v>313</v>
      </c>
      <c r="B197" s="187" t="s">
        <v>1759</v>
      </c>
      <c r="C197" s="141">
        <v>2015</v>
      </c>
      <c r="D197" s="188">
        <v>27</v>
      </c>
      <c r="E197" s="135">
        <v>2824</v>
      </c>
      <c r="F197" s="189" t="s">
        <v>1977</v>
      </c>
      <c r="G197" s="188">
        <v>1</v>
      </c>
      <c r="H197" s="188">
        <v>0</v>
      </c>
      <c r="I197" s="188">
        <v>0</v>
      </c>
      <c r="J197" s="188">
        <v>0</v>
      </c>
      <c r="K197" s="188">
        <v>0</v>
      </c>
      <c r="L197" s="188">
        <v>1</v>
      </c>
      <c r="M197" s="188">
        <v>0</v>
      </c>
      <c r="N197" s="188">
        <v>0</v>
      </c>
      <c r="O197" s="188">
        <v>0</v>
      </c>
      <c r="P197" s="188">
        <v>0</v>
      </c>
      <c r="Q197" s="188">
        <v>0</v>
      </c>
      <c r="R197" s="188">
        <v>1</v>
      </c>
      <c r="S197" s="188">
        <v>1</v>
      </c>
      <c r="T197" s="188">
        <v>0</v>
      </c>
      <c r="U197" s="188">
        <v>0</v>
      </c>
      <c r="V197" s="188">
        <v>1</v>
      </c>
      <c r="W197" s="188">
        <v>0</v>
      </c>
      <c r="X197" s="188">
        <v>1</v>
      </c>
      <c r="Y197" s="188">
        <v>0</v>
      </c>
      <c r="Z197" s="188">
        <v>0</v>
      </c>
      <c r="AA197" s="188">
        <v>1</v>
      </c>
      <c r="AB197" s="188">
        <v>1</v>
      </c>
      <c r="AC197" s="188">
        <v>0</v>
      </c>
      <c r="AD197" s="188">
        <v>0</v>
      </c>
      <c r="AE197" s="188">
        <v>1</v>
      </c>
      <c r="AF197" s="191">
        <v>3</v>
      </c>
      <c r="AG197" s="183">
        <v>9</v>
      </c>
    </row>
    <row r="198" spans="1:41" ht="15" customHeight="1" x14ac:dyDescent="0.2">
      <c r="A198" s="141" t="s">
        <v>313</v>
      </c>
      <c r="B198" s="187" t="s">
        <v>1759</v>
      </c>
      <c r="C198" s="141">
        <v>2015</v>
      </c>
      <c r="D198" s="188">
        <v>27</v>
      </c>
      <c r="E198" s="135">
        <v>6003</v>
      </c>
      <c r="F198" s="192" t="s">
        <v>288</v>
      </c>
      <c r="G198" s="188">
        <v>0</v>
      </c>
      <c r="H198" s="188">
        <v>0</v>
      </c>
      <c r="I198" s="188">
        <v>0</v>
      </c>
      <c r="J198" s="188">
        <v>0</v>
      </c>
      <c r="K198" s="188">
        <v>1</v>
      </c>
      <c r="L198" s="188">
        <v>0</v>
      </c>
      <c r="M198" s="188">
        <v>0</v>
      </c>
      <c r="N198" s="188">
        <v>0</v>
      </c>
      <c r="O198" s="188">
        <v>0</v>
      </c>
      <c r="P198" s="188">
        <v>0</v>
      </c>
      <c r="Q198" s="188">
        <v>0</v>
      </c>
      <c r="R198" s="188">
        <v>0</v>
      </c>
      <c r="S198" s="188">
        <v>0</v>
      </c>
      <c r="T198" s="188">
        <v>0</v>
      </c>
      <c r="U198" s="188">
        <v>0</v>
      </c>
      <c r="V198" s="188">
        <v>0</v>
      </c>
      <c r="W198" s="188">
        <v>0</v>
      </c>
      <c r="X198" s="188">
        <v>0</v>
      </c>
      <c r="Y198" s="188">
        <v>0</v>
      </c>
      <c r="Z198" s="188">
        <v>0</v>
      </c>
      <c r="AA198" s="188">
        <v>0</v>
      </c>
      <c r="AB198" s="188">
        <v>0</v>
      </c>
      <c r="AC198" s="188">
        <v>0</v>
      </c>
      <c r="AD198" s="188">
        <v>0</v>
      </c>
      <c r="AE198" s="188">
        <v>0</v>
      </c>
      <c r="AF198" s="191">
        <v>0.1</v>
      </c>
      <c r="AG198" s="183">
        <v>1</v>
      </c>
    </row>
    <row r="199" spans="1:41" ht="15" customHeight="1" x14ac:dyDescent="0.2">
      <c r="A199" s="141" t="s">
        <v>313</v>
      </c>
      <c r="B199" s="187" t="s">
        <v>1759</v>
      </c>
      <c r="C199" s="141">
        <v>2015</v>
      </c>
      <c r="D199" s="188">
        <v>27</v>
      </c>
      <c r="E199" s="135">
        <v>2359</v>
      </c>
      <c r="F199" s="189" t="s">
        <v>665</v>
      </c>
      <c r="G199" s="188">
        <v>0</v>
      </c>
      <c r="H199" s="188">
        <v>1</v>
      </c>
      <c r="I199" s="188">
        <v>0</v>
      </c>
      <c r="J199" s="188">
        <v>0</v>
      </c>
      <c r="K199" s="188">
        <v>1</v>
      </c>
      <c r="L199" s="188">
        <v>0</v>
      </c>
      <c r="M199" s="188">
        <v>0</v>
      </c>
      <c r="N199" s="188">
        <v>0</v>
      </c>
      <c r="O199" s="188">
        <v>0</v>
      </c>
      <c r="P199" s="188">
        <v>1</v>
      </c>
      <c r="Q199" s="188">
        <v>1</v>
      </c>
      <c r="R199" s="188">
        <v>0</v>
      </c>
      <c r="S199" s="188">
        <v>0</v>
      </c>
      <c r="T199" s="188">
        <v>0</v>
      </c>
      <c r="U199" s="188">
        <v>0</v>
      </c>
      <c r="V199" s="188">
        <v>0</v>
      </c>
      <c r="W199" s="188">
        <v>0</v>
      </c>
      <c r="X199" s="188">
        <v>0</v>
      </c>
      <c r="Y199" s="188">
        <v>0</v>
      </c>
      <c r="Z199" s="188">
        <v>0</v>
      </c>
      <c r="AA199" s="188">
        <v>0</v>
      </c>
      <c r="AB199" s="188">
        <v>0</v>
      </c>
      <c r="AC199" s="188">
        <v>0</v>
      </c>
      <c r="AD199" s="188">
        <v>0</v>
      </c>
      <c r="AE199" s="188">
        <v>0</v>
      </c>
      <c r="AF199" s="191">
        <v>0.1</v>
      </c>
      <c r="AG199" s="183">
        <v>4</v>
      </c>
      <c r="AH199" s="4" t="s">
        <v>1974</v>
      </c>
      <c r="AI199" s="5" t="s">
        <v>1654</v>
      </c>
      <c r="AJ199" s="5" t="s">
        <v>1655</v>
      </c>
      <c r="AL199" s="5" t="s">
        <v>1669</v>
      </c>
      <c r="AO199" s="5" t="s">
        <v>1669</v>
      </c>
    </row>
    <row r="200" spans="1:41" ht="15" customHeight="1" x14ac:dyDescent="0.2">
      <c r="A200" s="141" t="s">
        <v>313</v>
      </c>
      <c r="B200" s="187" t="s">
        <v>1759</v>
      </c>
      <c r="C200" s="141">
        <v>2015</v>
      </c>
      <c r="D200" s="188">
        <v>27</v>
      </c>
      <c r="E200" s="135">
        <v>2362</v>
      </c>
      <c r="F200" s="192" t="s">
        <v>663</v>
      </c>
      <c r="G200" s="188">
        <v>1</v>
      </c>
      <c r="H200" s="188">
        <v>1</v>
      </c>
      <c r="I200" s="188">
        <v>1</v>
      </c>
      <c r="J200" s="188">
        <v>0</v>
      </c>
      <c r="K200" s="188">
        <v>0</v>
      </c>
      <c r="L200" s="188">
        <v>1</v>
      </c>
      <c r="M200" s="188">
        <v>1</v>
      </c>
      <c r="N200" s="188">
        <v>1</v>
      </c>
      <c r="O200" s="188">
        <v>0</v>
      </c>
      <c r="P200" s="188">
        <v>0</v>
      </c>
      <c r="Q200" s="188">
        <v>1</v>
      </c>
      <c r="R200" s="188">
        <v>1</v>
      </c>
      <c r="S200" s="188">
        <v>1</v>
      </c>
      <c r="T200" s="188">
        <v>1</v>
      </c>
      <c r="U200" s="188">
        <v>0</v>
      </c>
      <c r="V200" s="188">
        <v>1</v>
      </c>
      <c r="W200" s="188">
        <v>1</v>
      </c>
      <c r="X200" s="188">
        <v>0</v>
      </c>
      <c r="Y200" s="188">
        <v>0</v>
      </c>
      <c r="Z200" s="188">
        <v>1</v>
      </c>
      <c r="AA200" s="188">
        <v>1</v>
      </c>
      <c r="AB200" s="188">
        <v>0</v>
      </c>
      <c r="AC200" s="188">
        <v>0</v>
      </c>
      <c r="AD200" s="188">
        <v>0</v>
      </c>
      <c r="AE200" s="188">
        <v>0</v>
      </c>
      <c r="AF200" s="191">
        <v>3</v>
      </c>
      <c r="AG200" s="183">
        <v>14</v>
      </c>
      <c r="AH200" s="4"/>
    </row>
    <row r="201" spans="1:41" ht="15" customHeight="1" x14ac:dyDescent="0.2">
      <c r="A201" s="141" t="s">
        <v>313</v>
      </c>
      <c r="B201" s="187" t="s">
        <v>1759</v>
      </c>
      <c r="C201" s="141">
        <v>2015</v>
      </c>
      <c r="D201" s="188">
        <v>27</v>
      </c>
      <c r="E201" s="135">
        <v>2362</v>
      </c>
      <c r="F201" s="192" t="s">
        <v>663</v>
      </c>
      <c r="G201" s="188">
        <v>0</v>
      </c>
      <c r="H201" s="188">
        <v>0</v>
      </c>
      <c r="I201" s="188">
        <v>0</v>
      </c>
      <c r="J201" s="188">
        <v>0</v>
      </c>
      <c r="K201" s="188">
        <v>0</v>
      </c>
      <c r="L201" s="188">
        <v>0</v>
      </c>
      <c r="M201" s="188">
        <v>0</v>
      </c>
      <c r="N201" s="188">
        <v>0</v>
      </c>
      <c r="O201" s="188">
        <v>0</v>
      </c>
      <c r="P201" s="188">
        <v>1</v>
      </c>
      <c r="Q201" s="188">
        <v>0</v>
      </c>
      <c r="R201" s="188">
        <v>1</v>
      </c>
      <c r="S201" s="188">
        <v>0</v>
      </c>
      <c r="T201" s="188">
        <v>0</v>
      </c>
      <c r="U201" s="188">
        <v>0</v>
      </c>
      <c r="V201" s="188">
        <v>1</v>
      </c>
      <c r="W201" s="188">
        <v>1</v>
      </c>
      <c r="X201" s="188">
        <v>1</v>
      </c>
      <c r="Y201" s="188">
        <v>0</v>
      </c>
      <c r="Z201" s="188">
        <v>0</v>
      </c>
      <c r="AA201" s="188">
        <v>1</v>
      </c>
      <c r="AB201" s="188">
        <v>1</v>
      </c>
      <c r="AC201" s="188">
        <v>0</v>
      </c>
      <c r="AD201" s="188">
        <v>0</v>
      </c>
      <c r="AE201" s="188">
        <v>0</v>
      </c>
      <c r="AF201" s="191">
        <v>2</v>
      </c>
      <c r="AG201" s="183">
        <v>7</v>
      </c>
      <c r="AL201" s="5" t="s">
        <v>1671</v>
      </c>
      <c r="AO201" s="5" t="s">
        <v>1671</v>
      </c>
    </row>
    <row r="202" spans="1:41" ht="15" customHeight="1" x14ac:dyDescent="0.2">
      <c r="A202" s="141" t="s">
        <v>313</v>
      </c>
      <c r="B202" s="187" t="s">
        <v>1759</v>
      </c>
      <c r="C202" s="141">
        <v>2015</v>
      </c>
      <c r="D202" s="188">
        <v>27</v>
      </c>
      <c r="E202" s="135">
        <v>2366</v>
      </c>
      <c r="F202" s="189" t="s">
        <v>660</v>
      </c>
      <c r="G202" s="188">
        <v>0</v>
      </c>
      <c r="H202" s="188">
        <v>1</v>
      </c>
      <c r="I202" s="188">
        <v>0</v>
      </c>
      <c r="J202" s="188">
        <v>0</v>
      </c>
      <c r="K202" s="188">
        <v>1</v>
      </c>
      <c r="L202" s="188">
        <v>0</v>
      </c>
      <c r="M202" s="188">
        <v>1</v>
      </c>
      <c r="N202" s="188">
        <v>0</v>
      </c>
      <c r="O202" s="188">
        <v>0</v>
      </c>
      <c r="P202" s="188">
        <v>0</v>
      </c>
      <c r="Q202" s="188">
        <v>0</v>
      </c>
      <c r="R202" s="188">
        <v>1</v>
      </c>
      <c r="S202" s="188">
        <v>0</v>
      </c>
      <c r="T202" s="188">
        <v>0</v>
      </c>
      <c r="U202" s="188">
        <v>0</v>
      </c>
      <c r="V202" s="188">
        <v>0</v>
      </c>
      <c r="W202" s="188">
        <v>1</v>
      </c>
      <c r="X202" s="188">
        <v>0</v>
      </c>
      <c r="Y202" s="188">
        <v>0</v>
      </c>
      <c r="Z202" s="188">
        <v>0</v>
      </c>
      <c r="AA202" s="188">
        <v>0</v>
      </c>
      <c r="AB202" s="188">
        <v>0</v>
      </c>
      <c r="AC202" s="188">
        <v>0</v>
      </c>
      <c r="AD202" s="188">
        <v>0</v>
      </c>
      <c r="AE202" s="188">
        <v>0</v>
      </c>
      <c r="AF202" s="191">
        <v>0.1</v>
      </c>
      <c r="AG202" s="183">
        <v>5</v>
      </c>
      <c r="AH202" s="4"/>
      <c r="AI202" s="5" t="s">
        <v>1655</v>
      </c>
      <c r="AL202" s="5" t="s">
        <v>1668</v>
      </c>
      <c r="AO202" s="5" t="s">
        <v>1668</v>
      </c>
    </row>
    <row r="203" spans="1:41" ht="15" customHeight="1" x14ac:dyDescent="0.2">
      <c r="A203" s="141" t="s">
        <v>313</v>
      </c>
      <c r="B203" s="187" t="s">
        <v>1759</v>
      </c>
      <c r="C203" s="141">
        <v>2015</v>
      </c>
      <c r="D203" s="188">
        <v>27</v>
      </c>
      <c r="E203" s="135" t="e">
        <v>#N/A</v>
      </c>
      <c r="F203" s="192" t="s">
        <v>1767</v>
      </c>
      <c r="G203" s="188">
        <v>0</v>
      </c>
      <c r="H203" s="188">
        <v>0</v>
      </c>
      <c r="I203" s="188">
        <v>0</v>
      </c>
      <c r="J203" s="188">
        <v>0</v>
      </c>
      <c r="K203" s="188">
        <v>0</v>
      </c>
      <c r="L203" s="188">
        <v>0</v>
      </c>
      <c r="M203" s="188">
        <v>0</v>
      </c>
      <c r="N203" s="188">
        <v>1</v>
      </c>
      <c r="O203" s="188">
        <v>1</v>
      </c>
      <c r="P203" s="188">
        <v>0</v>
      </c>
      <c r="Q203" s="188">
        <v>1</v>
      </c>
      <c r="R203" s="188">
        <v>1</v>
      </c>
      <c r="S203" s="188">
        <v>1</v>
      </c>
      <c r="T203" s="188">
        <v>0</v>
      </c>
      <c r="U203" s="188">
        <v>0</v>
      </c>
      <c r="V203" s="188">
        <v>1</v>
      </c>
      <c r="W203" s="188">
        <v>1</v>
      </c>
      <c r="X203" s="188">
        <v>0</v>
      </c>
      <c r="Y203" s="188">
        <v>0</v>
      </c>
      <c r="Z203" s="188">
        <v>0</v>
      </c>
      <c r="AA203" s="188">
        <v>0</v>
      </c>
      <c r="AB203" s="188">
        <v>0</v>
      </c>
      <c r="AC203" s="188">
        <v>0</v>
      </c>
      <c r="AD203" s="188">
        <v>0</v>
      </c>
      <c r="AE203" s="188">
        <v>0</v>
      </c>
      <c r="AF203" s="190">
        <v>0.1</v>
      </c>
      <c r="AG203" s="183">
        <v>7</v>
      </c>
    </row>
    <row r="204" spans="1:41" ht="15" customHeight="1" x14ac:dyDescent="0.2">
      <c r="A204" s="141" t="s">
        <v>313</v>
      </c>
      <c r="B204" s="187" t="s">
        <v>1759</v>
      </c>
      <c r="C204" s="141">
        <v>2015</v>
      </c>
      <c r="D204" s="188">
        <v>27</v>
      </c>
      <c r="E204" s="135">
        <v>478</v>
      </c>
      <c r="F204" s="192" t="s">
        <v>24</v>
      </c>
      <c r="G204" s="188">
        <v>1</v>
      </c>
      <c r="H204" s="188">
        <v>1</v>
      </c>
      <c r="I204" s="188">
        <v>1</v>
      </c>
      <c r="J204" s="188">
        <v>1</v>
      </c>
      <c r="K204" s="188">
        <v>1</v>
      </c>
      <c r="L204" s="188">
        <v>1</v>
      </c>
      <c r="M204" s="188">
        <v>1</v>
      </c>
      <c r="N204" s="188">
        <v>1</v>
      </c>
      <c r="O204" s="188">
        <v>1</v>
      </c>
      <c r="P204" s="188">
        <v>1</v>
      </c>
      <c r="Q204" s="188">
        <v>1</v>
      </c>
      <c r="R204" s="188">
        <v>1</v>
      </c>
      <c r="S204" s="188">
        <v>1</v>
      </c>
      <c r="T204" s="188">
        <v>1</v>
      </c>
      <c r="U204" s="188">
        <v>1</v>
      </c>
      <c r="V204" s="188">
        <v>0</v>
      </c>
      <c r="W204" s="188">
        <v>1</v>
      </c>
      <c r="X204" s="188">
        <v>0</v>
      </c>
      <c r="Y204" s="188">
        <v>1</v>
      </c>
      <c r="Z204" s="188">
        <v>1</v>
      </c>
      <c r="AA204" s="188">
        <v>1</v>
      </c>
      <c r="AB204" s="188">
        <v>1</v>
      </c>
      <c r="AC204" s="188">
        <v>1</v>
      </c>
      <c r="AD204" s="188">
        <v>1</v>
      </c>
      <c r="AE204" s="188">
        <v>1</v>
      </c>
      <c r="AF204" s="191">
        <v>20</v>
      </c>
      <c r="AG204" s="183">
        <v>23</v>
      </c>
      <c r="AH204" s="4"/>
    </row>
    <row r="205" spans="1:41" ht="15" customHeight="1" x14ac:dyDescent="0.2">
      <c r="A205" s="141" t="s">
        <v>313</v>
      </c>
      <c r="B205" s="187" t="s">
        <v>1759</v>
      </c>
      <c r="C205" s="141">
        <v>2015</v>
      </c>
      <c r="D205" s="188">
        <v>27</v>
      </c>
      <c r="E205" s="135">
        <v>541</v>
      </c>
      <c r="F205" s="192" t="s">
        <v>1313</v>
      </c>
      <c r="G205" s="188">
        <v>1</v>
      </c>
      <c r="H205" s="188">
        <v>1</v>
      </c>
      <c r="I205" s="188">
        <v>1</v>
      </c>
      <c r="J205" s="188">
        <v>1</v>
      </c>
      <c r="K205" s="188">
        <v>1</v>
      </c>
      <c r="L205" s="188">
        <v>1</v>
      </c>
      <c r="M205" s="188">
        <v>1</v>
      </c>
      <c r="N205" s="188">
        <v>1</v>
      </c>
      <c r="O205" s="188">
        <v>1</v>
      </c>
      <c r="P205" s="188">
        <v>1</v>
      </c>
      <c r="Q205" s="188">
        <v>1</v>
      </c>
      <c r="R205" s="188">
        <v>1</v>
      </c>
      <c r="S205" s="188">
        <v>1</v>
      </c>
      <c r="T205" s="188">
        <v>1</v>
      </c>
      <c r="U205" s="188">
        <v>1</v>
      </c>
      <c r="V205" s="188">
        <v>1</v>
      </c>
      <c r="W205" s="188">
        <v>1</v>
      </c>
      <c r="X205" s="188">
        <v>1</v>
      </c>
      <c r="Y205" s="188">
        <v>1</v>
      </c>
      <c r="Z205" s="188">
        <v>1</v>
      </c>
      <c r="AA205" s="188">
        <v>1</v>
      </c>
      <c r="AB205" s="188">
        <v>1</v>
      </c>
      <c r="AC205" s="188">
        <v>1</v>
      </c>
      <c r="AD205" s="188">
        <v>1</v>
      </c>
      <c r="AE205" s="188">
        <v>1</v>
      </c>
      <c r="AF205" s="191">
        <v>80</v>
      </c>
      <c r="AG205" s="183">
        <v>25</v>
      </c>
      <c r="AH205" s="4"/>
    </row>
    <row r="206" spans="1:41" ht="15" customHeight="1" x14ac:dyDescent="0.2">
      <c r="A206" s="141" t="s">
        <v>313</v>
      </c>
      <c r="B206" s="187" t="s">
        <v>1759</v>
      </c>
      <c r="C206" s="141">
        <v>2015</v>
      </c>
      <c r="D206" s="188">
        <v>27</v>
      </c>
      <c r="E206" s="135" t="e">
        <v>#N/A</v>
      </c>
      <c r="F206" s="192" t="s">
        <v>1774</v>
      </c>
      <c r="G206" s="188">
        <v>0</v>
      </c>
      <c r="H206" s="188">
        <v>0</v>
      </c>
      <c r="I206" s="188">
        <v>1</v>
      </c>
      <c r="J206" s="188">
        <v>0</v>
      </c>
      <c r="K206" s="188">
        <v>0</v>
      </c>
      <c r="L206" s="188">
        <v>0</v>
      </c>
      <c r="M206" s="188">
        <v>0</v>
      </c>
      <c r="N206" s="188">
        <v>0</v>
      </c>
      <c r="O206" s="188">
        <v>0</v>
      </c>
      <c r="P206" s="188">
        <v>0</v>
      </c>
      <c r="Q206" s="188">
        <v>0</v>
      </c>
      <c r="R206" s="188">
        <v>0</v>
      </c>
      <c r="S206" s="188">
        <v>0</v>
      </c>
      <c r="T206" s="188">
        <v>0</v>
      </c>
      <c r="U206" s="188">
        <v>0</v>
      </c>
      <c r="V206" s="188">
        <v>0</v>
      </c>
      <c r="W206" s="188">
        <v>0</v>
      </c>
      <c r="X206" s="188">
        <v>0</v>
      </c>
      <c r="Y206" s="188">
        <v>0</v>
      </c>
      <c r="Z206" s="188">
        <v>0</v>
      </c>
      <c r="AA206" s="188">
        <v>0</v>
      </c>
      <c r="AB206" s="188">
        <v>0</v>
      </c>
      <c r="AC206" s="188">
        <v>1</v>
      </c>
      <c r="AD206" s="188">
        <v>0</v>
      </c>
      <c r="AE206" s="188">
        <v>0</v>
      </c>
      <c r="AF206" s="191">
        <v>0.1</v>
      </c>
      <c r="AG206" s="183">
        <v>2</v>
      </c>
      <c r="AI206" s="5" t="s">
        <v>1655</v>
      </c>
      <c r="AL206" s="5" t="s">
        <v>1668</v>
      </c>
      <c r="AM206" s="5" t="s">
        <v>1434</v>
      </c>
      <c r="AO206" s="5" t="s">
        <v>1434</v>
      </c>
    </row>
    <row r="207" spans="1:41" ht="15" customHeight="1" x14ac:dyDescent="0.2">
      <c r="A207" s="141" t="s">
        <v>313</v>
      </c>
      <c r="B207" s="187" t="s">
        <v>1759</v>
      </c>
      <c r="C207" s="141">
        <v>2015</v>
      </c>
      <c r="D207" s="188">
        <v>27</v>
      </c>
      <c r="E207" s="135">
        <v>2695</v>
      </c>
      <c r="F207" s="192" t="s">
        <v>569</v>
      </c>
      <c r="G207" s="188">
        <v>0</v>
      </c>
      <c r="H207" s="188">
        <v>0</v>
      </c>
      <c r="I207" s="188">
        <v>0</v>
      </c>
      <c r="J207" s="188">
        <v>0</v>
      </c>
      <c r="K207" s="188">
        <v>1</v>
      </c>
      <c r="L207" s="188">
        <v>0</v>
      </c>
      <c r="M207" s="188">
        <v>0</v>
      </c>
      <c r="N207" s="188">
        <v>0</v>
      </c>
      <c r="O207" s="188">
        <v>0</v>
      </c>
      <c r="P207" s="188">
        <v>0</v>
      </c>
      <c r="Q207" s="188">
        <v>0</v>
      </c>
      <c r="R207" s="188">
        <v>0</v>
      </c>
      <c r="S207" s="188">
        <v>0</v>
      </c>
      <c r="T207" s="188">
        <v>1</v>
      </c>
      <c r="U207" s="188">
        <v>0</v>
      </c>
      <c r="V207" s="188">
        <v>0</v>
      </c>
      <c r="W207" s="188">
        <v>0</v>
      </c>
      <c r="X207" s="188">
        <v>0</v>
      </c>
      <c r="Y207" s="188">
        <v>0</v>
      </c>
      <c r="Z207" s="188">
        <v>0</v>
      </c>
      <c r="AA207" s="188">
        <v>0</v>
      </c>
      <c r="AB207" s="188">
        <v>0</v>
      </c>
      <c r="AC207" s="188">
        <v>0</v>
      </c>
      <c r="AD207" s="188">
        <v>0</v>
      </c>
      <c r="AE207" s="188">
        <v>0</v>
      </c>
      <c r="AF207" s="191">
        <v>0.1</v>
      </c>
      <c r="AG207" s="183">
        <v>2</v>
      </c>
      <c r="AH207" s="4"/>
      <c r="AI207" s="5" t="s">
        <v>1655</v>
      </c>
      <c r="AL207" s="5" t="s">
        <v>1668</v>
      </c>
      <c r="AO207" s="5" t="s">
        <v>1668</v>
      </c>
    </row>
    <row r="208" spans="1:41" ht="15" customHeight="1" x14ac:dyDescent="0.2">
      <c r="A208" s="141" t="s">
        <v>313</v>
      </c>
      <c r="B208" s="187" t="s">
        <v>1759</v>
      </c>
      <c r="C208" s="141">
        <v>2015</v>
      </c>
      <c r="D208" s="188">
        <v>27</v>
      </c>
      <c r="E208" s="135">
        <v>706</v>
      </c>
      <c r="F208" s="192" t="s">
        <v>1236</v>
      </c>
      <c r="G208" s="188">
        <v>0</v>
      </c>
      <c r="H208" s="188">
        <v>0</v>
      </c>
      <c r="I208" s="188">
        <v>0</v>
      </c>
      <c r="J208" s="188">
        <v>0</v>
      </c>
      <c r="K208" s="188">
        <v>1</v>
      </c>
      <c r="L208" s="188">
        <v>0</v>
      </c>
      <c r="M208" s="188">
        <v>0</v>
      </c>
      <c r="N208" s="188">
        <v>0</v>
      </c>
      <c r="O208" s="188">
        <v>0</v>
      </c>
      <c r="P208" s="188">
        <v>0</v>
      </c>
      <c r="Q208" s="188">
        <v>0</v>
      </c>
      <c r="R208" s="188">
        <v>0</v>
      </c>
      <c r="S208" s="188">
        <v>0</v>
      </c>
      <c r="T208" s="188">
        <v>0</v>
      </c>
      <c r="U208" s="188">
        <v>0</v>
      </c>
      <c r="V208" s="188">
        <v>0</v>
      </c>
      <c r="W208" s="188">
        <v>0</v>
      </c>
      <c r="X208" s="188">
        <v>0</v>
      </c>
      <c r="Y208" s="188">
        <v>0</v>
      </c>
      <c r="Z208" s="188">
        <v>0</v>
      </c>
      <c r="AA208" s="188">
        <v>0</v>
      </c>
      <c r="AB208" s="188">
        <v>0</v>
      </c>
      <c r="AC208" s="188">
        <v>0</v>
      </c>
      <c r="AD208" s="188">
        <v>0</v>
      </c>
      <c r="AE208" s="188">
        <v>0</v>
      </c>
      <c r="AF208" s="191">
        <v>0.1</v>
      </c>
      <c r="AG208" s="183">
        <v>1</v>
      </c>
      <c r="AI208" s="5" t="s">
        <v>1655</v>
      </c>
      <c r="AL208" s="5" t="s">
        <v>1668</v>
      </c>
      <c r="AO208" s="5" t="s">
        <v>1668</v>
      </c>
    </row>
    <row r="209" spans="1:41" ht="15" customHeight="1" x14ac:dyDescent="0.2">
      <c r="A209" s="141" t="s">
        <v>313</v>
      </c>
      <c r="B209" s="187" t="s">
        <v>1759</v>
      </c>
      <c r="C209" s="141">
        <v>2015</v>
      </c>
      <c r="D209" s="188">
        <v>27</v>
      </c>
      <c r="E209" s="135" t="e">
        <v>#N/A</v>
      </c>
      <c r="F209" s="192" t="s">
        <v>1773</v>
      </c>
      <c r="G209" s="188">
        <v>0</v>
      </c>
      <c r="H209" s="188">
        <v>0</v>
      </c>
      <c r="I209" s="188">
        <v>1</v>
      </c>
      <c r="J209" s="188">
        <v>0</v>
      </c>
      <c r="K209" s="188">
        <v>0</v>
      </c>
      <c r="L209" s="188">
        <v>0</v>
      </c>
      <c r="M209" s="188">
        <v>0</v>
      </c>
      <c r="N209" s="188">
        <v>0</v>
      </c>
      <c r="O209" s="188">
        <v>1</v>
      </c>
      <c r="P209" s="188">
        <v>0</v>
      </c>
      <c r="Q209" s="188">
        <v>0</v>
      </c>
      <c r="R209" s="188">
        <v>0</v>
      </c>
      <c r="S209" s="188">
        <v>0</v>
      </c>
      <c r="T209" s="188">
        <v>0</v>
      </c>
      <c r="U209" s="188">
        <v>0</v>
      </c>
      <c r="V209" s="188">
        <v>0</v>
      </c>
      <c r="W209" s="188">
        <v>1</v>
      </c>
      <c r="X209" s="188">
        <v>1</v>
      </c>
      <c r="Y209" s="188">
        <v>1</v>
      </c>
      <c r="Z209" s="188">
        <v>0</v>
      </c>
      <c r="AA209" s="188">
        <v>0</v>
      </c>
      <c r="AB209" s="188">
        <v>0</v>
      </c>
      <c r="AC209" s="188">
        <v>0</v>
      </c>
      <c r="AD209" s="188">
        <v>1</v>
      </c>
      <c r="AE209" s="188">
        <v>0</v>
      </c>
      <c r="AF209" s="191">
        <v>0.1</v>
      </c>
      <c r="AG209" s="183">
        <v>6</v>
      </c>
      <c r="AI209" s="5" t="s">
        <v>1655</v>
      </c>
      <c r="AL209" s="5" t="s">
        <v>1668</v>
      </c>
      <c r="AM209" s="5" t="s">
        <v>1434</v>
      </c>
      <c r="AO209" s="5" t="s">
        <v>1434</v>
      </c>
    </row>
    <row r="210" spans="1:41" ht="15" customHeight="1" x14ac:dyDescent="0.2">
      <c r="A210" s="141" t="s">
        <v>313</v>
      </c>
      <c r="B210" s="187" t="s">
        <v>1759</v>
      </c>
      <c r="C210" s="141">
        <v>2015</v>
      </c>
      <c r="D210" s="188">
        <v>27</v>
      </c>
      <c r="E210" s="135">
        <v>1894</v>
      </c>
      <c r="F210" s="192" t="s">
        <v>795</v>
      </c>
      <c r="G210" s="188">
        <v>0</v>
      </c>
      <c r="H210" s="188">
        <v>1</v>
      </c>
      <c r="I210" s="188">
        <v>1</v>
      </c>
      <c r="J210" s="188">
        <v>1</v>
      </c>
      <c r="K210" s="188">
        <v>1</v>
      </c>
      <c r="L210" s="188">
        <v>1</v>
      </c>
      <c r="M210" s="188">
        <v>1</v>
      </c>
      <c r="N210" s="188">
        <v>1</v>
      </c>
      <c r="O210" s="188">
        <v>1</v>
      </c>
      <c r="P210" s="188">
        <v>1</v>
      </c>
      <c r="Q210" s="188">
        <v>1</v>
      </c>
      <c r="R210" s="188">
        <v>1</v>
      </c>
      <c r="S210" s="188">
        <v>1</v>
      </c>
      <c r="T210" s="188">
        <v>1</v>
      </c>
      <c r="U210" s="188">
        <v>1</v>
      </c>
      <c r="V210" s="188">
        <v>1</v>
      </c>
      <c r="W210" s="188">
        <v>1</v>
      </c>
      <c r="X210" s="188">
        <v>1</v>
      </c>
      <c r="Y210" s="188">
        <v>0</v>
      </c>
      <c r="Z210" s="188">
        <v>1</v>
      </c>
      <c r="AA210" s="188">
        <v>1</v>
      </c>
      <c r="AB210" s="188">
        <v>1</v>
      </c>
      <c r="AC210" s="188">
        <v>0</v>
      </c>
      <c r="AD210" s="188">
        <v>1</v>
      </c>
      <c r="AE210" s="188">
        <v>1</v>
      </c>
      <c r="AF210" s="191">
        <v>10</v>
      </c>
      <c r="AG210" s="183">
        <v>22</v>
      </c>
      <c r="AH210" s="4"/>
    </row>
    <row r="211" spans="1:41" ht="15" customHeight="1" x14ac:dyDescent="0.2">
      <c r="A211" s="141" t="s">
        <v>313</v>
      </c>
      <c r="B211" s="187" t="s">
        <v>1759</v>
      </c>
      <c r="C211" s="141">
        <v>2015</v>
      </c>
      <c r="D211" s="188">
        <v>27</v>
      </c>
      <c r="E211" s="135">
        <v>2634</v>
      </c>
      <c r="F211" s="192" t="s">
        <v>594</v>
      </c>
      <c r="G211" s="188">
        <v>0</v>
      </c>
      <c r="H211" s="188">
        <v>0</v>
      </c>
      <c r="I211" s="188">
        <v>0</v>
      </c>
      <c r="J211" s="188">
        <v>0</v>
      </c>
      <c r="K211" s="188">
        <v>0</v>
      </c>
      <c r="L211" s="188">
        <v>0</v>
      </c>
      <c r="M211" s="188">
        <v>0</v>
      </c>
      <c r="N211" s="188">
        <v>0</v>
      </c>
      <c r="O211" s="188">
        <v>0</v>
      </c>
      <c r="P211" s="188">
        <v>1</v>
      </c>
      <c r="Q211" s="188">
        <v>0</v>
      </c>
      <c r="R211" s="188">
        <v>0</v>
      </c>
      <c r="S211" s="188">
        <v>0</v>
      </c>
      <c r="T211" s="188">
        <v>0</v>
      </c>
      <c r="U211" s="188">
        <v>0</v>
      </c>
      <c r="V211" s="188">
        <v>0</v>
      </c>
      <c r="W211" s="188">
        <v>0</v>
      </c>
      <c r="X211" s="188">
        <v>0</v>
      </c>
      <c r="Y211" s="188">
        <v>0</v>
      </c>
      <c r="Z211" s="188">
        <v>0</v>
      </c>
      <c r="AA211" s="188">
        <v>0</v>
      </c>
      <c r="AB211" s="188">
        <v>0</v>
      </c>
      <c r="AC211" s="188">
        <v>0</v>
      </c>
      <c r="AD211" s="188">
        <v>0</v>
      </c>
      <c r="AE211" s="188">
        <v>0</v>
      </c>
      <c r="AF211" s="191">
        <v>0.1</v>
      </c>
      <c r="AG211" s="183">
        <v>1</v>
      </c>
      <c r="AI211" s="5" t="s">
        <v>1655</v>
      </c>
      <c r="AL211" s="5" t="s">
        <v>1668</v>
      </c>
      <c r="AO211" s="5" t="s">
        <v>1668</v>
      </c>
    </row>
    <row r="212" spans="1:41" ht="15" customHeight="1" x14ac:dyDescent="0.2">
      <c r="A212" s="141" t="s">
        <v>313</v>
      </c>
      <c r="B212" s="187" t="s">
        <v>1759</v>
      </c>
      <c r="C212" s="141">
        <v>2015</v>
      </c>
      <c r="D212" s="188">
        <v>27</v>
      </c>
      <c r="E212" s="135" t="e">
        <v>#N/A</v>
      </c>
      <c r="F212" s="189" t="s">
        <v>1772</v>
      </c>
      <c r="G212" s="188">
        <v>1</v>
      </c>
      <c r="H212" s="188">
        <v>0</v>
      </c>
      <c r="I212" s="188">
        <v>0</v>
      </c>
      <c r="J212" s="188">
        <v>0</v>
      </c>
      <c r="K212" s="188">
        <v>0</v>
      </c>
      <c r="L212" s="188">
        <v>1</v>
      </c>
      <c r="M212" s="188">
        <v>0</v>
      </c>
      <c r="N212" s="188">
        <v>0</v>
      </c>
      <c r="O212" s="188">
        <v>1</v>
      </c>
      <c r="P212" s="188">
        <v>1</v>
      </c>
      <c r="Q212" s="188">
        <v>1</v>
      </c>
      <c r="R212" s="188">
        <v>0</v>
      </c>
      <c r="S212" s="188">
        <v>0</v>
      </c>
      <c r="T212" s="188">
        <v>1</v>
      </c>
      <c r="U212" s="188">
        <v>1</v>
      </c>
      <c r="V212" s="188">
        <v>1</v>
      </c>
      <c r="W212" s="188">
        <v>1</v>
      </c>
      <c r="X212" s="188">
        <v>1</v>
      </c>
      <c r="Y212" s="188">
        <v>0</v>
      </c>
      <c r="Z212" s="188">
        <v>0</v>
      </c>
      <c r="AA212" s="188">
        <v>1</v>
      </c>
      <c r="AB212" s="188">
        <v>0</v>
      </c>
      <c r="AC212" s="188">
        <v>0</v>
      </c>
      <c r="AD212" s="188">
        <v>0</v>
      </c>
      <c r="AE212" s="188">
        <v>0</v>
      </c>
      <c r="AF212" s="191">
        <v>4</v>
      </c>
      <c r="AG212" s="183">
        <v>11</v>
      </c>
      <c r="AL212" s="5" t="s">
        <v>1434</v>
      </c>
      <c r="AO212" s="5" t="s">
        <v>1434</v>
      </c>
    </row>
    <row r="213" spans="1:41" ht="15" customHeight="1" x14ac:dyDescent="0.2">
      <c r="A213" s="141" t="s">
        <v>313</v>
      </c>
      <c r="B213" s="187" t="s">
        <v>1759</v>
      </c>
      <c r="C213" s="141">
        <v>2015</v>
      </c>
      <c r="D213" s="188">
        <v>29</v>
      </c>
      <c r="E213" s="135">
        <v>2607</v>
      </c>
      <c r="F213" s="192" t="s">
        <v>616</v>
      </c>
      <c r="G213" s="188">
        <v>0</v>
      </c>
      <c r="H213" s="188">
        <v>0</v>
      </c>
      <c r="I213" s="188">
        <v>0</v>
      </c>
      <c r="J213" s="188">
        <v>0</v>
      </c>
      <c r="K213" s="188">
        <v>0</v>
      </c>
      <c r="L213" s="188">
        <v>1</v>
      </c>
      <c r="M213" s="188">
        <v>0</v>
      </c>
      <c r="N213" s="188">
        <v>0</v>
      </c>
      <c r="O213" s="188">
        <v>0</v>
      </c>
      <c r="P213" s="188">
        <v>0</v>
      </c>
      <c r="Q213" s="188">
        <v>0</v>
      </c>
      <c r="R213" s="188">
        <v>0</v>
      </c>
      <c r="S213" s="188">
        <v>0</v>
      </c>
      <c r="T213" s="188">
        <v>0</v>
      </c>
      <c r="U213" s="188">
        <v>0</v>
      </c>
      <c r="V213" s="188">
        <v>1</v>
      </c>
      <c r="W213" s="188">
        <v>0</v>
      </c>
      <c r="X213" s="188">
        <v>0</v>
      </c>
      <c r="Y213" s="188">
        <v>0</v>
      </c>
      <c r="Z213" s="188">
        <v>0</v>
      </c>
      <c r="AA213" s="188">
        <v>0</v>
      </c>
      <c r="AB213" s="188">
        <v>0</v>
      </c>
      <c r="AC213" s="188">
        <v>0</v>
      </c>
      <c r="AD213" s="188">
        <v>0</v>
      </c>
      <c r="AE213" s="188">
        <v>0</v>
      </c>
      <c r="AF213" s="191">
        <v>0.1</v>
      </c>
      <c r="AG213" s="183">
        <v>2</v>
      </c>
      <c r="AI213" s="5" t="s">
        <v>1655</v>
      </c>
      <c r="AL213" s="5" t="s">
        <v>1668</v>
      </c>
      <c r="AO213" s="5" t="s">
        <v>1668</v>
      </c>
    </row>
    <row r="214" spans="1:41" ht="15" customHeight="1" x14ac:dyDescent="0.2">
      <c r="A214" s="141" t="s">
        <v>313</v>
      </c>
      <c r="B214" s="187" t="s">
        <v>1759</v>
      </c>
      <c r="C214" s="141">
        <v>2015</v>
      </c>
      <c r="D214" s="188">
        <v>29</v>
      </c>
      <c r="E214" s="135">
        <v>278</v>
      </c>
      <c r="F214" s="192" t="s">
        <v>132</v>
      </c>
      <c r="G214" s="188">
        <v>1</v>
      </c>
      <c r="H214" s="188">
        <v>1</v>
      </c>
      <c r="I214" s="188">
        <v>1</v>
      </c>
      <c r="J214" s="188">
        <v>1</v>
      </c>
      <c r="K214" s="188">
        <v>1</v>
      </c>
      <c r="L214" s="188">
        <v>1</v>
      </c>
      <c r="M214" s="188">
        <v>1</v>
      </c>
      <c r="N214" s="188">
        <v>1</v>
      </c>
      <c r="O214" s="188">
        <v>1</v>
      </c>
      <c r="P214" s="188">
        <v>1</v>
      </c>
      <c r="Q214" s="188">
        <v>1</v>
      </c>
      <c r="R214" s="188">
        <v>1</v>
      </c>
      <c r="S214" s="188">
        <v>1</v>
      </c>
      <c r="T214" s="188">
        <v>1</v>
      </c>
      <c r="U214" s="188">
        <v>1</v>
      </c>
      <c r="V214" s="188">
        <v>1</v>
      </c>
      <c r="W214" s="188">
        <v>1</v>
      </c>
      <c r="X214" s="188">
        <v>1</v>
      </c>
      <c r="Y214" s="188">
        <v>1</v>
      </c>
      <c r="Z214" s="188">
        <v>1</v>
      </c>
      <c r="AA214" s="188">
        <v>1</v>
      </c>
      <c r="AB214" s="188">
        <v>1</v>
      </c>
      <c r="AC214" s="188">
        <v>1</v>
      </c>
      <c r="AD214" s="188">
        <v>1</v>
      </c>
      <c r="AE214" s="188">
        <v>1</v>
      </c>
      <c r="AF214" s="191">
        <v>45</v>
      </c>
      <c r="AG214" s="183">
        <v>25</v>
      </c>
    </row>
    <row r="215" spans="1:41" ht="15" customHeight="1" x14ac:dyDescent="0.2">
      <c r="A215" s="141" t="s">
        <v>313</v>
      </c>
      <c r="B215" s="187" t="s">
        <v>1759</v>
      </c>
      <c r="C215" s="141">
        <v>2015</v>
      </c>
      <c r="D215" s="188">
        <v>29</v>
      </c>
      <c r="E215" s="135">
        <v>1576</v>
      </c>
      <c r="F215" s="192" t="s">
        <v>882</v>
      </c>
      <c r="G215" s="188">
        <v>1</v>
      </c>
      <c r="H215" s="188">
        <v>1</v>
      </c>
      <c r="I215" s="188">
        <v>1</v>
      </c>
      <c r="J215" s="188">
        <v>1</v>
      </c>
      <c r="K215" s="188">
        <v>1</v>
      </c>
      <c r="L215" s="188">
        <v>1</v>
      </c>
      <c r="M215" s="188">
        <v>1</v>
      </c>
      <c r="N215" s="188">
        <v>1</v>
      </c>
      <c r="O215" s="188">
        <v>1</v>
      </c>
      <c r="P215" s="188">
        <v>1</v>
      </c>
      <c r="Q215" s="188">
        <v>1</v>
      </c>
      <c r="R215" s="188">
        <v>1</v>
      </c>
      <c r="S215" s="188">
        <v>1</v>
      </c>
      <c r="T215" s="188">
        <v>1</v>
      </c>
      <c r="U215" s="188">
        <v>1</v>
      </c>
      <c r="V215" s="188">
        <v>1</v>
      </c>
      <c r="W215" s="188">
        <v>1</v>
      </c>
      <c r="X215" s="188">
        <v>1</v>
      </c>
      <c r="Y215" s="188">
        <v>1</v>
      </c>
      <c r="Z215" s="188">
        <v>1</v>
      </c>
      <c r="AA215" s="188">
        <v>1</v>
      </c>
      <c r="AB215" s="188">
        <v>1</v>
      </c>
      <c r="AC215" s="188">
        <v>1</v>
      </c>
      <c r="AD215" s="188">
        <v>1</v>
      </c>
      <c r="AE215" s="188">
        <v>1</v>
      </c>
      <c r="AF215" s="191">
        <v>90</v>
      </c>
      <c r="AG215" s="183">
        <v>25</v>
      </c>
    </row>
    <row r="216" spans="1:41" ht="15" customHeight="1" x14ac:dyDescent="0.2">
      <c r="A216" s="141" t="s">
        <v>313</v>
      </c>
      <c r="B216" s="187" t="s">
        <v>1759</v>
      </c>
      <c r="C216" s="141">
        <v>2015</v>
      </c>
      <c r="D216" s="188">
        <v>29</v>
      </c>
      <c r="E216" s="135">
        <v>2359</v>
      </c>
      <c r="F216" s="192" t="s">
        <v>665</v>
      </c>
      <c r="G216" s="188">
        <v>0</v>
      </c>
      <c r="H216" s="188">
        <v>0</v>
      </c>
      <c r="I216" s="188">
        <v>0</v>
      </c>
      <c r="J216" s="188">
        <v>0</v>
      </c>
      <c r="K216" s="188">
        <v>1</v>
      </c>
      <c r="L216" s="188">
        <v>0</v>
      </c>
      <c r="M216" s="188">
        <v>1</v>
      </c>
      <c r="N216" s="188">
        <v>0</v>
      </c>
      <c r="O216" s="188">
        <v>0</v>
      </c>
      <c r="P216" s="188">
        <v>1</v>
      </c>
      <c r="Q216" s="188">
        <v>1</v>
      </c>
      <c r="R216" s="188">
        <v>0</v>
      </c>
      <c r="S216" s="188">
        <v>0</v>
      </c>
      <c r="T216" s="188">
        <v>1</v>
      </c>
      <c r="U216" s="188">
        <v>0</v>
      </c>
      <c r="V216" s="188">
        <v>0</v>
      </c>
      <c r="W216" s="188">
        <v>1</v>
      </c>
      <c r="X216" s="188">
        <v>1</v>
      </c>
      <c r="Y216" s="188">
        <v>0</v>
      </c>
      <c r="Z216" s="188">
        <v>1</v>
      </c>
      <c r="AA216" s="188">
        <v>0</v>
      </c>
      <c r="AB216" s="188">
        <v>1</v>
      </c>
      <c r="AC216" s="188">
        <v>0</v>
      </c>
      <c r="AD216" s="188">
        <v>0</v>
      </c>
      <c r="AE216" s="188">
        <v>0</v>
      </c>
      <c r="AF216" s="191">
        <v>0.1</v>
      </c>
      <c r="AG216" s="183">
        <v>9</v>
      </c>
      <c r="AI216" s="5" t="s">
        <v>1655</v>
      </c>
      <c r="AL216" s="5" t="s">
        <v>1668</v>
      </c>
      <c r="AO216" s="5" t="s">
        <v>1668</v>
      </c>
    </row>
    <row r="217" spans="1:41" ht="15" customHeight="1" x14ac:dyDescent="0.2">
      <c r="A217" s="141" t="s">
        <v>313</v>
      </c>
      <c r="B217" s="187" t="s">
        <v>1759</v>
      </c>
      <c r="C217" s="141">
        <v>2015</v>
      </c>
      <c r="D217" s="188">
        <v>29</v>
      </c>
      <c r="E217" s="135">
        <v>2362</v>
      </c>
      <c r="F217" s="192" t="s">
        <v>663</v>
      </c>
      <c r="G217" s="188">
        <v>0</v>
      </c>
      <c r="H217" s="188">
        <v>0</v>
      </c>
      <c r="I217" s="188">
        <v>0</v>
      </c>
      <c r="J217" s="188">
        <v>0</v>
      </c>
      <c r="K217" s="188">
        <v>0</v>
      </c>
      <c r="L217" s="188">
        <v>0</v>
      </c>
      <c r="M217" s="188">
        <v>0</v>
      </c>
      <c r="N217" s="188">
        <v>1</v>
      </c>
      <c r="O217" s="188">
        <v>0</v>
      </c>
      <c r="P217" s="188">
        <v>0</v>
      </c>
      <c r="Q217" s="188">
        <v>0</v>
      </c>
      <c r="R217" s="188">
        <v>1</v>
      </c>
      <c r="S217" s="188">
        <v>1</v>
      </c>
      <c r="T217" s="188">
        <v>0</v>
      </c>
      <c r="U217" s="188">
        <v>0</v>
      </c>
      <c r="V217" s="188">
        <v>0</v>
      </c>
      <c r="W217" s="188">
        <v>0</v>
      </c>
      <c r="X217" s="188">
        <v>1</v>
      </c>
      <c r="Y217" s="188">
        <v>0</v>
      </c>
      <c r="Z217" s="188">
        <v>1</v>
      </c>
      <c r="AA217" s="188">
        <v>0</v>
      </c>
      <c r="AB217" s="188">
        <v>1</v>
      </c>
      <c r="AC217" s="188">
        <v>1</v>
      </c>
      <c r="AD217" s="188">
        <v>1</v>
      </c>
      <c r="AE217" s="188">
        <v>0</v>
      </c>
      <c r="AF217" s="191">
        <v>0.1</v>
      </c>
      <c r="AG217" s="183">
        <v>8</v>
      </c>
      <c r="AI217" s="5" t="s">
        <v>1655</v>
      </c>
      <c r="AJ217" s="5" t="s">
        <v>1659</v>
      </c>
      <c r="AL217" s="5" t="s">
        <v>1668</v>
      </c>
      <c r="AO217" s="5" t="s">
        <v>1668</v>
      </c>
    </row>
    <row r="218" spans="1:41" ht="15" customHeight="1" x14ac:dyDescent="0.2">
      <c r="A218" s="141" t="s">
        <v>313</v>
      </c>
      <c r="B218" s="187" t="s">
        <v>1759</v>
      </c>
      <c r="C218" s="141">
        <v>2015</v>
      </c>
      <c r="D218" s="188">
        <v>29</v>
      </c>
      <c r="E218" s="135">
        <v>2362</v>
      </c>
      <c r="F218" s="189" t="s">
        <v>663</v>
      </c>
      <c r="G218" s="188">
        <v>0</v>
      </c>
      <c r="H218" s="188">
        <v>0</v>
      </c>
      <c r="I218" s="188">
        <v>0</v>
      </c>
      <c r="J218" s="188">
        <v>0</v>
      </c>
      <c r="K218" s="188">
        <v>0</v>
      </c>
      <c r="L218" s="188">
        <v>0</v>
      </c>
      <c r="M218" s="188">
        <v>0</v>
      </c>
      <c r="N218" s="188">
        <v>1</v>
      </c>
      <c r="O218" s="188">
        <v>0</v>
      </c>
      <c r="P218" s="188">
        <v>0</v>
      </c>
      <c r="Q218" s="188">
        <v>0</v>
      </c>
      <c r="R218" s="188">
        <v>0</v>
      </c>
      <c r="S218" s="188">
        <v>0</v>
      </c>
      <c r="T218" s="188">
        <v>0</v>
      </c>
      <c r="U218" s="188">
        <v>0</v>
      </c>
      <c r="V218" s="188">
        <v>0</v>
      </c>
      <c r="W218" s="188">
        <v>0</v>
      </c>
      <c r="X218" s="188">
        <v>0</v>
      </c>
      <c r="Y218" s="188">
        <v>0</v>
      </c>
      <c r="Z218" s="188">
        <v>0</v>
      </c>
      <c r="AA218" s="188">
        <v>0</v>
      </c>
      <c r="AB218" s="188">
        <v>0</v>
      </c>
      <c r="AC218" s="188">
        <v>0</v>
      </c>
      <c r="AD218" s="188">
        <v>0</v>
      </c>
      <c r="AE218" s="188">
        <v>0</v>
      </c>
      <c r="AF218" s="191">
        <v>0.1</v>
      </c>
      <c r="AG218" s="183">
        <v>1</v>
      </c>
      <c r="AI218" s="5" t="s">
        <v>1655</v>
      </c>
      <c r="AJ218" s="5" t="s">
        <v>1659</v>
      </c>
      <c r="AL218" s="5" t="s">
        <v>1668</v>
      </c>
      <c r="AM218" s="5" t="s">
        <v>1671</v>
      </c>
      <c r="AO218" s="5" t="s">
        <v>1668</v>
      </c>
    </row>
    <row r="219" spans="1:41" ht="15" customHeight="1" x14ac:dyDescent="0.2">
      <c r="A219" s="141" t="s">
        <v>313</v>
      </c>
      <c r="B219" s="187" t="s">
        <v>1759</v>
      </c>
      <c r="C219" s="141">
        <v>2015</v>
      </c>
      <c r="D219" s="188">
        <v>29</v>
      </c>
      <c r="E219" s="135" t="e">
        <v>#N/A</v>
      </c>
      <c r="F219" s="192" t="s">
        <v>1769</v>
      </c>
      <c r="G219" s="188">
        <v>1</v>
      </c>
      <c r="H219" s="188">
        <v>0</v>
      </c>
      <c r="I219" s="188">
        <v>1</v>
      </c>
      <c r="J219" s="188">
        <v>1</v>
      </c>
      <c r="K219" s="188">
        <v>1</v>
      </c>
      <c r="L219" s="188">
        <v>1</v>
      </c>
      <c r="M219" s="188">
        <v>0</v>
      </c>
      <c r="N219" s="188">
        <v>1</v>
      </c>
      <c r="O219" s="188">
        <v>0</v>
      </c>
      <c r="P219" s="188">
        <v>1</v>
      </c>
      <c r="Q219" s="188">
        <v>0</v>
      </c>
      <c r="R219" s="188">
        <v>0</v>
      </c>
      <c r="S219" s="188">
        <v>0</v>
      </c>
      <c r="T219" s="188">
        <v>1</v>
      </c>
      <c r="U219" s="188">
        <v>1</v>
      </c>
      <c r="V219" s="188">
        <v>1</v>
      </c>
      <c r="W219" s="188">
        <v>0</v>
      </c>
      <c r="X219" s="188">
        <v>0</v>
      </c>
      <c r="Y219" s="188">
        <v>0</v>
      </c>
      <c r="Z219" s="188">
        <v>1</v>
      </c>
      <c r="AA219" s="188">
        <v>1</v>
      </c>
      <c r="AB219" s="188">
        <v>0</v>
      </c>
      <c r="AC219" s="188">
        <v>0</v>
      </c>
      <c r="AD219" s="188">
        <v>1</v>
      </c>
      <c r="AE219" s="188">
        <v>0</v>
      </c>
      <c r="AF219" s="191">
        <v>0.1</v>
      </c>
      <c r="AG219" s="183">
        <v>13</v>
      </c>
      <c r="AH219" s="5" t="s">
        <v>1969</v>
      </c>
      <c r="AI219" s="5" t="s">
        <v>1655</v>
      </c>
      <c r="AJ219" s="5" t="s">
        <v>1660</v>
      </c>
      <c r="AK219" s="5" t="s">
        <v>1468</v>
      </c>
      <c r="AL219" s="5" t="s">
        <v>1669</v>
      </c>
      <c r="AM219" s="5" t="s">
        <v>1433</v>
      </c>
      <c r="AN219" s="5" t="s">
        <v>1671</v>
      </c>
      <c r="AO219" s="5" t="s">
        <v>1676</v>
      </c>
    </row>
    <row r="220" spans="1:41" ht="15" customHeight="1" x14ac:dyDescent="0.2">
      <c r="A220" s="141" t="s">
        <v>313</v>
      </c>
      <c r="B220" s="187" t="s">
        <v>1759</v>
      </c>
      <c r="C220" s="141">
        <v>2015</v>
      </c>
      <c r="D220" s="188">
        <v>29</v>
      </c>
      <c r="E220" s="135">
        <v>2366</v>
      </c>
      <c r="F220" s="192" t="s">
        <v>660</v>
      </c>
      <c r="G220" s="188">
        <v>1</v>
      </c>
      <c r="H220" s="188">
        <v>0</v>
      </c>
      <c r="I220" s="188">
        <v>0</v>
      </c>
      <c r="J220" s="188">
        <v>1</v>
      </c>
      <c r="K220" s="188">
        <v>0</v>
      </c>
      <c r="L220" s="188">
        <v>0</v>
      </c>
      <c r="M220" s="188">
        <v>1</v>
      </c>
      <c r="N220" s="188">
        <v>0</v>
      </c>
      <c r="O220" s="188">
        <v>0</v>
      </c>
      <c r="P220" s="188">
        <v>0</v>
      </c>
      <c r="Q220" s="188">
        <v>0</v>
      </c>
      <c r="R220" s="188">
        <v>1</v>
      </c>
      <c r="S220" s="188">
        <v>0</v>
      </c>
      <c r="T220" s="188">
        <v>0</v>
      </c>
      <c r="U220" s="188">
        <v>0</v>
      </c>
      <c r="V220" s="188">
        <v>0</v>
      </c>
      <c r="W220" s="188">
        <v>1</v>
      </c>
      <c r="X220" s="188">
        <v>0</v>
      </c>
      <c r="Y220" s="188">
        <v>0</v>
      </c>
      <c r="Z220" s="188">
        <v>1</v>
      </c>
      <c r="AA220" s="188">
        <v>0</v>
      </c>
      <c r="AB220" s="188">
        <v>1</v>
      </c>
      <c r="AC220" s="188">
        <v>1</v>
      </c>
      <c r="AD220" s="188">
        <v>1</v>
      </c>
      <c r="AE220" s="188">
        <v>0</v>
      </c>
      <c r="AF220" s="191">
        <v>0.1</v>
      </c>
      <c r="AG220" s="183">
        <v>9</v>
      </c>
      <c r="AI220" s="5" t="s">
        <v>1655</v>
      </c>
      <c r="AL220" s="5" t="s">
        <v>1668</v>
      </c>
      <c r="AO220" s="5" t="s">
        <v>1668</v>
      </c>
    </row>
    <row r="221" spans="1:41" ht="15" customHeight="1" x14ac:dyDescent="0.2">
      <c r="A221" s="141" t="s">
        <v>313</v>
      </c>
      <c r="B221" s="187" t="s">
        <v>1759</v>
      </c>
      <c r="C221" s="141">
        <v>2015</v>
      </c>
      <c r="D221" s="188">
        <v>29</v>
      </c>
      <c r="E221" s="135" t="e">
        <v>#N/A</v>
      </c>
      <c r="F221" s="192" t="s">
        <v>1767</v>
      </c>
      <c r="G221" s="188">
        <v>1</v>
      </c>
      <c r="H221" s="188">
        <v>0</v>
      </c>
      <c r="I221" s="188">
        <v>1</v>
      </c>
      <c r="J221" s="188">
        <v>1</v>
      </c>
      <c r="K221" s="188">
        <v>1</v>
      </c>
      <c r="L221" s="188">
        <v>1</v>
      </c>
      <c r="M221" s="188">
        <v>1</v>
      </c>
      <c r="N221" s="188">
        <v>1</v>
      </c>
      <c r="O221" s="188">
        <v>0</v>
      </c>
      <c r="P221" s="188">
        <v>1</v>
      </c>
      <c r="Q221" s="188">
        <v>0</v>
      </c>
      <c r="R221" s="188">
        <v>0</v>
      </c>
      <c r="S221" s="188">
        <v>0</v>
      </c>
      <c r="T221" s="188">
        <v>1</v>
      </c>
      <c r="U221" s="188">
        <v>1</v>
      </c>
      <c r="V221" s="188">
        <v>1</v>
      </c>
      <c r="W221" s="188">
        <v>0</v>
      </c>
      <c r="X221" s="188">
        <v>0</v>
      </c>
      <c r="Y221" s="188">
        <v>0</v>
      </c>
      <c r="Z221" s="188">
        <v>1</v>
      </c>
      <c r="AA221" s="188">
        <v>1</v>
      </c>
      <c r="AB221" s="188">
        <v>0</v>
      </c>
      <c r="AC221" s="188">
        <v>0</v>
      </c>
      <c r="AD221" s="188">
        <v>1</v>
      </c>
      <c r="AE221" s="188">
        <v>1</v>
      </c>
      <c r="AF221" s="191">
        <v>0.1</v>
      </c>
      <c r="AG221" s="183">
        <v>15</v>
      </c>
      <c r="AH221" s="5" t="s">
        <v>1970</v>
      </c>
      <c r="AI221" s="5" t="s">
        <v>1655</v>
      </c>
      <c r="AJ221" s="5" t="s">
        <v>1660</v>
      </c>
      <c r="AK221" s="5" t="s">
        <v>1468</v>
      </c>
      <c r="AL221" s="5" t="s">
        <v>1669</v>
      </c>
      <c r="AM221" s="5" t="s">
        <v>1433</v>
      </c>
      <c r="AN221" s="5" t="s">
        <v>1671</v>
      </c>
      <c r="AO221" s="5" t="s">
        <v>1676</v>
      </c>
    </row>
    <row r="222" spans="1:41" ht="15" customHeight="1" x14ac:dyDescent="0.2">
      <c r="A222" s="141" t="s">
        <v>313</v>
      </c>
      <c r="B222" s="187" t="s">
        <v>1759</v>
      </c>
      <c r="C222" s="141">
        <v>2015</v>
      </c>
      <c r="D222" s="188">
        <v>29</v>
      </c>
      <c r="E222" s="135">
        <v>541</v>
      </c>
      <c r="F222" s="192" t="s">
        <v>1313</v>
      </c>
      <c r="G222" s="188">
        <v>1</v>
      </c>
      <c r="H222" s="188">
        <v>1</v>
      </c>
      <c r="I222" s="188">
        <v>1</v>
      </c>
      <c r="J222" s="188">
        <v>1</v>
      </c>
      <c r="K222" s="188">
        <v>1</v>
      </c>
      <c r="L222" s="188">
        <v>1</v>
      </c>
      <c r="M222" s="188">
        <v>1</v>
      </c>
      <c r="N222" s="188">
        <v>1</v>
      </c>
      <c r="O222" s="188">
        <v>1</v>
      </c>
      <c r="P222" s="188">
        <v>1</v>
      </c>
      <c r="Q222" s="188">
        <v>0</v>
      </c>
      <c r="R222" s="188">
        <v>1</v>
      </c>
      <c r="S222" s="188">
        <v>1</v>
      </c>
      <c r="T222" s="188">
        <v>1</v>
      </c>
      <c r="U222" s="188">
        <v>1</v>
      </c>
      <c r="V222" s="188">
        <v>1</v>
      </c>
      <c r="W222" s="188">
        <v>1</v>
      </c>
      <c r="X222" s="188">
        <v>1</v>
      </c>
      <c r="Y222" s="188">
        <v>1</v>
      </c>
      <c r="Z222" s="188">
        <v>1</v>
      </c>
      <c r="AA222" s="188">
        <v>1</v>
      </c>
      <c r="AB222" s="188">
        <v>1</v>
      </c>
      <c r="AC222" s="188">
        <v>1</v>
      </c>
      <c r="AD222" s="188">
        <v>1</v>
      </c>
      <c r="AE222" s="188">
        <v>1</v>
      </c>
      <c r="AF222" s="191">
        <v>15</v>
      </c>
      <c r="AG222" s="183">
        <v>24</v>
      </c>
    </row>
    <row r="223" spans="1:41" ht="15" customHeight="1" x14ac:dyDescent="0.2">
      <c r="A223" s="141" t="s">
        <v>313</v>
      </c>
      <c r="B223" s="187" t="s">
        <v>1759</v>
      </c>
      <c r="C223" s="141">
        <v>2015</v>
      </c>
      <c r="D223" s="188">
        <v>29</v>
      </c>
      <c r="E223" s="135" t="e">
        <v>#N/A</v>
      </c>
      <c r="F223" s="192" t="s">
        <v>1773</v>
      </c>
      <c r="G223" s="188">
        <v>1</v>
      </c>
      <c r="H223" s="188">
        <v>1</v>
      </c>
      <c r="I223" s="188">
        <v>0</v>
      </c>
      <c r="J223" s="188">
        <v>0</v>
      </c>
      <c r="K223" s="188">
        <v>0</v>
      </c>
      <c r="L223" s="188">
        <v>0</v>
      </c>
      <c r="M223" s="188">
        <v>1</v>
      </c>
      <c r="N223" s="188">
        <v>1</v>
      </c>
      <c r="O223" s="188">
        <v>1</v>
      </c>
      <c r="P223" s="188">
        <v>1</v>
      </c>
      <c r="Q223" s="188">
        <v>0</v>
      </c>
      <c r="R223" s="188">
        <v>0</v>
      </c>
      <c r="S223" s="188">
        <v>1</v>
      </c>
      <c r="T223" s="188">
        <v>1</v>
      </c>
      <c r="U223" s="188">
        <v>1</v>
      </c>
      <c r="V223" s="188">
        <v>1</v>
      </c>
      <c r="W223" s="188">
        <v>1</v>
      </c>
      <c r="X223" s="188">
        <v>0</v>
      </c>
      <c r="Y223" s="188">
        <v>1</v>
      </c>
      <c r="Z223" s="188">
        <v>1</v>
      </c>
      <c r="AA223" s="188">
        <v>0</v>
      </c>
      <c r="AB223" s="188">
        <v>0</v>
      </c>
      <c r="AC223" s="188">
        <v>1</v>
      </c>
      <c r="AD223" s="188">
        <v>1</v>
      </c>
      <c r="AE223" s="188">
        <v>1</v>
      </c>
      <c r="AF223" s="191">
        <v>0.1</v>
      </c>
      <c r="AG223" s="183">
        <v>16</v>
      </c>
      <c r="AI223" s="5" t="s">
        <v>1655</v>
      </c>
      <c r="AL223" s="5" t="s">
        <v>1668</v>
      </c>
      <c r="AM223" s="5" t="s">
        <v>1434</v>
      </c>
      <c r="AO223" s="5" t="s">
        <v>1434</v>
      </c>
    </row>
    <row r="224" spans="1:41" ht="15" customHeight="1" x14ac:dyDescent="0.2">
      <c r="A224" s="141" t="s">
        <v>313</v>
      </c>
      <c r="B224" s="187" t="s">
        <v>1759</v>
      </c>
      <c r="C224" s="141">
        <v>2015</v>
      </c>
      <c r="D224" s="188">
        <v>29</v>
      </c>
      <c r="E224" s="135">
        <v>1894</v>
      </c>
      <c r="F224" s="192" t="s">
        <v>795</v>
      </c>
      <c r="G224" s="188">
        <v>0</v>
      </c>
      <c r="H224" s="188">
        <v>1</v>
      </c>
      <c r="I224" s="188">
        <v>0</v>
      </c>
      <c r="J224" s="188">
        <v>0</v>
      </c>
      <c r="K224" s="188">
        <v>0</v>
      </c>
      <c r="L224" s="188">
        <v>0</v>
      </c>
      <c r="M224" s="188">
        <v>1</v>
      </c>
      <c r="N224" s="188">
        <v>0</v>
      </c>
      <c r="O224" s="188">
        <v>0</v>
      </c>
      <c r="P224" s="188">
        <v>0</v>
      </c>
      <c r="Q224" s="188">
        <v>0</v>
      </c>
      <c r="R224" s="188">
        <v>1</v>
      </c>
      <c r="S224" s="188">
        <v>0</v>
      </c>
      <c r="T224" s="188">
        <v>0</v>
      </c>
      <c r="U224" s="188">
        <v>0</v>
      </c>
      <c r="V224" s="188">
        <v>0</v>
      </c>
      <c r="W224" s="188">
        <v>0</v>
      </c>
      <c r="X224" s="188">
        <v>0</v>
      </c>
      <c r="Y224" s="188">
        <v>0</v>
      </c>
      <c r="Z224" s="188">
        <v>0</v>
      </c>
      <c r="AA224" s="188">
        <v>0</v>
      </c>
      <c r="AB224" s="188">
        <v>0</v>
      </c>
      <c r="AC224" s="188">
        <v>0</v>
      </c>
      <c r="AD224" s="188">
        <v>1</v>
      </c>
      <c r="AE224" s="188">
        <v>1</v>
      </c>
      <c r="AF224" s="191">
        <v>0.1</v>
      </c>
      <c r="AG224" s="183">
        <v>5</v>
      </c>
      <c r="AI224" s="5" t="s">
        <v>1655</v>
      </c>
      <c r="AL224" s="5" t="s">
        <v>1668</v>
      </c>
      <c r="AM224" s="5" t="s">
        <v>1671</v>
      </c>
      <c r="AO224" s="5" t="s">
        <v>1668</v>
      </c>
    </row>
    <row r="225" spans="1:41" ht="15" customHeight="1" x14ac:dyDescent="0.2">
      <c r="A225" s="141" t="s">
        <v>313</v>
      </c>
      <c r="B225" s="187" t="s">
        <v>1759</v>
      </c>
      <c r="C225" s="141">
        <v>2015</v>
      </c>
      <c r="D225" s="188">
        <v>30</v>
      </c>
      <c r="E225" s="135">
        <v>278</v>
      </c>
      <c r="F225" s="192" t="s">
        <v>132</v>
      </c>
      <c r="G225" s="188">
        <v>0</v>
      </c>
      <c r="H225" s="188">
        <v>0</v>
      </c>
      <c r="I225" s="188">
        <v>0</v>
      </c>
      <c r="J225" s="188">
        <v>0</v>
      </c>
      <c r="K225" s="188">
        <v>0</v>
      </c>
      <c r="L225" s="188">
        <v>1</v>
      </c>
      <c r="M225" s="188">
        <v>1</v>
      </c>
      <c r="N225" s="188">
        <v>1</v>
      </c>
      <c r="O225" s="188">
        <v>1</v>
      </c>
      <c r="P225" s="188">
        <v>0</v>
      </c>
      <c r="Q225" s="188">
        <v>1</v>
      </c>
      <c r="R225" s="188">
        <v>0</v>
      </c>
      <c r="S225" s="188">
        <v>0</v>
      </c>
      <c r="T225" s="188">
        <v>0</v>
      </c>
      <c r="U225" s="188">
        <v>0</v>
      </c>
      <c r="V225" s="188">
        <v>0</v>
      </c>
      <c r="W225" s="188">
        <v>0</v>
      </c>
      <c r="X225" s="188">
        <v>0</v>
      </c>
      <c r="Y225" s="188">
        <v>0</v>
      </c>
      <c r="Z225" s="188">
        <v>0</v>
      </c>
      <c r="AA225" s="188">
        <v>0</v>
      </c>
      <c r="AB225" s="188">
        <v>0</v>
      </c>
      <c r="AC225" s="188">
        <v>0</v>
      </c>
      <c r="AD225" s="188">
        <v>0</v>
      </c>
      <c r="AE225" s="188">
        <v>0</v>
      </c>
      <c r="AF225" s="191">
        <v>0.1</v>
      </c>
      <c r="AG225" s="183">
        <v>5</v>
      </c>
      <c r="AI225" s="5" t="s">
        <v>1655</v>
      </c>
      <c r="AL225" s="5" t="s">
        <v>1668</v>
      </c>
      <c r="AO225" s="5" t="s">
        <v>1668</v>
      </c>
    </row>
    <row r="226" spans="1:41" ht="15" customHeight="1" x14ac:dyDescent="0.2">
      <c r="A226" s="141" t="s">
        <v>313</v>
      </c>
      <c r="B226" s="187" t="s">
        <v>1759</v>
      </c>
      <c r="C226" s="141">
        <v>2015</v>
      </c>
      <c r="D226" s="188">
        <v>30</v>
      </c>
      <c r="E226" s="135" t="e">
        <v>#N/A</v>
      </c>
      <c r="F226" s="192" t="s">
        <v>1775</v>
      </c>
      <c r="G226" s="188">
        <v>0</v>
      </c>
      <c r="H226" s="188">
        <v>0</v>
      </c>
      <c r="I226" s="188">
        <v>0</v>
      </c>
      <c r="J226" s="188">
        <v>0</v>
      </c>
      <c r="K226" s="188">
        <v>0</v>
      </c>
      <c r="L226" s="188">
        <v>0</v>
      </c>
      <c r="M226" s="188">
        <v>0</v>
      </c>
      <c r="N226" s="188">
        <v>0</v>
      </c>
      <c r="O226" s="188">
        <v>0</v>
      </c>
      <c r="P226" s="188">
        <v>0</v>
      </c>
      <c r="Q226" s="188">
        <v>0</v>
      </c>
      <c r="R226" s="188">
        <v>0</v>
      </c>
      <c r="S226" s="188">
        <v>0</v>
      </c>
      <c r="T226" s="188">
        <v>0</v>
      </c>
      <c r="U226" s="188">
        <v>0</v>
      </c>
      <c r="V226" s="188">
        <v>0</v>
      </c>
      <c r="W226" s="188">
        <v>1</v>
      </c>
      <c r="X226" s="188">
        <v>0</v>
      </c>
      <c r="Y226" s="188">
        <v>0</v>
      </c>
      <c r="Z226" s="188">
        <v>0</v>
      </c>
      <c r="AA226" s="188">
        <v>0</v>
      </c>
      <c r="AB226" s="188">
        <v>0</v>
      </c>
      <c r="AC226" s="188">
        <v>0</v>
      </c>
      <c r="AD226" s="188">
        <v>0</v>
      </c>
      <c r="AE226" s="188">
        <v>0</v>
      </c>
      <c r="AF226" s="190">
        <v>0.1</v>
      </c>
      <c r="AG226" s="183">
        <v>1</v>
      </c>
      <c r="AI226" s="5" t="s">
        <v>1655</v>
      </c>
      <c r="AL226" s="5" t="s">
        <v>1668</v>
      </c>
      <c r="AM226" s="5" t="s">
        <v>1434</v>
      </c>
      <c r="AO226" s="5" t="s">
        <v>1434</v>
      </c>
    </row>
    <row r="227" spans="1:41" ht="15" customHeight="1" x14ac:dyDescent="0.2">
      <c r="A227" s="141" t="s">
        <v>313</v>
      </c>
      <c r="B227" s="187" t="s">
        <v>1759</v>
      </c>
      <c r="C227" s="141">
        <v>2015</v>
      </c>
      <c r="D227" s="188">
        <v>30</v>
      </c>
      <c r="E227" s="135">
        <v>494</v>
      </c>
      <c r="F227" s="192" t="s">
        <v>22</v>
      </c>
      <c r="G227" s="188">
        <v>0</v>
      </c>
      <c r="H227" s="188">
        <v>0</v>
      </c>
      <c r="I227" s="188">
        <v>1</v>
      </c>
      <c r="J227" s="188">
        <v>1</v>
      </c>
      <c r="K227" s="188">
        <v>0</v>
      </c>
      <c r="L227" s="188">
        <v>1</v>
      </c>
      <c r="M227" s="188">
        <v>0</v>
      </c>
      <c r="N227" s="188">
        <v>0</v>
      </c>
      <c r="O227" s="188">
        <v>1</v>
      </c>
      <c r="P227" s="188">
        <v>0</v>
      </c>
      <c r="Q227" s="188">
        <v>1</v>
      </c>
      <c r="R227" s="188">
        <v>1</v>
      </c>
      <c r="S227" s="188">
        <v>0</v>
      </c>
      <c r="T227" s="188">
        <v>0</v>
      </c>
      <c r="U227" s="188">
        <v>0</v>
      </c>
      <c r="V227" s="188">
        <v>0</v>
      </c>
      <c r="W227" s="188">
        <v>0</v>
      </c>
      <c r="X227" s="188">
        <v>0</v>
      </c>
      <c r="Y227" s="188">
        <v>0</v>
      </c>
      <c r="Z227" s="188">
        <v>0</v>
      </c>
      <c r="AA227" s="188">
        <v>0</v>
      </c>
      <c r="AB227" s="188">
        <v>0</v>
      </c>
      <c r="AC227" s="188">
        <v>0</v>
      </c>
      <c r="AD227" s="188">
        <v>0</v>
      </c>
      <c r="AE227" s="188">
        <v>0</v>
      </c>
      <c r="AF227" s="191">
        <v>1</v>
      </c>
      <c r="AG227" s="183">
        <v>6</v>
      </c>
    </row>
    <row r="228" spans="1:41" ht="15" customHeight="1" x14ac:dyDescent="0.2">
      <c r="A228" s="141" t="s">
        <v>313</v>
      </c>
      <c r="B228" s="187" t="s">
        <v>1759</v>
      </c>
      <c r="C228" s="141">
        <v>2015</v>
      </c>
      <c r="D228" s="188">
        <v>30</v>
      </c>
      <c r="E228" s="135">
        <v>542</v>
      </c>
      <c r="F228" s="192" t="s">
        <v>1312</v>
      </c>
      <c r="G228" s="188">
        <v>1</v>
      </c>
      <c r="H228" s="188">
        <v>1</v>
      </c>
      <c r="I228" s="188">
        <v>1</v>
      </c>
      <c r="J228" s="188">
        <v>1</v>
      </c>
      <c r="K228" s="188">
        <v>1</v>
      </c>
      <c r="L228" s="188">
        <v>1</v>
      </c>
      <c r="M228" s="188">
        <v>1</v>
      </c>
      <c r="N228" s="188">
        <v>1</v>
      </c>
      <c r="O228" s="188">
        <v>1</v>
      </c>
      <c r="P228" s="188">
        <v>1</v>
      </c>
      <c r="Q228" s="188">
        <v>1</v>
      </c>
      <c r="R228" s="188">
        <v>1</v>
      </c>
      <c r="S228" s="188">
        <v>1</v>
      </c>
      <c r="T228" s="188">
        <v>1</v>
      </c>
      <c r="U228" s="188">
        <v>1</v>
      </c>
      <c r="V228" s="188">
        <v>1</v>
      </c>
      <c r="W228" s="188">
        <v>1</v>
      </c>
      <c r="X228" s="188">
        <v>1</v>
      </c>
      <c r="Y228" s="188">
        <v>1</v>
      </c>
      <c r="Z228" s="188">
        <v>1</v>
      </c>
      <c r="AA228" s="188">
        <v>1</v>
      </c>
      <c r="AB228" s="188">
        <v>1</v>
      </c>
      <c r="AC228" s="188">
        <v>1</v>
      </c>
      <c r="AD228" s="188">
        <v>1</v>
      </c>
      <c r="AE228" s="188">
        <v>1</v>
      </c>
      <c r="AF228" s="191">
        <v>4</v>
      </c>
      <c r="AG228" s="183">
        <v>25</v>
      </c>
    </row>
    <row r="229" spans="1:41" ht="15" customHeight="1" x14ac:dyDescent="0.2">
      <c r="A229" s="141" t="s">
        <v>313</v>
      </c>
      <c r="B229" s="187" t="s">
        <v>1759</v>
      </c>
      <c r="C229" s="141">
        <v>2015</v>
      </c>
      <c r="D229" s="188">
        <v>30</v>
      </c>
      <c r="E229" s="135">
        <v>546</v>
      </c>
      <c r="F229" s="189" t="s">
        <v>1310</v>
      </c>
      <c r="G229" s="188">
        <v>1</v>
      </c>
      <c r="H229" s="188">
        <v>1</v>
      </c>
      <c r="I229" s="188">
        <v>1</v>
      </c>
      <c r="J229" s="188">
        <v>1</v>
      </c>
      <c r="K229" s="188">
        <v>1</v>
      </c>
      <c r="L229" s="188">
        <v>1</v>
      </c>
      <c r="M229" s="188">
        <v>1</v>
      </c>
      <c r="N229" s="188">
        <v>1</v>
      </c>
      <c r="O229" s="188">
        <v>1</v>
      </c>
      <c r="P229" s="188">
        <v>1</v>
      </c>
      <c r="Q229" s="188">
        <v>1</v>
      </c>
      <c r="R229" s="188">
        <v>1</v>
      </c>
      <c r="S229" s="188">
        <v>1</v>
      </c>
      <c r="T229" s="188">
        <v>1</v>
      </c>
      <c r="U229" s="188">
        <v>1</v>
      </c>
      <c r="V229" s="188">
        <v>1</v>
      </c>
      <c r="W229" s="188">
        <v>1</v>
      </c>
      <c r="X229" s="188">
        <v>1</v>
      </c>
      <c r="Y229" s="188">
        <v>1</v>
      </c>
      <c r="Z229" s="188">
        <v>1</v>
      </c>
      <c r="AA229" s="188">
        <v>1</v>
      </c>
      <c r="AB229" s="188">
        <v>1</v>
      </c>
      <c r="AC229" s="188">
        <v>1</v>
      </c>
      <c r="AD229" s="188">
        <v>1</v>
      </c>
      <c r="AE229" s="188">
        <v>1</v>
      </c>
      <c r="AF229" s="191">
        <v>2</v>
      </c>
      <c r="AG229" s="183">
        <v>25</v>
      </c>
    </row>
    <row r="230" spans="1:41" ht="15" customHeight="1" x14ac:dyDescent="0.2">
      <c r="A230" s="141" t="s">
        <v>313</v>
      </c>
      <c r="B230" s="187" t="s">
        <v>1759</v>
      </c>
      <c r="C230" s="141">
        <v>2015</v>
      </c>
      <c r="D230" s="188">
        <v>30</v>
      </c>
      <c r="E230" s="135">
        <v>876</v>
      </c>
      <c r="F230" s="192" t="s">
        <v>1163</v>
      </c>
      <c r="G230" s="188">
        <v>0</v>
      </c>
      <c r="H230" s="188">
        <v>0</v>
      </c>
      <c r="I230" s="188">
        <v>1</v>
      </c>
      <c r="J230" s="188">
        <v>1</v>
      </c>
      <c r="K230" s="188">
        <v>0</v>
      </c>
      <c r="L230" s="188">
        <v>0</v>
      </c>
      <c r="M230" s="188">
        <v>1</v>
      </c>
      <c r="N230" s="188">
        <v>1</v>
      </c>
      <c r="O230" s="188">
        <v>0</v>
      </c>
      <c r="P230" s="188">
        <v>1</v>
      </c>
      <c r="Q230" s="188">
        <v>1</v>
      </c>
      <c r="R230" s="188">
        <v>1</v>
      </c>
      <c r="S230" s="188">
        <v>1</v>
      </c>
      <c r="T230" s="188">
        <v>1</v>
      </c>
      <c r="U230" s="188">
        <v>0</v>
      </c>
      <c r="V230" s="188">
        <v>1</v>
      </c>
      <c r="W230" s="188">
        <v>1</v>
      </c>
      <c r="X230" s="188">
        <v>1</v>
      </c>
      <c r="Y230" s="188">
        <v>1</v>
      </c>
      <c r="Z230" s="188">
        <v>1</v>
      </c>
      <c r="AA230" s="188">
        <v>1</v>
      </c>
      <c r="AB230" s="188">
        <v>1</v>
      </c>
      <c r="AC230" s="188">
        <v>1</v>
      </c>
      <c r="AD230" s="188">
        <v>1</v>
      </c>
      <c r="AE230" s="188">
        <v>1</v>
      </c>
      <c r="AF230" s="191">
        <v>0.1</v>
      </c>
      <c r="AG230" s="183">
        <v>19</v>
      </c>
      <c r="AH230" s="4"/>
      <c r="AI230" s="5" t="s">
        <v>1655</v>
      </c>
      <c r="AL230" s="5" t="s">
        <v>1668</v>
      </c>
      <c r="AO230" s="5" t="s">
        <v>1668</v>
      </c>
    </row>
    <row r="231" spans="1:41" ht="15" customHeight="1" x14ac:dyDescent="0.2">
      <c r="A231" s="141" t="s">
        <v>313</v>
      </c>
      <c r="B231" s="187" t="s">
        <v>1759</v>
      </c>
      <c r="C231" s="141">
        <v>2015</v>
      </c>
      <c r="D231" s="188">
        <v>30</v>
      </c>
      <c r="E231" s="135">
        <v>901</v>
      </c>
      <c r="F231" s="192" t="s">
        <v>1149</v>
      </c>
      <c r="G231" s="188">
        <v>1</v>
      </c>
      <c r="H231" s="188">
        <v>1</v>
      </c>
      <c r="I231" s="188">
        <v>1</v>
      </c>
      <c r="J231" s="188">
        <v>1</v>
      </c>
      <c r="K231" s="188">
        <v>1</v>
      </c>
      <c r="L231" s="188">
        <v>1</v>
      </c>
      <c r="M231" s="188">
        <v>1</v>
      </c>
      <c r="N231" s="188">
        <v>1</v>
      </c>
      <c r="O231" s="188">
        <v>1</v>
      </c>
      <c r="P231" s="188">
        <v>1</v>
      </c>
      <c r="Q231" s="188">
        <v>1</v>
      </c>
      <c r="R231" s="188">
        <v>1</v>
      </c>
      <c r="S231" s="188">
        <v>1</v>
      </c>
      <c r="T231" s="188">
        <v>1</v>
      </c>
      <c r="U231" s="188">
        <v>1</v>
      </c>
      <c r="V231" s="188">
        <v>1</v>
      </c>
      <c r="W231" s="188">
        <v>1</v>
      </c>
      <c r="X231" s="188">
        <v>1</v>
      </c>
      <c r="Y231" s="188">
        <v>1</v>
      </c>
      <c r="Z231" s="188">
        <v>1</v>
      </c>
      <c r="AA231" s="188">
        <v>1</v>
      </c>
      <c r="AB231" s="188">
        <v>1</v>
      </c>
      <c r="AC231" s="188">
        <v>1</v>
      </c>
      <c r="AD231" s="188">
        <v>1</v>
      </c>
      <c r="AE231" s="188">
        <v>1</v>
      </c>
      <c r="AF231" s="191">
        <v>15</v>
      </c>
      <c r="AG231" s="183">
        <v>25</v>
      </c>
    </row>
    <row r="232" spans="1:41" ht="15" customHeight="1" x14ac:dyDescent="0.2">
      <c r="A232" s="141" t="s">
        <v>313</v>
      </c>
      <c r="B232" s="187" t="s">
        <v>1759</v>
      </c>
      <c r="C232" s="141">
        <v>2015</v>
      </c>
      <c r="D232" s="188">
        <v>30</v>
      </c>
      <c r="E232" s="135">
        <v>4292</v>
      </c>
      <c r="F232" s="192" t="s">
        <v>368</v>
      </c>
      <c r="G232" s="188">
        <v>0</v>
      </c>
      <c r="H232" s="188">
        <v>0</v>
      </c>
      <c r="I232" s="188">
        <v>0</v>
      </c>
      <c r="J232" s="188">
        <v>0</v>
      </c>
      <c r="K232" s="188">
        <v>0</v>
      </c>
      <c r="L232" s="188">
        <v>1</v>
      </c>
      <c r="M232" s="188">
        <v>1</v>
      </c>
      <c r="N232" s="188">
        <v>0</v>
      </c>
      <c r="O232" s="188">
        <v>0</v>
      </c>
      <c r="P232" s="188">
        <v>0</v>
      </c>
      <c r="Q232" s="188">
        <v>0</v>
      </c>
      <c r="R232" s="188">
        <v>0</v>
      </c>
      <c r="S232" s="188">
        <v>0</v>
      </c>
      <c r="T232" s="188">
        <v>0</v>
      </c>
      <c r="U232" s="188">
        <v>0</v>
      </c>
      <c r="V232" s="188">
        <v>0</v>
      </c>
      <c r="W232" s="188">
        <v>0</v>
      </c>
      <c r="X232" s="188">
        <v>0</v>
      </c>
      <c r="Y232" s="188">
        <v>0</v>
      </c>
      <c r="Z232" s="188">
        <v>0</v>
      </c>
      <c r="AA232" s="188">
        <v>0</v>
      </c>
      <c r="AB232" s="188">
        <v>0</v>
      </c>
      <c r="AC232" s="188">
        <v>0</v>
      </c>
      <c r="AD232" s="188">
        <v>0</v>
      </c>
      <c r="AE232" s="188">
        <v>0</v>
      </c>
      <c r="AF232" s="191">
        <v>0.1</v>
      </c>
      <c r="AG232" s="183">
        <v>2</v>
      </c>
      <c r="AH232" s="4"/>
      <c r="AI232" s="5" t="s">
        <v>1655</v>
      </c>
      <c r="AL232" s="5" t="s">
        <v>1668</v>
      </c>
      <c r="AO232" s="5" t="s">
        <v>1668</v>
      </c>
    </row>
    <row r="233" spans="1:41" ht="15" customHeight="1" x14ac:dyDescent="0.2">
      <c r="A233" s="141" t="s">
        <v>313</v>
      </c>
      <c r="B233" s="187" t="s">
        <v>1759</v>
      </c>
      <c r="C233" s="141">
        <v>2015</v>
      </c>
      <c r="D233" s="188">
        <v>30</v>
      </c>
      <c r="E233" s="135">
        <v>1897</v>
      </c>
      <c r="F233" s="192" t="s">
        <v>794</v>
      </c>
      <c r="G233" s="188">
        <v>0</v>
      </c>
      <c r="H233" s="188">
        <v>0</v>
      </c>
      <c r="I233" s="188">
        <v>0</v>
      </c>
      <c r="J233" s="188">
        <v>0</v>
      </c>
      <c r="K233" s="188">
        <v>0</v>
      </c>
      <c r="L233" s="188">
        <v>0</v>
      </c>
      <c r="M233" s="188">
        <v>0</v>
      </c>
      <c r="N233" s="188">
        <v>0</v>
      </c>
      <c r="O233" s="188">
        <v>0</v>
      </c>
      <c r="P233" s="188">
        <v>0</v>
      </c>
      <c r="Q233" s="188">
        <v>0</v>
      </c>
      <c r="R233" s="188">
        <v>0</v>
      </c>
      <c r="S233" s="188">
        <v>0</v>
      </c>
      <c r="T233" s="188">
        <v>0</v>
      </c>
      <c r="U233" s="188">
        <v>0</v>
      </c>
      <c r="V233" s="188">
        <v>0</v>
      </c>
      <c r="W233" s="188">
        <v>0</v>
      </c>
      <c r="X233" s="188">
        <v>0</v>
      </c>
      <c r="Y233" s="188">
        <v>0</v>
      </c>
      <c r="Z233" s="188">
        <v>0</v>
      </c>
      <c r="AA233" s="188">
        <v>0</v>
      </c>
      <c r="AB233" s="188">
        <v>0</v>
      </c>
      <c r="AC233" s="188">
        <v>1</v>
      </c>
      <c r="AD233" s="188">
        <v>0</v>
      </c>
      <c r="AE233" s="188">
        <v>0</v>
      </c>
      <c r="AF233" s="191">
        <v>0.1</v>
      </c>
      <c r="AG233" s="183">
        <v>1</v>
      </c>
      <c r="AH233" s="4"/>
      <c r="AI233" s="5" t="s">
        <v>1655</v>
      </c>
      <c r="AL233" s="5" t="s">
        <v>1668</v>
      </c>
      <c r="AM233" s="5" t="s">
        <v>1671</v>
      </c>
      <c r="AO233" s="5" t="s">
        <v>1668</v>
      </c>
    </row>
    <row r="234" spans="1:41" ht="15" customHeight="1" x14ac:dyDescent="0.2">
      <c r="A234" s="141" t="s">
        <v>313</v>
      </c>
      <c r="B234" s="187" t="s">
        <v>1759</v>
      </c>
      <c r="C234" s="141">
        <v>2015</v>
      </c>
      <c r="D234" s="188">
        <v>30</v>
      </c>
      <c r="E234" s="135">
        <v>1109</v>
      </c>
      <c r="F234" s="192" t="s">
        <v>1065</v>
      </c>
      <c r="G234" s="188">
        <v>1</v>
      </c>
      <c r="H234" s="188">
        <v>1</v>
      </c>
      <c r="I234" s="188">
        <v>1</v>
      </c>
      <c r="J234" s="188">
        <v>1</v>
      </c>
      <c r="K234" s="188">
        <v>1</v>
      </c>
      <c r="L234" s="188">
        <v>1</v>
      </c>
      <c r="M234" s="188">
        <v>1</v>
      </c>
      <c r="N234" s="188">
        <v>0</v>
      </c>
      <c r="O234" s="188">
        <v>1</v>
      </c>
      <c r="P234" s="188">
        <v>1</v>
      </c>
      <c r="Q234" s="188">
        <v>0</v>
      </c>
      <c r="R234" s="188">
        <v>1</v>
      </c>
      <c r="S234" s="188">
        <v>1</v>
      </c>
      <c r="T234" s="188">
        <v>1</v>
      </c>
      <c r="U234" s="188">
        <v>1</v>
      </c>
      <c r="V234" s="188">
        <v>1</v>
      </c>
      <c r="W234" s="188">
        <v>1</v>
      </c>
      <c r="X234" s="188">
        <v>1</v>
      </c>
      <c r="Y234" s="188">
        <v>1</v>
      </c>
      <c r="Z234" s="188">
        <v>1</v>
      </c>
      <c r="AA234" s="188">
        <v>0</v>
      </c>
      <c r="AB234" s="188">
        <v>1</v>
      </c>
      <c r="AC234" s="188">
        <v>0</v>
      </c>
      <c r="AD234" s="188">
        <v>1</v>
      </c>
      <c r="AE234" s="188">
        <v>1</v>
      </c>
      <c r="AF234" s="191">
        <v>10</v>
      </c>
      <c r="AG234" s="183">
        <v>21</v>
      </c>
    </row>
    <row r="235" spans="1:41" ht="15" customHeight="1" x14ac:dyDescent="0.2">
      <c r="A235" s="141" t="s">
        <v>313</v>
      </c>
      <c r="B235" s="187" t="s">
        <v>1759</v>
      </c>
      <c r="C235" s="141">
        <v>2015</v>
      </c>
      <c r="D235" s="188">
        <v>30</v>
      </c>
      <c r="E235" s="135">
        <v>1972</v>
      </c>
      <c r="F235" s="192" t="s">
        <v>768</v>
      </c>
      <c r="G235" s="188">
        <v>0</v>
      </c>
      <c r="H235" s="188">
        <v>0</v>
      </c>
      <c r="I235" s="188">
        <v>1</v>
      </c>
      <c r="J235" s="188">
        <v>1</v>
      </c>
      <c r="K235" s="188">
        <v>0</v>
      </c>
      <c r="L235" s="188">
        <v>0</v>
      </c>
      <c r="M235" s="188">
        <v>0</v>
      </c>
      <c r="N235" s="188">
        <v>1</v>
      </c>
      <c r="O235" s="188">
        <v>1</v>
      </c>
      <c r="P235" s="188">
        <v>1</v>
      </c>
      <c r="Q235" s="188">
        <v>1</v>
      </c>
      <c r="R235" s="188">
        <v>1</v>
      </c>
      <c r="S235" s="188">
        <v>0</v>
      </c>
      <c r="T235" s="188">
        <v>1</v>
      </c>
      <c r="U235" s="188">
        <v>1</v>
      </c>
      <c r="V235" s="188">
        <v>0</v>
      </c>
      <c r="W235" s="188">
        <v>1</v>
      </c>
      <c r="X235" s="188">
        <v>0</v>
      </c>
      <c r="Y235" s="188">
        <v>1</v>
      </c>
      <c r="Z235" s="188">
        <v>0</v>
      </c>
      <c r="AA235" s="188">
        <v>1</v>
      </c>
      <c r="AB235" s="188">
        <v>1</v>
      </c>
      <c r="AC235" s="188">
        <v>0</v>
      </c>
      <c r="AD235" s="188">
        <v>1</v>
      </c>
      <c r="AE235" s="188">
        <v>0</v>
      </c>
      <c r="AF235" s="191">
        <v>10</v>
      </c>
      <c r="AG235" s="183">
        <v>14</v>
      </c>
      <c r="AH235" s="4"/>
      <c r="AL235" s="5" t="s">
        <v>1671</v>
      </c>
      <c r="AO235" s="5" t="s">
        <v>1671</v>
      </c>
    </row>
    <row r="236" spans="1:41" ht="15" customHeight="1" x14ac:dyDescent="0.2">
      <c r="A236" s="141" t="s">
        <v>313</v>
      </c>
      <c r="B236" s="187" t="s">
        <v>1759</v>
      </c>
      <c r="C236" s="141">
        <v>2015</v>
      </c>
      <c r="D236" s="188">
        <v>35</v>
      </c>
      <c r="E236" s="135">
        <v>278</v>
      </c>
      <c r="F236" s="192" t="s">
        <v>132</v>
      </c>
      <c r="G236" s="188">
        <v>1</v>
      </c>
      <c r="H236" s="188">
        <v>1</v>
      </c>
      <c r="I236" s="188">
        <v>1</v>
      </c>
      <c r="J236" s="188">
        <v>0</v>
      </c>
      <c r="K236" s="188">
        <v>0</v>
      </c>
      <c r="L236" s="188">
        <v>1</v>
      </c>
      <c r="M236" s="188">
        <v>1</v>
      </c>
      <c r="N236" s="188">
        <v>1</v>
      </c>
      <c r="O236" s="188">
        <v>1</v>
      </c>
      <c r="P236" s="188">
        <v>0</v>
      </c>
      <c r="Q236" s="188">
        <v>1</v>
      </c>
      <c r="R236" s="188">
        <v>1</v>
      </c>
      <c r="S236" s="188">
        <v>1</v>
      </c>
      <c r="T236" s="188">
        <v>1</v>
      </c>
      <c r="U236" s="188">
        <v>1</v>
      </c>
      <c r="V236" s="188">
        <v>1</v>
      </c>
      <c r="W236" s="188">
        <v>1</v>
      </c>
      <c r="X236" s="188">
        <v>1</v>
      </c>
      <c r="Y236" s="188">
        <v>1</v>
      </c>
      <c r="Z236" s="188">
        <v>1</v>
      </c>
      <c r="AA236" s="188">
        <v>1</v>
      </c>
      <c r="AB236" s="188">
        <v>1</v>
      </c>
      <c r="AC236" s="188">
        <v>1</v>
      </c>
      <c r="AD236" s="188">
        <v>1</v>
      </c>
      <c r="AE236" s="188">
        <v>1</v>
      </c>
      <c r="AF236" s="191">
        <v>80</v>
      </c>
      <c r="AG236" s="183">
        <v>22</v>
      </c>
    </row>
    <row r="237" spans="1:41" ht="15" customHeight="1" x14ac:dyDescent="0.2">
      <c r="A237" s="141" t="s">
        <v>313</v>
      </c>
      <c r="B237" s="187" t="s">
        <v>1759</v>
      </c>
      <c r="C237" s="141">
        <v>2015</v>
      </c>
      <c r="D237" s="188">
        <v>35</v>
      </c>
      <c r="E237" s="135">
        <v>1576</v>
      </c>
      <c r="F237" s="192" t="s">
        <v>882</v>
      </c>
      <c r="G237" s="188">
        <v>1</v>
      </c>
      <c r="H237" s="188">
        <v>1</v>
      </c>
      <c r="I237" s="188">
        <v>1</v>
      </c>
      <c r="J237" s="188">
        <v>1</v>
      </c>
      <c r="K237" s="188">
        <v>1</v>
      </c>
      <c r="L237" s="188">
        <v>0</v>
      </c>
      <c r="M237" s="188">
        <v>0</v>
      </c>
      <c r="N237" s="188">
        <v>0</v>
      </c>
      <c r="O237" s="188">
        <v>0</v>
      </c>
      <c r="P237" s="188">
        <v>1</v>
      </c>
      <c r="Q237" s="188">
        <v>1</v>
      </c>
      <c r="R237" s="188">
        <v>1</v>
      </c>
      <c r="S237" s="188">
        <v>1</v>
      </c>
      <c r="T237" s="188">
        <v>1</v>
      </c>
      <c r="U237" s="188">
        <v>1</v>
      </c>
      <c r="V237" s="188">
        <v>1</v>
      </c>
      <c r="W237" s="188">
        <v>0</v>
      </c>
      <c r="X237" s="188">
        <v>0</v>
      </c>
      <c r="Y237" s="188">
        <v>1</v>
      </c>
      <c r="Z237" s="188">
        <v>0</v>
      </c>
      <c r="AA237" s="188">
        <v>1</v>
      </c>
      <c r="AB237" s="188">
        <v>0</v>
      </c>
      <c r="AC237" s="188">
        <v>1</v>
      </c>
      <c r="AD237" s="188">
        <v>1</v>
      </c>
      <c r="AE237" s="188">
        <v>1</v>
      </c>
      <c r="AF237" s="191">
        <v>40</v>
      </c>
      <c r="AG237" s="183">
        <v>17</v>
      </c>
    </row>
    <row r="238" spans="1:41" ht="15" customHeight="1" x14ac:dyDescent="0.2">
      <c r="A238" s="141" t="s">
        <v>313</v>
      </c>
      <c r="B238" s="187" t="s">
        <v>1759</v>
      </c>
      <c r="C238" s="141">
        <v>2015</v>
      </c>
      <c r="D238" s="188">
        <v>35</v>
      </c>
      <c r="E238" s="135">
        <v>2824</v>
      </c>
      <c r="F238" s="189" t="s">
        <v>1977</v>
      </c>
      <c r="G238" s="188">
        <v>1</v>
      </c>
      <c r="H238" s="188">
        <v>1</v>
      </c>
      <c r="I238" s="188">
        <v>1</v>
      </c>
      <c r="J238" s="188">
        <v>1</v>
      </c>
      <c r="K238" s="188">
        <v>0</v>
      </c>
      <c r="L238" s="188">
        <v>1</v>
      </c>
      <c r="M238" s="188">
        <v>1</v>
      </c>
      <c r="N238" s="188">
        <v>1</v>
      </c>
      <c r="O238" s="188">
        <v>1</v>
      </c>
      <c r="P238" s="188">
        <v>0</v>
      </c>
      <c r="Q238" s="188">
        <v>1</v>
      </c>
      <c r="R238" s="188">
        <v>1</v>
      </c>
      <c r="S238" s="188">
        <v>1</v>
      </c>
      <c r="T238" s="188">
        <v>1</v>
      </c>
      <c r="U238" s="188">
        <v>1</v>
      </c>
      <c r="V238" s="188">
        <v>0</v>
      </c>
      <c r="W238" s="188">
        <v>0</v>
      </c>
      <c r="X238" s="188">
        <v>0</v>
      </c>
      <c r="Y238" s="188">
        <v>1</v>
      </c>
      <c r="Z238" s="188">
        <v>1</v>
      </c>
      <c r="AA238" s="188">
        <v>1</v>
      </c>
      <c r="AB238" s="188">
        <v>0</v>
      </c>
      <c r="AC238" s="188">
        <v>1</v>
      </c>
      <c r="AD238" s="188">
        <v>1</v>
      </c>
      <c r="AE238" s="188">
        <v>1</v>
      </c>
      <c r="AF238" s="190">
        <v>2</v>
      </c>
      <c r="AG238" s="183">
        <v>19</v>
      </c>
    </row>
    <row r="239" spans="1:41" ht="15" customHeight="1" x14ac:dyDescent="0.2">
      <c r="A239" s="141" t="s">
        <v>313</v>
      </c>
      <c r="B239" s="187" t="s">
        <v>1759</v>
      </c>
      <c r="C239" s="141">
        <v>2015</v>
      </c>
      <c r="D239" s="188">
        <v>35</v>
      </c>
      <c r="E239" s="135">
        <v>6003</v>
      </c>
      <c r="F239" s="192" t="s">
        <v>288</v>
      </c>
      <c r="G239" s="188">
        <v>0</v>
      </c>
      <c r="H239" s="188">
        <v>0</v>
      </c>
      <c r="I239" s="188">
        <v>0</v>
      </c>
      <c r="J239" s="188">
        <v>0</v>
      </c>
      <c r="K239" s="188">
        <v>0</v>
      </c>
      <c r="L239" s="188">
        <v>0</v>
      </c>
      <c r="M239" s="188">
        <v>0</v>
      </c>
      <c r="N239" s="188">
        <v>0</v>
      </c>
      <c r="O239" s="188">
        <v>0</v>
      </c>
      <c r="P239" s="188">
        <v>0</v>
      </c>
      <c r="Q239" s="188">
        <v>0</v>
      </c>
      <c r="R239" s="188">
        <v>0</v>
      </c>
      <c r="S239" s="188">
        <v>0</v>
      </c>
      <c r="T239" s="188">
        <v>1</v>
      </c>
      <c r="U239" s="188">
        <v>1</v>
      </c>
      <c r="V239" s="188">
        <v>0</v>
      </c>
      <c r="W239" s="188">
        <v>0</v>
      </c>
      <c r="X239" s="188">
        <v>0</v>
      </c>
      <c r="Y239" s="188">
        <v>0</v>
      </c>
      <c r="Z239" s="188">
        <v>1</v>
      </c>
      <c r="AA239" s="188">
        <v>0</v>
      </c>
      <c r="AB239" s="188">
        <v>0</v>
      </c>
      <c r="AC239" s="188">
        <v>0</v>
      </c>
      <c r="AD239" s="188">
        <v>0</v>
      </c>
      <c r="AE239" s="188">
        <v>0</v>
      </c>
      <c r="AF239" s="191">
        <v>0.1</v>
      </c>
      <c r="AG239" s="183">
        <v>3</v>
      </c>
      <c r="AI239" s="5" t="s">
        <v>1655</v>
      </c>
      <c r="AL239" s="5" t="s">
        <v>1668</v>
      </c>
      <c r="AO239" s="5" t="s">
        <v>1668</v>
      </c>
    </row>
    <row r="240" spans="1:41" ht="15" customHeight="1" x14ac:dyDescent="0.2">
      <c r="A240" s="141" t="s">
        <v>313</v>
      </c>
      <c r="B240" s="187" t="s">
        <v>1759</v>
      </c>
      <c r="C240" s="141">
        <v>2015</v>
      </c>
      <c r="D240" s="188">
        <v>35</v>
      </c>
      <c r="E240" s="135">
        <v>2362</v>
      </c>
      <c r="F240" s="189" t="s">
        <v>663</v>
      </c>
      <c r="G240" s="188">
        <v>1</v>
      </c>
      <c r="H240" s="188">
        <v>0</v>
      </c>
      <c r="I240" s="188">
        <v>1</v>
      </c>
      <c r="J240" s="188">
        <v>0</v>
      </c>
      <c r="K240" s="188">
        <v>0</v>
      </c>
      <c r="L240" s="188">
        <v>0</v>
      </c>
      <c r="M240" s="188">
        <v>1</v>
      </c>
      <c r="N240" s="188">
        <v>0</v>
      </c>
      <c r="O240" s="188">
        <v>1</v>
      </c>
      <c r="P240" s="188">
        <v>0</v>
      </c>
      <c r="Q240" s="188">
        <v>0</v>
      </c>
      <c r="R240" s="188">
        <v>0</v>
      </c>
      <c r="S240" s="188">
        <v>0</v>
      </c>
      <c r="T240" s="188">
        <v>1</v>
      </c>
      <c r="U240" s="188">
        <v>1</v>
      </c>
      <c r="V240" s="188">
        <v>0</v>
      </c>
      <c r="W240" s="188">
        <v>0</v>
      </c>
      <c r="X240" s="188">
        <v>0</v>
      </c>
      <c r="Y240" s="188">
        <v>1</v>
      </c>
      <c r="Z240" s="188">
        <v>1</v>
      </c>
      <c r="AA240" s="188">
        <v>0</v>
      </c>
      <c r="AB240" s="188">
        <v>0</v>
      </c>
      <c r="AC240" s="188">
        <v>0</v>
      </c>
      <c r="AD240" s="188">
        <v>0</v>
      </c>
      <c r="AE240" s="188">
        <v>1</v>
      </c>
      <c r="AF240" s="191">
        <v>1</v>
      </c>
      <c r="AG240" s="183">
        <v>9</v>
      </c>
      <c r="AH240" s="4"/>
    </row>
    <row r="241" spans="1:41" ht="15" customHeight="1" x14ac:dyDescent="0.2">
      <c r="A241" s="141" t="s">
        <v>313</v>
      </c>
      <c r="B241" s="187" t="s">
        <v>1759</v>
      </c>
      <c r="C241" s="141">
        <v>2015</v>
      </c>
      <c r="D241" s="188">
        <v>35</v>
      </c>
      <c r="E241" s="135">
        <v>2366</v>
      </c>
      <c r="F241" s="192" t="s">
        <v>660</v>
      </c>
      <c r="G241" s="188">
        <v>0</v>
      </c>
      <c r="H241" s="188">
        <v>1</v>
      </c>
      <c r="I241" s="188">
        <v>0</v>
      </c>
      <c r="J241" s="188">
        <v>0</v>
      </c>
      <c r="K241" s="188">
        <v>0</v>
      </c>
      <c r="L241" s="188">
        <v>1</v>
      </c>
      <c r="M241" s="188">
        <v>1</v>
      </c>
      <c r="N241" s="188">
        <v>0</v>
      </c>
      <c r="O241" s="188">
        <v>1</v>
      </c>
      <c r="P241" s="188">
        <v>0</v>
      </c>
      <c r="Q241" s="188">
        <v>1</v>
      </c>
      <c r="R241" s="188">
        <v>0</v>
      </c>
      <c r="S241" s="188">
        <v>0</v>
      </c>
      <c r="T241" s="188">
        <v>1</v>
      </c>
      <c r="U241" s="188">
        <v>1</v>
      </c>
      <c r="V241" s="188">
        <v>0</v>
      </c>
      <c r="W241" s="188">
        <v>0</v>
      </c>
      <c r="X241" s="188">
        <v>0</v>
      </c>
      <c r="Y241" s="188">
        <v>1</v>
      </c>
      <c r="Z241" s="188">
        <v>0</v>
      </c>
      <c r="AA241" s="188">
        <v>0</v>
      </c>
      <c r="AB241" s="188">
        <v>0</v>
      </c>
      <c r="AC241" s="188">
        <v>1</v>
      </c>
      <c r="AD241" s="188">
        <v>1</v>
      </c>
      <c r="AE241" s="188">
        <v>1</v>
      </c>
      <c r="AF241" s="191">
        <v>1</v>
      </c>
      <c r="AG241" s="183">
        <v>11</v>
      </c>
    </row>
    <row r="242" spans="1:41" ht="15" customHeight="1" x14ac:dyDescent="0.2">
      <c r="A242" s="141" t="s">
        <v>313</v>
      </c>
      <c r="B242" s="187" t="s">
        <v>1759</v>
      </c>
      <c r="C242" s="141">
        <v>2015</v>
      </c>
      <c r="D242" s="188">
        <v>35</v>
      </c>
      <c r="E242" s="135" t="e">
        <v>#N/A</v>
      </c>
      <c r="F242" s="189" t="s">
        <v>1767</v>
      </c>
      <c r="G242" s="188">
        <v>0</v>
      </c>
      <c r="H242" s="188">
        <v>1</v>
      </c>
      <c r="I242" s="188">
        <v>1</v>
      </c>
      <c r="J242" s="188">
        <v>0</v>
      </c>
      <c r="K242" s="188">
        <v>0</v>
      </c>
      <c r="L242" s="188">
        <v>0</v>
      </c>
      <c r="M242" s="188">
        <v>0</v>
      </c>
      <c r="N242" s="188">
        <v>0</v>
      </c>
      <c r="O242" s="188">
        <v>0</v>
      </c>
      <c r="P242" s="188">
        <v>0</v>
      </c>
      <c r="Q242" s="188">
        <v>0</v>
      </c>
      <c r="R242" s="188">
        <v>1</v>
      </c>
      <c r="S242" s="188">
        <v>0</v>
      </c>
      <c r="T242" s="188">
        <v>1</v>
      </c>
      <c r="U242" s="188">
        <v>0</v>
      </c>
      <c r="V242" s="188">
        <v>0</v>
      </c>
      <c r="W242" s="188">
        <v>0</v>
      </c>
      <c r="X242" s="188">
        <v>0</v>
      </c>
      <c r="Y242" s="188">
        <v>1</v>
      </c>
      <c r="Z242" s="188">
        <v>1</v>
      </c>
      <c r="AA242" s="188">
        <v>0</v>
      </c>
      <c r="AB242" s="188">
        <v>0</v>
      </c>
      <c r="AC242" s="188">
        <v>0</v>
      </c>
      <c r="AD242" s="188">
        <v>1</v>
      </c>
      <c r="AE242" s="188">
        <v>0</v>
      </c>
      <c r="AF242" s="190">
        <v>1</v>
      </c>
      <c r="AG242" s="183">
        <v>7</v>
      </c>
      <c r="AL242" s="5" t="s">
        <v>1434</v>
      </c>
      <c r="AO242" s="5" t="s">
        <v>1434</v>
      </c>
    </row>
    <row r="243" spans="1:41" ht="15" customHeight="1" x14ac:dyDescent="0.2">
      <c r="A243" s="141" t="s">
        <v>313</v>
      </c>
      <c r="B243" s="187" t="s">
        <v>1759</v>
      </c>
      <c r="C243" s="141">
        <v>2015</v>
      </c>
      <c r="D243" s="188">
        <v>35</v>
      </c>
      <c r="E243" s="135">
        <v>2388</v>
      </c>
      <c r="F243" s="189" t="s">
        <v>646</v>
      </c>
      <c r="G243" s="188">
        <v>0</v>
      </c>
      <c r="H243" s="188">
        <v>0</v>
      </c>
      <c r="I243" s="188">
        <v>0</v>
      </c>
      <c r="J243" s="188">
        <v>0</v>
      </c>
      <c r="K243" s="188">
        <v>0</v>
      </c>
      <c r="L243" s="188">
        <v>0</v>
      </c>
      <c r="M243" s="188">
        <v>0</v>
      </c>
      <c r="N243" s="188">
        <v>0</v>
      </c>
      <c r="O243" s="188">
        <v>0</v>
      </c>
      <c r="P243" s="188">
        <v>1</v>
      </c>
      <c r="Q243" s="188">
        <v>0</v>
      </c>
      <c r="R243" s="188">
        <v>0</v>
      </c>
      <c r="S243" s="188">
        <v>0</v>
      </c>
      <c r="T243" s="188">
        <v>0</v>
      </c>
      <c r="U243" s="188">
        <v>0</v>
      </c>
      <c r="V243" s="188">
        <v>1</v>
      </c>
      <c r="W243" s="188">
        <v>0</v>
      </c>
      <c r="X243" s="188">
        <v>0</v>
      </c>
      <c r="Y243" s="188">
        <v>0</v>
      </c>
      <c r="Z243" s="188">
        <v>0</v>
      </c>
      <c r="AA243" s="188">
        <v>0</v>
      </c>
      <c r="AB243" s="188">
        <v>0</v>
      </c>
      <c r="AC243" s="188">
        <v>0</v>
      </c>
      <c r="AD243" s="188">
        <v>0</v>
      </c>
      <c r="AE243" s="188">
        <v>0</v>
      </c>
      <c r="AF243" s="191">
        <v>0.1</v>
      </c>
      <c r="AG243" s="183">
        <v>2</v>
      </c>
      <c r="AH243" s="4"/>
      <c r="AI243" s="5" t="s">
        <v>1655</v>
      </c>
      <c r="AL243" s="5" t="s">
        <v>1668</v>
      </c>
      <c r="AM243" s="5" t="s">
        <v>1671</v>
      </c>
      <c r="AO243" s="5" t="s">
        <v>1668</v>
      </c>
    </row>
    <row r="244" spans="1:41" ht="15" customHeight="1" x14ac:dyDescent="0.2">
      <c r="A244" s="141" t="s">
        <v>313</v>
      </c>
      <c r="B244" s="187" t="s">
        <v>1759</v>
      </c>
      <c r="C244" s="141">
        <v>2015</v>
      </c>
      <c r="D244" s="188">
        <v>35</v>
      </c>
      <c r="E244" s="135">
        <v>680</v>
      </c>
      <c r="F244" s="192" t="s">
        <v>1251</v>
      </c>
      <c r="G244" s="188">
        <v>0</v>
      </c>
      <c r="H244" s="188">
        <v>0</v>
      </c>
      <c r="I244" s="188">
        <v>0</v>
      </c>
      <c r="J244" s="188">
        <v>0</v>
      </c>
      <c r="K244" s="188">
        <v>0</v>
      </c>
      <c r="L244" s="188">
        <v>0</v>
      </c>
      <c r="M244" s="188">
        <v>0</v>
      </c>
      <c r="N244" s="188">
        <v>0</v>
      </c>
      <c r="O244" s="188">
        <v>0</v>
      </c>
      <c r="P244" s="188">
        <v>0</v>
      </c>
      <c r="Q244" s="188">
        <v>0</v>
      </c>
      <c r="R244" s="188">
        <v>0</v>
      </c>
      <c r="S244" s="188">
        <v>0</v>
      </c>
      <c r="T244" s="188">
        <v>0</v>
      </c>
      <c r="U244" s="188">
        <v>0</v>
      </c>
      <c r="V244" s="188">
        <v>0</v>
      </c>
      <c r="W244" s="188">
        <v>0</v>
      </c>
      <c r="X244" s="188">
        <v>0</v>
      </c>
      <c r="Y244" s="188">
        <v>0</v>
      </c>
      <c r="Z244" s="188">
        <v>0</v>
      </c>
      <c r="AA244" s="188">
        <v>1</v>
      </c>
      <c r="AB244" s="188">
        <v>0</v>
      </c>
      <c r="AC244" s="188">
        <v>0</v>
      </c>
      <c r="AD244" s="188">
        <v>0</v>
      </c>
      <c r="AE244" s="188">
        <v>0</v>
      </c>
      <c r="AF244" s="191">
        <v>0.1</v>
      </c>
      <c r="AG244" s="183">
        <v>1</v>
      </c>
      <c r="AH244" s="4"/>
      <c r="AI244" s="5" t="s">
        <v>1655</v>
      </c>
      <c r="AL244" s="5" t="s">
        <v>1668</v>
      </c>
      <c r="AO244" s="5" t="s">
        <v>1668</v>
      </c>
    </row>
    <row r="245" spans="1:41" ht="15" customHeight="1" x14ac:dyDescent="0.2">
      <c r="A245" s="141" t="s">
        <v>313</v>
      </c>
      <c r="B245" s="187" t="s">
        <v>1759</v>
      </c>
      <c r="C245" s="141">
        <v>2015</v>
      </c>
      <c r="D245" s="188">
        <v>35</v>
      </c>
      <c r="E245" s="135">
        <v>2695</v>
      </c>
      <c r="F245" s="192" t="s">
        <v>569</v>
      </c>
      <c r="G245" s="188">
        <v>0</v>
      </c>
      <c r="H245" s="188">
        <v>0</v>
      </c>
      <c r="I245" s="188">
        <v>0</v>
      </c>
      <c r="J245" s="188">
        <v>0</v>
      </c>
      <c r="K245" s="188">
        <v>0</v>
      </c>
      <c r="L245" s="188">
        <v>0</v>
      </c>
      <c r="M245" s="188">
        <v>0</v>
      </c>
      <c r="N245" s="188">
        <v>0</v>
      </c>
      <c r="O245" s="188">
        <v>0</v>
      </c>
      <c r="P245" s="188">
        <v>0</v>
      </c>
      <c r="Q245" s="188">
        <v>0</v>
      </c>
      <c r="R245" s="188">
        <v>0</v>
      </c>
      <c r="S245" s="188">
        <v>0</v>
      </c>
      <c r="T245" s="188">
        <v>0</v>
      </c>
      <c r="U245" s="188">
        <v>0</v>
      </c>
      <c r="V245" s="188">
        <v>0</v>
      </c>
      <c r="W245" s="188">
        <v>0</v>
      </c>
      <c r="X245" s="188">
        <v>0</v>
      </c>
      <c r="Y245" s="188">
        <v>0</v>
      </c>
      <c r="Z245" s="188">
        <v>0</v>
      </c>
      <c r="AA245" s="188">
        <v>0</v>
      </c>
      <c r="AB245" s="188">
        <v>0</v>
      </c>
      <c r="AC245" s="188">
        <v>0</v>
      </c>
      <c r="AD245" s="188">
        <v>1</v>
      </c>
      <c r="AE245" s="188">
        <v>0</v>
      </c>
      <c r="AF245" s="191">
        <v>0.1</v>
      </c>
      <c r="AG245" s="183">
        <v>1</v>
      </c>
      <c r="AH245" s="4"/>
      <c r="AI245" s="5" t="s">
        <v>1655</v>
      </c>
      <c r="AL245" s="5" t="s">
        <v>1668</v>
      </c>
      <c r="AO245" s="5" t="s">
        <v>1668</v>
      </c>
    </row>
    <row r="246" spans="1:41" ht="15" customHeight="1" x14ac:dyDescent="0.2">
      <c r="A246" s="141" t="s">
        <v>313</v>
      </c>
      <c r="B246" s="187" t="s">
        <v>1759</v>
      </c>
      <c r="C246" s="141">
        <v>2015</v>
      </c>
      <c r="D246" s="188">
        <v>35</v>
      </c>
      <c r="E246" s="135" t="e">
        <v>#N/A</v>
      </c>
      <c r="F246" s="192" t="s">
        <v>1773</v>
      </c>
      <c r="G246" s="188">
        <v>0</v>
      </c>
      <c r="H246" s="188">
        <v>0</v>
      </c>
      <c r="I246" s="188">
        <v>0</v>
      </c>
      <c r="J246" s="188">
        <v>0</v>
      </c>
      <c r="K246" s="188">
        <v>0</v>
      </c>
      <c r="L246" s="188">
        <v>0</v>
      </c>
      <c r="M246" s="188">
        <v>0</v>
      </c>
      <c r="N246" s="188">
        <v>0</v>
      </c>
      <c r="O246" s="188">
        <v>0</v>
      </c>
      <c r="P246" s="188">
        <v>0</v>
      </c>
      <c r="Q246" s="188">
        <v>0</v>
      </c>
      <c r="R246" s="188">
        <v>0</v>
      </c>
      <c r="S246" s="188">
        <v>0</v>
      </c>
      <c r="T246" s="188">
        <v>0</v>
      </c>
      <c r="U246" s="188">
        <v>0</v>
      </c>
      <c r="V246" s="188">
        <v>0</v>
      </c>
      <c r="W246" s="188">
        <v>0</v>
      </c>
      <c r="X246" s="188">
        <v>0</v>
      </c>
      <c r="Y246" s="188">
        <v>0</v>
      </c>
      <c r="Z246" s="188">
        <v>1</v>
      </c>
      <c r="AA246" s="188">
        <v>0</v>
      </c>
      <c r="AB246" s="188">
        <v>0</v>
      </c>
      <c r="AC246" s="188">
        <v>0</v>
      </c>
      <c r="AD246" s="188">
        <v>1</v>
      </c>
      <c r="AE246" s="188">
        <v>1</v>
      </c>
      <c r="AF246" s="191">
        <v>0.1</v>
      </c>
      <c r="AG246" s="183">
        <v>3</v>
      </c>
      <c r="AI246" s="5" t="s">
        <v>1655</v>
      </c>
      <c r="AL246" s="5" t="s">
        <v>1668</v>
      </c>
      <c r="AM246" s="5" t="s">
        <v>1434</v>
      </c>
      <c r="AO246" s="5" t="s">
        <v>1434</v>
      </c>
    </row>
    <row r="247" spans="1:41" ht="15" customHeight="1" x14ac:dyDescent="0.2">
      <c r="A247" s="141" t="s">
        <v>313</v>
      </c>
      <c r="B247" s="187" t="s">
        <v>1759</v>
      </c>
      <c r="C247" s="141">
        <v>2015</v>
      </c>
      <c r="D247" s="188">
        <v>36</v>
      </c>
      <c r="E247" s="135">
        <v>278</v>
      </c>
      <c r="F247" s="192" t="s">
        <v>132</v>
      </c>
      <c r="G247" s="188">
        <v>1</v>
      </c>
      <c r="H247" s="188">
        <v>0</v>
      </c>
      <c r="I247" s="188">
        <v>0</v>
      </c>
      <c r="J247" s="188">
        <v>1</v>
      </c>
      <c r="K247" s="188">
        <v>1</v>
      </c>
      <c r="L247" s="188">
        <v>1</v>
      </c>
      <c r="M247" s="188">
        <v>1</v>
      </c>
      <c r="N247" s="188">
        <v>1</v>
      </c>
      <c r="O247" s="188">
        <v>1</v>
      </c>
      <c r="P247" s="188">
        <v>1</v>
      </c>
      <c r="Q247" s="188">
        <v>0</v>
      </c>
      <c r="R247" s="188">
        <v>1</v>
      </c>
      <c r="S247" s="188">
        <v>1</v>
      </c>
      <c r="T247" s="188">
        <v>1</v>
      </c>
      <c r="U247" s="188">
        <v>1</v>
      </c>
      <c r="V247" s="188">
        <v>0</v>
      </c>
      <c r="W247" s="188">
        <v>0</v>
      </c>
      <c r="X247" s="188">
        <v>1</v>
      </c>
      <c r="Y247" s="188">
        <v>1</v>
      </c>
      <c r="Z247" s="188">
        <v>0</v>
      </c>
      <c r="AA247" s="188">
        <v>1</v>
      </c>
      <c r="AB247" s="188">
        <v>1</v>
      </c>
      <c r="AC247" s="188">
        <v>1</v>
      </c>
      <c r="AD247" s="188">
        <v>1</v>
      </c>
      <c r="AE247" s="188">
        <v>1</v>
      </c>
      <c r="AF247" s="191">
        <v>17</v>
      </c>
      <c r="AG247" s="183">
        <v>19</v>
      </c>
      <c r="AH247" s="4"/>
    </row>
    <row r="248" spans="1:41" ht="15" customHeight="1" x14ac:dyDescent="0.2">
      <c r="A248" s="141" t="s">
        <v>313</v>
      </c>
      <c r="B248" s="187" t="s">
        <v>1759</v>
      </c>
      <c r="C248" s="141">
        <v>2015</v>
      </c>
      <c r="D248" s="188">
        <v>36</v>
      </c>
      <c r="E248" s="135">
        <v>2694</v>
      </c>
      <c r="F248" s="192" t="s">
        <v>570</v>
      </c>
      <c r="G248" s="188">
        <v>0</v>
      </c>
      <c r="H248" s="188">
        <v>1</v>
      </c>
      <c r="I248" s="188">
        <v>0</v>
      </c>
      <c r="J248" s="188">
        <v>1</v>
      </c>
      <c r="K248" s="188">
        <v>1</v>
      </c>
      <c r="L248" s="188">
        <v>0</v>
      </c>
      <c r="M248" s="188">
        <v>0</v>
      </c>
      <c r="N248" s="188">
        <v>0</v>
      </c>
      <c r="O248" s="188">
        <v>0</v>
      </c>
      <c r="P248" s="188">
        <v>0</v>
      </c>
      <c r="Q248" s="188">
        <v>0</v>
      </c>
      <c r="R248" s="188">
        <v>0</v>
      </c>
      <c r="S248" s="188">
        <v>1</v>
      </c>
      <c r="T248" s="188">
        <v>0</v>
      </c>
      <c r="U248" s="188">
        <v>0</v>
      </c>
      <c r="V248" s="188">
        <v>0</v>
      </c>
      <c r="W248" s="188">
        <v>0</v>
      </c>
      <c r="X248" s="188">
        <v>0</v>
      </c>
      <c r="Y248" s="188">
        <v>0</v>
      </c>
      <c r="Z248" s="188">
        <v>0</v>
      </c>
      <c r="AA248" s="188">
        <v>0</v>
      </c>
      <c r="AB248" s="188">
        <v>0</v>
      </c>
      <c r="AC248" s="188">
        <v>0</v>
      </c>
      <c r="AD248" s="188">
        <v>0</v>
      </c>
      <c r="AE248" s="188">
        <v>0</v>
      </c>
      <c r="AF248" s="191">
        <v>0.1</v>
      </c>
      <c r="AG248" s="183">
        <v>4</v>
      </c>
      <c r="AH248" s="4" t="s">
        <v>1885</v>
      </c>
      <c r="AI248" s="5" t="s">
        <v>1658</v>
      </c>
      <c r="AJ248" s="5" t="s">
        <v>1655</v>
      </c>
      <c r="AL248" s="5" t="s">
        <v>1668</v>
      </c>
      <c r="AM248" s="5" t="s">
        <v>1672</v>
      </c>
      <c r="AO248" s="5" t="s">
        <v>1672</v>
      </c>
    </row>
    <row r="249" spans="1:41" ht="15" customHeight="1" x14ac:dyDescent="0.2">
      <c r="A249" s="197" t="s">
        <v>313</v>
      </c>
      <c r="B249" s="199" t="s">
        <v>1759</v>
      </c>
      <c r="C249" s="197">
        <v>2015</v>
      </c>
      <c r="D249" s="200">
        <v>36</v>
      </c>
      <c r="E249" s="201">
        <v>2359</v>
      </c>
      <c r="F249" s="223" t="s">
        <v>1886</v>
      </c>
      <c r="G249" s="200">
        <v>0</v>
      </c>
      <c r="H249" s="200">
        <v>0</v>
      </c>
      <c r="I249" s="200">
        <v>0</v>
      </c>
      <c r="J249" s="200">
        <v>1</v>
      </c>
      <c r="K249" s="200">
        <v>1</v>
      </c>
      <c r="L249" s="200">
        <v>0</v>
      </c>
      <c r="M249" s="200">
        <v>1</v>
      </c>
      <c r="N249" s="200">
        <v>1</v>
      </c>
      <c r="O249" s="200">
        <v>0</v>
      </c>
      <c r="P249" s="200">
        <v>1</v>
      </c>
      <c r="Q249" s="200">
        <v>0</v>
      </c>
      <c r="R249" s="200">
        <v>1</v>
      </c>
      <c r="S249" s="200">
        <v>1</v>
      </c>
      <c r="T249" s="200">
        <v>1</v>
      </c>
      <c r="U249" s="200">
        <v>0</v>
      </c>
      <c r="V249" s="200">
        <v>1</v>
      </c>
      <c r="W249" s="200">
        <v>1</v>
      </c>
      <c r="X249" s="200">
        <v>1</v>
      </c>
      <c r="Y249" s="200">
        <v>1</v>
      </c>
      <c r="Z249" s="200">
        <v>0</v>
      </c>
      <c r="AA249" s="200">
        <v>0</v>
      </c>
      <c r="AB249" s="200">
        <v>1</v>
      </c>
      <c r="AC249" s="200">
        <v>1</v>
      </c>
      <c r="AD249" s="200">
        <v>1</v>
      </c>
      <c r="AE249" s="200">
        <v>1</v>
      </c>
      <c r="AF249" s="224">
        <v>0.1</v>
      </c>
      <c r="AG249" s="200">
        <v>16</v>
      </c>
      <c r="AH249" s="22" t="s">
        <v>1887</v>
      </c>
      <c r="AI249" s="22" t="s">
        <v>1658</v>
      </c>
      <c r="AJ249" s="22" t="s">
        <v>1655</v>
      </c>
      <c r="AK249" s="22" t="s">
        <v>1657</v>
      </c>
      <c r="AL249" s="22" t="s">
        <v>1668</v>
      </c>
      <c r="AM249" s="22" t="s">
        <v>1675</v>
      </c>
      <c r="AN249" s="22"/>
      <c r="AO249" s="22" t="s">
        <v>1675</v>
      </c>
    </row>
    <row r="250" spans="1:41" ht="15" customHeight="1" x14ac:dyDescent="0.2">
      <c r="A250" s="141" t="s">
        <v>313</v>
      </c>
      <c r="B250" s="187" t="s">
        <v>1759</v>
      </c>
      <c r="C250" s="141">
        <v>2015</v>
      </c>
      <c r="D250" s="188">
        <v>36</v>
      </c>
      <c r="E250" s="135">
        <v>2360</v>
      </c>
      <c r="F250" s="192" t="s">
        <v>664</v>
      </c>
      <c r="G250" s="188">
        <v>0</v>
      </c>
      <c r="H250" s="188">
        <v>0</v>
      </c>
      <c r="I250" s="188">
        <v>0</v>
      </c>
      <c r="J250" s="188">
        <v>0</v>
      </c>
      <c r="K250" s="188">
        <v>0</v>
      </c>
      <c r="L250" s="188">
        <v>0</v>
      </c>
      <c r="M250" s="188">
        <v>0</v>
      </c>
      <c r="N250" s="188">
        <v>1</v>
      </c>
      <c r="O250" s="188">
        <v>1</v>
      </c>
      <c r="P250" s="188">
        <v>0</v>
      </c>
      <c r="Q250" s="188">
        <v>0</v>
      </c>
      <c r="R250" s="188">
        <v>0</v>
      </c>
      <c r="S250" s="188">
        <v>0</v>
      </c>
      <c r="T250" s="188">
        <v>0</v>
      </c>
      <c r="U250" s="188">
        <v>0</v>
      </c>
      <c r="V250" s="188">
        <v>0</v>
      </c>
      <c r="W250" s="188">
        <v>0</v>
      </c>
      <c r="X250" s="188">
        <v>0</v>
      </c>
      <c r="Y250" s="188">
        <v>0</v>
      </c>
      <c r="Z250" s="188">
        <v>0</v>
      </c>
      <c r="AA250" s="188">
        <v>0</v>
      </c>
      <c r="AB250" s="188">
        <v>0</v>
      </c>
      <c r="AC250" s="188">
        <v>0</v>
      </c>
      <c r="AD250" s="188">
        <v>0</v>
      </c>
      <c r="AE250" s="188">
        <v>0</v>
      </c>
      <c r="AF250" s="191">
        <v>0.1</v>
      </c>
      <c r="AG250" s="183">
        <v>2</v>
      </c>
      <c r="AH250" s="4"/>
      <c r="AI250" s="5" t="s">
        <v>1655</v>
      </c>
      <c r="AL250" s="5" t="s">
        <v>1668</v>
      </c>
      <c r="AO250" s="5" t="s">
        <v>1668</v>
      </c>
    </row>
    <row r="251" spans="1:41" ht="15" customHeight="1" x14ac:dyDescent="0.2">
      <c r="A251" s="141" t="s">
        <v>313</v>
      </c>
      <c r="B251" s="187" t="s">
        <v>1759</v>
      </c>
      <c r="C251" s="141">
        <v>2015</v>
      </c>
      <c r="D251" s="188">
        <v>36</v>
      </c>
      <c r="E251" s="135">
        <v>2362</v>
      </c>
      <c r="F251" s="192" t="s">
        <v>663</v>
      </c>
      <c r="G251" s="188">
        <v>0</v>
      </c>
      <c r="H251" s="188">
        <v>0</v>
      </c>
      <c r="I251" s="188">
        <v>0</v>
      </c>
      <c r="J251" s="188">
        <v>0</v>
      </c>
      <c r="K251" s="188">
        <v>1</v>
      </c>
      <c r="L251" s="188">
        <v>1</v>
      </c>
      <c r="M251" s="188">
        <v>0</v>
      </c>
      <c r="N251" s="188">
        <v>0</v>
      </c>
      <c r="O251" s="188">
        <v>0</v>
      </c>
      <c r="P251" s="188">
        <v>0</v>
      </c>
      <c r="Q251" s="188">
        <v>0</v>
      </c>
      <c r="R251" s="188">
        <v>0</v>
      </c>
      <c r="S251" s="188">
        <v>0</v>
      </c>
      <c r="T251" s="188">
        <v>1</v>
      </c>
      <c r="U251" s="188">
        <v>0</v>
      </c>
      <c r="V251" s="188">
        <v>0</v>
      </c>
      <c r="W251" s="188">
        <v>1</v>
      </c>
      <c r="X251" s="188">
        <v>1</v>
      </c>
      <c r="Y251" s="188">
        <v>1</v>
      </c>
      <c r="Z251" s="188">
        <v>0</v>
      </c>
      <c r="AA251" s="188">
        <v>1</v>
      </c>
      <c r="AB251" s="188">
        <v>1</v>
      </c>
      <c r="AC251" s="188">
        <v>0</v>
      </c>
      <c r="AD251" s="188">
        <v>1</v>
      </c>
      <c r="AE251" s="188">
        <v>1</v>
      </c>
      <c r="AF251" s="191">
        <v>0.1</v>
      </c>
      <c r="AG251" s="183">
        <v>10</v>
      </c>
      <c r="AH251" s="4"/>
      <c r="AI251" s="5" t="s">
        <v>1655</v>
      </c>
      <c r="AL251" s="5" t="s">
        <v>1668</v>
      </c>
      <c r="AO251" s="5" t="s">
        <v>1668</v>
      </c>
    </row>
    <row r="252" spans="1:41" ht="15" customHeight="1" x14ac:dyDescent="0.2">
      <c r="A252" s="141" t="s">
        <v>313</v>
      </c>
      <c r="B252" s="187" t="s">
        <v>1759</v>
      </c>
      <c r="C252" s="141">
        <v>2015</v>
      </c>
      <c r="D252" s="188">
        <v>36</v>
      </c>
      <c r="E252" s="135">
        <v>2378</v>
      </c>
      <c r="F252" s="192" t="s">
        <v>654</v>
      </c>
      <c r="G252" s="188">
        <v>0</v>
      </c>
      <c r="H252" s="188">
        <v>0</v>
      </c>
      <c r="I252" s="188">
        <v>0</v>
      </c>
      <c r="J252" s="188">
        <v>0</v>
      </c>
      <c r="K252" s="188">
        <v>0</v>
      </c>
      <c r="L252" s="188">
        <v>0</v>
      </c>
      <c r="M252" s="188">
        <v>0</v>
      </c>
      <c r="N252" s="188">
        <v>0</v>
      </c>
      <c r="O252" s="188">
        <v>0</v>
      </c>
      <c r="P252" s="188">
        <v>1</v>
      </c>
      <c r="Q252" s="188">
        <v>0</v>
      </c>
      <c r="R252" s="188">
        <v>0</v>
      </c>
      <c r="S252" s="188">
        <v>1</v>
      </c>
      <c r="T252" s="188">
        <v>0</v>
      </c>
      <c r="U252" s="188">
        <v>0</v>
      </c>
      <c r="V252" s="188">
        <v>0</v>
      </c>
      <c r="W252" s="188">
        <v>0</v>
      </c>
      <c r="X252" s="188">
        <v>0</v>
      </c>
      <c r="Y252" s="188">
        <v>0</v>
      </c>
      <c r="Z252" s="188">
        <v>0</v>
      </c>
      <c r="AA252" s="188">
        <v>0</v>
      </c>
      <c r="AB252" s="188">
        <v>0</v>
      </c>
      <c r="AC252" s="188">
        <v>0</v>
      </c>
      <c r="AD252" s="188">
        <v>0</v>
      </c>
      <c r="AE252" s="188">
        <v>0</v>
      </c>
      <c r="AF252" s="191">
        <v>0.1</v>
      </c>
      <c r="AG252" s="183">
        <v>2</v>
      </c>
      <c r="AH252" s="4" t="s">
        <v>1793</v>
      </c>
      <c r="AI252" s="5" t="s">
        <v>1655</v>
      </c>
      <c r="AL252" s="5" t="s">
        <v>1668</v>
      </c>
      <c r="AM252" s="5" t="s">
        <v>1671</v>
      </c>
      <c r="AN252" s="5" t="s">
        <v>1675</v>
      </c>
      <c r="AO252" s="5" t="s">
        <v>1675</v>
      </c>
    </row>
    <row r="253" spans="1:41" ht="15" customHeight="1" x14ac:dyDescent="0.2">
      <c r="A253" s="141" t="s">
        <v>313</v>
      </c>
      <c r="B253" s="187" t="s">
        <v>1759</v>
      </c>
      <c r="C253" s="141">
        <v>2015</v>
      </c>
      <c r="D253" s="188">
        <v>36</v>
      </c>
      <c r="E253" s="135">
        <v>2366</v>
      </c>
      <c r="F253" s="192" t="s">
        <v>660</v>
      </c>
      <c r="G253" s="188">
        <v>0</v>
      </c>
      <c r="H253" s="188">
        <v>0</v>
      </c>
      <c r="I253" s="188">
        <v>1</v>
      </c>
      <c r="J253" s="188">
        <v>0</v>
      </c>
      <c r="K253" s="188">
        <v>0</v>
      </c>
      <c r="L253" s="188">
        <v>0</v>
      </c>
      <c r="M253" s="188">
        <v>0</v>
      </c>
      <c r="N253" s="188">
        <v>0</v>
      </c>
      <c r="O253" s="188">
        <v>0</v>
      </c>
      <c r="P253" s="188">
        <v>0</v>
      </c>
      <c r="Q253" s="188">
        <v>0</v>
      </c>
      <c r="R253" s="188">
        <v>0</v>
      </c>
      <c r="S253" s="188">
        <v>0</v>
      </c>
      <c r="T253" s="188">
        <v>0</v>
      </c>
      <c r="U253" s="188">
        <v>0</v>
      </c>
      <c r="V253" s="188">
        <v>0</v>
      </c>
      <c r="W253" s="188">
        <v>0</v>
      </c>
      <c r="X253" s="188">
        <v>0</v>
      </c>
      <c r="Y253" s="188">
        <v>0</v>
      </c>
      <c r="Z253" s="188">
        <v>1</v>
      </c>
      <c r="AA253" s="188">
        <v>0</v>
      </c>
      <c r="AB253" s="188">
        <v>0</v>
      </c>
      <c r="AC253" s="188">
        <v>0</v>
      </c>
      <c r="AD253" s="188">
        <v>0</v>
      </c>
      <c r="AE253" s="188">
        <v>0</v>
      </c>
      <c r="AF253" s="191">
        <v>0.1</v>
      </c>
      <c r="AG253" s="183">
        <v>2</v>
      </c>
      <c r="AH253" s="4"/>
      <c r="AI253" s="5" t="s">
        <v>1655</v>
      </c>
      <c r="AL253" s="5" t="s">
        <v>1668</v>
      </c>
      <c r="AO253" s="5" t="s">
        <v>1668</v>
      </c>
    </row>
    <row r="254" spans="1:41" ht="15" customHeight="1" x14ac:dyDescent="0.2">
      <c r="A254" s="141" t="s">
        <v>313</v>
      </c>
      <c r="B254" s="187" t="s">
        <v>1759</v>
      </c>
      <c r="C254" s="141">
        <v>2015</v>
      </c>
      <c r="D254" s="188">
        <v>36</v>
      </c>
      <c r="E254" s="135" t="e">
        <v>#N/A</v>
      </c>
      <c r="F254" s="192" t="s">
        <v>1767</v>
      </c>
      <c r="G254" s="188">
        <v>0</v>
      </c>
      <c r="H254" s="188">
        <v>0</v>
      </c>
      <c r="I254" s="188">
        <v>0</v>
      </c>
      <c r="J254" s="188">
        <v>0</v>
      </c>
      <c r="K254" s="188">
        <v>0</v>
      </c>
      <c r="L254" s="188">
        <v>0</v>
      </c>
      <c r="M254" s="188">
        <v>0</v>
      </c>
      <c r="N254" s="188">
        <v>0</v>
      </c>
      <c r="O254" s="188">
        <v>0</v>
      </c>
      <c r="P254" s="188">
        <v>0</v>
      </c>
      <c r="Q254" s="188">
        <v>0</v>
      </c>
      <c r="R254" s="188">
        <v>0</v>
      </c>
      <c r="S254" s="188">
        <v>0</v>
      </c>
      <c r="T254" s="188">
        <v>0</v>
      </c>
      <c r="U254" s="188">
        <v>1</v>
      </c>
      <c r="V254" s="188">
        <v>0</v>
      </c>
      <c r="W254" s="188">
        <v>0</v>
      </c>
      <c r="X254" s="188">
        <v>0</v>
      </c>
      <c r="Y254" s="188">
        <v>1</v>
      </c>
      <c r="Z254" s="188">
        <v>0</v>
      </c>
      <c r="AA254" s="188">
        <v>0</v>
      </c>
      <c r="AB254" s="188">
        <v>0</v>
      </c>
      <c r="AC254" s="188">
        <v>0</v>
      </c>
      <c r="AD254" s="188">
        <v>0</v>
      </c>
      <c r="AE254" s="188">
        <v>0</v>
      </c>
      <c r="AF254" s="191">
        <v>0.1</v>
      </c>
      <c r="AG254" s="183">
        <v>2</v>
      </c>
    </row>
    <row r="255" spans="1:41" ht="15" customHeight="1" x14ac:dyDescent="0.2">
      <c r="A255" s="141" t="s">
        <v>313</v>
      </c>
      <c r="B255" s="187" t="s">
        <v>1759</v>
      </c>
      <c r="C255" s="141">
        <v>2015</v>
      </c>
      <c r="D255" s="188">
        <v>36</v>
      </c>
      <c r="E255" s="135">
        <v>541</v>
      </c>
      <c r="F255" s="192" t="s">
        <v>1313</v>
      </c>
      <c r="G255" s="188">
        <v>1</v>
      </c>
      <c r="H255" s="188">
        <v>1</v>
      </c>
      <c r="I255" s="188">
        <v>1</v>
      </c>
      <c r="J255" s="188">
        <v>1</v>
      </c>
      <c r="K255" s="188">
        <v>1</v>
      </c>
      <c r="L255" s="188">
        <v>1</v>
      </c>
      <c r="M255" s="188">
        <v>1</v>
      </c>
      <c r="N255" s="188">
        <v>1</v>
      </c>
      <c r="O255" s="188">
        <v>1</v>
      </c>
      <c r="P255" s="188">
        <v>1</v>
      </c>
      <c r="Q255" s="188">
        <v>1</v>
      </c>
      <c r="R255" s="188">
        <v>1</v>
      </c>
      <c r="S255" s="188">
        <v>1</v>
      </c>
      <c r="T255" s="188">
        <v>1</v>
      </c>
      <c r="U255" s="188">
        <v>1</v>
      </c>
      <c r="V255" s="188">
        <v>1</v>
      </c>
      <c r="W255" s="188">
        <v>1</v>
      </c>
      <c r="X255" s="188">
        <v>1</v>
      </c>
      <c r="Y255" s="188">
        <v>1</v>
      </c>
      <c r="Z255" s="188">
        <v>1</v>
      </c>
      <c r="AA255" s="188">
        <v>1</v>
      </c>
      <c r="AB255" s="188">
        <v>1</v>
      </c>
      <c r="AC255" s="188">
        <v>1</v>
      </c>
      <c r="AD255" s="188">
        <v>1</v>
      </c>
      <c r="AE255" s="188">
        <v>1</v>
      </c>
      <c r="AF255" s="191">
        <v>45</v>
      </c>
      <c r="AG255" s="183">
        <v>25</v>
      </c>
      <c r="AH255" s="4"/>
    </row>
    <row r="256" spans="1:41" ht="15" customHeight="1" x14ac:dyDescent="0.2">
      <c r="A256" s="141" t="s">
        <v>313</v>
      </c>
      <c r="B256" s="187" t="s">
        <v>1759</v>
      </c>
      <c r="C256" s="141">
        <v>2015</v>
      </c>
      <c r="D256" s="188">
        <v>36</v>
      </c>
      <c r="E256" s="135" t="e">
        <v>#N/A</v>
      </c>
      <c r="F256" s="192" t="s">
        <v>1774</v>
      </c>
      <c r="G256" s="188">
        <v>0</v>
      </c>
      <c r="H256" s="188">
        <v>0</v>
      </c>
      <c r="I256" s="188">
        <v>1</v>
      </c>
      <c r="J256" s="188">
        <v>0</v>
      </c>
      <c r="K256" s="188">
        <v>0</v>
      </c>
      <c r="L256" s="188">
        <v>0</v>
      </c>
      <c r="M256" s="188">
        <v>0</v>
      </c>
      <c r="N256" s="188">
        <v>0</v>
      </c>
      <c r="O256" s="188">
        <v>0</v>
      </c>
      <c r="P256" s="188">
        <v>0</v>
      </c>
      <c r="Q256" s="188">
        <v>0</v>
      </c>
      <c r="R256" s="188">
        <v>0</v>
      </c>
      <c r="S256" s="188">
        <v>0</v>
      </c>
      <c r="T256" s="188">
        <v>0</v>
      </c>
      <c r="U256" s="188">
        <v>0</v>
      </c>
      <c r="V256" s="188">
        <v>0</v>
      </c>
      <c r="W256" s="188">
        <v>0</v>
      </c>
      <c r="X256" s="188">
        <v>0</v>
      </c>
      <c r="Y256" s="188">
        <v>0</v>
      </c>
      <c r="Z256" s="188">
        <v>0</v>
      </c>
      <c r="AA256" s="188">
        <v>0</v>
      </c>
      <c r="AB256" s="188">
        <v>0</v>
      </c>
      <c r="AC256" s="188">
        <v>0</v>
      </c>
      <c r="AD256" s="188">
        <v>0</v>
      </c>
      <c r="AE256" s="188">
        <v>0</v>
      </c>
      <c r="AF256" s="191">
        <v>0.1</v>
      </c>
      <c r="AG256" s="183">
        <v>1</v>
      </c>
      <c r="AI256" s="5" t="s">
        <v>1655</v>
      </c>
      <c r="AL256" s="5" t="s">
        <v>1668</v>
      </c>
      <c r="AM256" s="5" t="s">
        <v>1434</v>
      </c>
      <c r="AO256" s="5" t="s">
        <v>1434</v>
      </c>
    </row>
    <row r="257" spans="1:41" ht="15" customHeight="1" x14ac:dyDescent="0.2">
      <c r="A257" s="141" t="s">
        <v>313</v>
      </c>
      <c r="B257" s="187" t="s">
        <v>1759</v>
      </c>
      <c r="C257" s="141">
        <v>2015</v>
      </c>
      <c r="D257" s="188">
        <v>36</v>
      </c>
      <c r="E257" s="135" t="e">
        <v>#N/A</v>
      </c>
      <c r="F257" s="192" t="s">
        <v>1773</v>
      </c>
      <c r="G257" s="188">
        <v>0</v>
      </c>
      <c r="H257" s="188">
        <v>1</v>
      </c>
      <c r="I257" s="188">
        <v>1</v>
      </c>
      <c r="J257" s="188">
        <v>0</v>
      </c>
      <c r="K257" s="188">
        <v>0</v>
      </c>
      <c r="L257" s="188">
        <v>0</v>
      </c>
      <c r="M257" s="188">
        <v>1</v>
      </c>
      <c r="N257" s="188">
        <v>0</v>
      </c>
      <c r="O257" s="188">
        <v>1</v>
      </c>
      <c r="P257" s="188">
        <v>0</v>
      </c>
      <c r="Q257" s="188">
        <v>0</v>
      </c>
      <c r="R257" s="188">
        <v>1</v>
      </c>
      <c r="S257" s="188">
        <v>0</v>
      </c>
      <c r="T257" s="188">
        <v>0</v>
      </c>
      <c r="U257" s="188">
        <v>1</v>
      </c>
      <c r="V257" s="188">
        <v>1</v>
      </c>
      <c r="W257" s="188">
        <v>0</v>
      </c>
      <c r="X257" s="188">
        <v>0</v>
      </c>
      <c r="Y257" s="188">
        <v>1</v>
      </c>
      <c r="Z257" s="188">
        <v>0</v>
      </c>
      <c r="AA257" s="188">
        <v>0</v>
      </c>
      <c r="AB257" s="188">
        <v>0</v>
      </c>
      <c r="AC257" s="188">
        <v>0</v>
      </c>
      <c r="AD257" s="188">
        <v>0</v>
      </c>
      <c r="AE257" s="188">
        <v>1</v>
      </c>
      <c r="AF257" s="190">
        <v>0.1</v>
      </c>
      <c r="AG257" s="183">
        <v>9</v>
      </c>
      <c r="AI257" s="5" t="s">
        <v>1655</v>
      </c>
      <c r="AL257" s="5" t="s">
        <v>1668</v>
      </c>
      <c r="AM257" s="5" t="s">
        <v>1434</v>
      </c>
      <c r="AO257" s="5" t="s">
        <v>1434</v>
      </c>
    </row>
    <row r="258" spans="1:41" ht="15" customHeight="1" x14ac:dyDescent="0.2">
      <c r="A258" s="141" t="s">
        <v>313</v>
      </c>
      <c r="B258" s="187" t="s">
        <v>1759</v>
      </c>
      <c r="C258" s="141">
        <v>2015</v>
      </c>
      <c r="D258" s="188">
        <v>36</v>
      </c>
      <c r="E258" s="135">
        <v>2930</v>
      </c>
      <c r="F258" s="192" t="s">
        <v>483</v>
      </c>
      <c r="G258" s="188">
        <v>1</v>
      </c>
      <c r="H258" s="188">
        <v>1</v>
      </c>
      <c r="I258" s="188">
        <v>1</v>
      </c>
      <c r="J258" s="188">
        <v>1</v>
      </c>
      <c r="K258" s="188">
        <v>1</v>
      </c>
      <c r="L258" s="188">
        <v>1</v>
      </c>
      <c r="M258" s="188">
        <v>1</v>
      </c>
      <c r="N258" s="188">
        <v>0</v>
      </c>
      <c r="O258" s="188">
        <v>1</v>
      </c>
      <c r="P258" s="188">
        <v>0</v>
      </c>
      <c r="Q258" s="188">
        <v>1</v>
      </c>
      <c r="R258" s="188">
        <v>1</v>
      </c>
      <c r="S258" s="188">
        <v>0</v>
      </c>
      <c r="T258" s="188">
        <v>0</v>
      </c>
      <c r="U258" s="188">
        <v>1</v>
      </c>
      <c r="V258" s="188">
        <v>1</v>
      </c>
      <c r="W258" s="188">
        <v>1</v>
      </c>
      <c r="X258" s="188">
        <v>0</v>
      </c>
      <c r="Y258" s="188">
        <v>0</v>
      </c>
      <c r="Z258" s="188">
        <v>1</v>
      </c>
      <c r="AA258" s="188">
        <v>1</v>
      </c>
      <c r="AB258" s="188">
        <v>1</v>
      </c>
      <c r="AC258" s="188">
        <v>0</v>
      </c>
      <c r="AD258" s="188">
        <v>1</v>
      </c>
      <c r="AE258" s="188">
        <v>1</v>
      </c>
      <c r="AF258" s="191">
        <v>0.1</v>
      </c>
      <c r="AG258" s="183">
        <v>18</v>
      </c>
      <c r="AH258" s="4" t="s">
        <v>1855</v>
      </c>
      <c r="AI258" s="5" t="s">
        <v>1658</v>
      </c>
      <c r="AJ258" s="5" t="s">
        <v>1655</v>
      </c>
      <c r="AL258" s="5" t="s">
        <v>1668</v>
      </c>
      <c r="AM258" s="5" t="s">
        <v>1672</v>
      </c>
      <c r="AO258" s="5" t="s">
        <v>1672</v>
      </c>
    </row>
    <row r="259" spans="1:41" ht="15" customHeight="1" x14ac:dyDescent="0.2">
      <c r="A259" s="141" t="s">
        <v>313</v>
      </c>
      <c r="B259" s="187" t="s">
        <v>1759</v>
      </c>
      <c r="C259" s="141">
        <v>2015</v>
      </c>
      <c r="D259" s="188">
        <v>36</v>
      </c>
      <c r="E259" s="135" t="e">
        <v>#N/A</v>
      </c>
      <c r="F259" s="192" t="s">
        <v>1772</v>
      </c>
      <c r="G259" s="188">
        <v>1</v>
      </c>
      <c r="H259" s="188">
        <v>1</v>
      </c>
      <c r="I259" s="188">
        <v>0</v>
      </c>
      <c r="J259" s="188">
        <v>1</v>
      </c>
      <c r="K259" s="188">
        <v>1</v>
      </c>
      <c r="L259" s="188">
        <v>1</v>
      </c>
      <c r="M259" s="188">
        <v>1</v>
      </c>
      <c r="N259" s="188">
        <v>0</v>
      </c>
      <c r="O259" s="188">
        <v>0</v>
      </c>
      <c r="P259" s="188">
        <v>0</v>
      </c>
      <c r="Q259" s="188">
        <v>1</v>
      </c>
      <c r="R259" s="188">
        <v>1</v>
      </c>
      <c r="S259" s="188">
        <v>1</v>
      </c>
      <c r="T259" s="188">
        <v>1</v>
      </c>
      <c r="U259" s="188">
        <v>0</v>
      </c>
      <c r="V259" s="188">
        <v>0</v>
      </c>
      <c r="W259" s="188">
        <v>0</v>
      </c>
      <c r="X259" s="188">
        <v>0</v>
      </c>
      <c r="Y259" s="188">
        <v>0</v>
      </c>
      <c r="Z259" s="188">
        <v>1</v>
      </c>
      <c r="AA259" s="188">
        <v>0</v>
      </c>
      <c r="AB259" s="188">
        <v>0</v>
      </c>
      <c r="AC259" s="188">
        <v>0</v>
      </c>
      <c r="AD259" s="188">
        <v>1</v>
      </c>
      <c r="AE259" s="188">
        <v>0</v>
      </c>
      <c r="AF259" s="191">
        <v>6</v>
      </c>
      <c r="AG259" s="183">
        <v>12</v>
      </c>
      <c r="AL259" s="5" t="s">
        <v>1434</v>
      </c>
      <c r="AO259" s="5" t="s">
        <v>1434</v>
      </c>
    </row>
    <row r="260" spans="1:41" ht="15" customHeight="1" x14ac:dyDescent="0.2">
      <c r="A260" s="141" t="s">
        <v>313</v>
      </c>
      <c r="B260" s="187" t="s">
        <v>1759</v>
      </c>
      <c r="C260" s="141">
        <v>2015</v>
      </c>
      <c r="D260" s="188">
        <v>37</v>
      </c>
      <c r="E260" s="135">
        <v>2607</v>
      </c>
      <c r="F260" s="192" t="s">
        <v>616</v>
      </c>
      <c r="G260" s="188">
        <v>0</v>
      </c>
      <c r="H260" s="188">
        <v>0</v>
      </c>
      <c r="I260" s="188">
        <v>0</v>
      </c>
      <c r="J260" s="188">
        <v>0</v>
      </c>
      <c r="K260" s="188">
        <v>0</v>
      </c>
      <c r="L260" s="188">
        <v>0</v>
      </c>
      <c r="M260" s="188">
        <v>1</v>
      </c>
      <c r="N260" s="188">
        <v>0</v>
      </c>
      <c r="O260" s="188">
        <v>0</v>
      </c>
      <c r="P260" s="188">
        <v>0</v>
      </c>
      <c r="Q260" s="188">
        <v>0</v>
      </c>
      <c r="R260" s="188">
        <v>0</v>
      </c>
      <c r="S260" s="188">
        <v>0</v>
      </c>
      <c r="T260" s="188">
        <v>0</v>
      </c>
      <c r="U260" s="188">
        <v>0</v>
      </c>
      <c r="V260" s="188">
        <v>0</v>
      </c>
      <c r="W260" s="188">
        <v>0</v>
      </c>
      <c r="X260" s="188">
        <v>0</v>
      </c>
      <c r="Y260" s="188">
        <v>0</v>
      </c>
      <c r="Z260" s="188">
        <v>0</v>
      </c>
      <c r="AA260" s="188">
        <v>0</v>
      </c>
      <c r="AB260" s="188">
        <v>0</v>
      </c>
      <c r="AC260" s="188">
        <v>0</v>
      </c>
      <c r="AD260" s="188">
        <v>0</v>
      </c>
      <c r="AE260" s="188">
        <v>0</v>
      </c>
      <c r="AF260" s="191">
        <v>5</v>
      </c>
      <c r="AG260" s="183">
        <v>1</v>
      </c>
      <c r="AH260" s="4"/>
    </row>
    <row r="261" spans="1:41" ht="15" customHeight="1" x14ac:dyDescent="0.2">
      <c r="A261" s="141" t="s">
        <v>313</v>
      </c>
      <c r="B261" s="187" t="s">
        <v>1759</v>
      </c>
      <c r="C261" s="141">
        <v>2015</v>
      </c>
      <c r="D261" s="188">
        <v>37</v>
      </c>
      <c r="E261" s="135">
        <v>278</v>
      </c>
      <c r="F261" s="192" t="s">
        <v>132</v>
      </c>
      <c r="G261" s="188">
        <v>1</v>
      </c>
      <c r="H261" s="188">
        <v>1</v>
      </c>
      <c r="I261" s="188">
        <v>0</v>
      </c>
      <c r="J261" s="188">
        <v>0</v>
      </c>
      <c r="K261" s="188">
        <v>1</v>
      </c>
      <c r="L261" s="188">
        <v>1</v>
      </c>
      <c r="M261" s="188">
        <v>1</v>
      </c>
      <c r="N261" s="188">
        <v>0</v>
      </c>
      <c r="O261" s="188">
        <v>0</v>
      </c>
      <c r="P261" s="188">
        <v>1</v>
      </c>
      <c r="Q261" s="188">
        <v>1</v>
      </c>
      <c r="R261" s="188">
        <v>1</v>
      </c>
      <c r="S261" s="188">
        <v>1</v>
      </c>
      <c r="T261" s="188">
        <v>0</v>
      </c>
      <c r="U261" s="188">
        <v>0</v>
      </c>
      <c r="V261" s="188">
        <v>1</v>
      </c>
      <c r="W261" s="188">
        <v>0</v>
      </c>
      <c r="X261" s="188">
        <v>0</v>
      </c>
      <c r="Y261" s="188">
        <v>0</v>
      </c>
      <c r="Z261" s="188">
        <v>1</v>
      </c>
      <c r="AA261" s="188">
        <v>1</v>
      </c>
      <c r="AB261" s="188">
        <v>1</v>
      </c>
      <c r="AC261" s="188">
        <v>1</v>
      </c>
      <c r="AD261" s="188">
        <v>1</v>
      </c>
      <c r="AE261" s="188">
        <v>1</v>
      </c>
      <c r="AF261" s="191">
        <v>40</v>
      </c>
      <c r="AG261" s="183">
        <v>16</v>
      </c>
      <c r="AH261" s="4"/>
    </row>
    <row r="262" spans="1:41" ht="15" customHeight="1" x14ac:dyDescent="0.2">
      <c r="A262" s="141" t="s">
        <v>313</v>
      </c>
      <c r="B262" s="187" t="s">
        <v>1759</v>
      </c>
      <c r="C262" s="141">
        <v>2015</v>
      </c>
      <c r="D262" s="188">
        <v>37</v>
      </c>
      <c r="E262" s="135">
        <v>1576</v>
      </c>
      <c r="F262" s="192" t="s">
        <v>882</v>
      </c>
      <c r="G262" s="188">
        <v>1</v>
      </c>
      <c r="H262" s="188">
        <v>0</v>
      </c>
      <c r="I262" s="188">
        <v>1</v>
      </c>
      <c r="J262" s="188">
        <v>1</v>
      </c>
      <c r="K262" s="188">
        <v>1</v>
      </c>
      <c r="L262" s="188">
        <v>1</v>
      </c>
      <c r="M262" s="188">
        <v>1</v>
      </c>
      <c r="N262" s="188">
        <v>1</v>
      </c>
      <c r="O262" s="188">
        <v>0</v>
      </c>
      <c r="P262" s="188">
        <v>1</v>
      </c>
      <c r="Q262" s="188">
        <v>1</v>
      </c>
      <c r="R262" s="188">
        <v>1</v>
      </c>
      <c r="S262" s="188">
        <v>0</v>
      </c>
      <c r="T262" s="188">
        <v>0</v>
      </c>
      <c r="U262" s="188">
        <v>1</v>
      </c>
      <c r="V262" s="188">
        <v>1</v>
      </c>
      <c r="W262" s="188">
        <v>1</v>
      </c>
      <c r="X262" s="188">
        <v>1</v>
      </c>
      <c r="Y262" s="188">
        <v>1</v>
      </c>
      <c r="Z262" s="188">
        <v>1</v>
      </c>
      <c r="AA262" s="188">
        <v>1</v>
      </c>
      <c r="AB262" s="188">
        <v>1</v>
      </c>
      <c r="AC262" s="188">
        <v>1</v>
      </c>
      <c r="AD262" s="188">
        <v>0</v>
      </c>
      <c r="AE262" s="188">
        <v>1</v>
      </c>
      <c r="AF262" s="191">
        <v>20</v>
      </c>
      <c r="AG262" s="183">
        <v>20</v>
      </c>
      <c r="AH262" s="4"/>
      <c r="AI262" s="5" t="s">
        <v>1659</v>
      </c>
      <c r="AL262" s="5" t="s">
        <v>1671</v>
      </c>
      <c r="AO262" s="5" t="s">
        <v>1671</v>
      </c>
    </row>
    <row r="263" spans="1:41" ht="15" customHeight="1" x14ac:dyDescent="0.2">
      <c r="A263" s="141" t="s">
        <v>313</v>
      </c>
      <c r="B263" s="187" t="s">
        <v>1759</v>
      </c>
      <c r="C263" s="141">
        <v>2015</v>
      </c>
      <c r="D263" s="188">
        <v>37</v>
      </c>
      <c r="E263" s="135">
        <v>1576</v>
      </c>
      <c r="F263" s="189" t="s">
        <v>882</v>
      </c>
      <c r="G263" s="188">
        <v>0</v>
      </c>
      <c r="H263" s="188">
        <v>0</v>
      </c>
      <c r="I263" s="188">
        <v>1</v>
      </c>
      <c r="J263" s="188">
        <v>0</v>
      </c>
      <c r="K263" s="188">
        <v>0</v>
      </c>
      <c r="L263" s="188">
        <v>1</v>
      </c>
      <c r="M263" s="188">
        <v>0</v>
      </c>
      <c r="N263" s="188">
        <v>1</v>
      </c>
      <c r="O263" s="188">
        <v>0</v>
      </c>
      <c r="P263" s="188">
        <v>1</v>
      </c>
      <c r="Q263" s="188">
        <v>1</v>
      </c>
      <c r="R263" s="188">
        <v>0</v>
      </c>
      <c r="S263" s="188">
        <v>1</v>
      </c>
      <c r="T263" s="188">
        <v>1</v>
      </c>
      <c r="U263" s="188">
        <v>1</v>
      </c>
      <c r="V263" s="188">
        <v>1</v>
      </c>
      <c r="W263" s="188">
        <v>1</v>
      </c>
      <c r="X263" s="188">
        <v>1</v>
      </c>
      <c r="Y263" s="188">
        <v>1</v>
      </c>
      <c r="Z263" s="188">
        <v>0</v>
      </c>
      <c r="AA263" s="188">
        <v>0</v>
      </c>
      <c r="AB263" s="188">
        <v>0</v>
      </c>
      <c r="AC263" s="188">
        <v>1</v>
      </c>
      <c r="AD263" s="188">
        <v>0</v>
      </c>
      <c r="AE263" s="188">
        <v>0</v>
      </c>
      <c r="AF263" s="191">
        <v>0.1</v>
      </c>
      <c r="AG263" s="183">
        <v>13</v>
      </c>
      <c r="AH263" s="4" t="s">
        <v>1795</v>
      </c>
      <c r="AI263" s="5" t="s">
        <v>1655</v>
      </c>
      <c r="AJ263" s="5" t="s">
        <v>1659</v>
      </c>
      <c r="AL263" s="5" t="s">
        <v>1668</v>
      </c>
      <c r="AM263" s="5" t="s">
        <v>1433</v>
      </c>
      <c r="AN263" s="5" t="s">
        <v>1671</v>
      </c>
      <c r="AO263" s="5" t="s">
        <v>1676</v>
      </c>
    </row>
    <row r="264" spans="1:41" ht="15" customHeight="1" x14ac:dyDescent="0.2">
      <c r="A264" s="141" t="s">
        <v>313</v>
      </c>
      <c r="B264" s="187" t="s">
        <v>1759</v>
      </c>
      <c r="C264" s="141">
        <v>2015</v>
      </c>
      <c r="D264" s="188">
        <v>37</v>
      </c>
      <c r="E264" s="135">
        <v>2703</v>
      </c>
      <c r="F264" s="192" t="s">
        <v>562</v>
      </c>
      <c r="G264" s="188">
        <v>0</v>
      </c>
      <c r="H264" s="188">
        <v>0</v>
      </c>
      <c r="I264" s="188">
        <v>0</v>
      </c>
      <c r="J264" s="188">
        <v>0</v>
      </c>
      <c r="K264" s="188">
        <v>0</v>
      </c>
      <c r="L264" s="188">
        <v>0</v>
      </c>
      <c r="M264" s="188">
        <v>0</v>
      </c>
      <c r="N264" s="188">
        <v>0</v>
      </c>
      <c r="O264" s="188">
        <v>0</v>
      </c>
      <c r="P264" s="188">
        <v>0</v>
      </c>
      <c r="Q264" s="188">
        <v>0</v>
      </c>
      <c r="R264" s="188">
        <v>0</v>
      </c>
      <c r="S264" s="188">
        <v>0</v>
      </c>
      <c r="T264" s="188">
        <v>1</v>
      </c>
      <c r="U264" s="188">
        <v>0</v>
      </c>
      <c r="V264" s="188">
        <v>0</v>
      </c>
      <c r="W264" s="188">
        <v>0</v>
      </c>
      <c r="X264" s="188">
        <v>0</v>
      </c>
      <c r="Y264" s="188">
        <v>0</v>
      </c>
      <c r="Z264" s="188">
        <v>0</v>
      </c>
      <c r="AA264" s="188">
        <v>0</v>
      </c>
      <c r="AB264" s="188">
        <v>0</v>
      </c>
      <c r="AC264" s="188">
        <v>0</v>
      </c>
      <c r="AD264" s="188">
        <v>0</v>
      </c>
      <c r="AE264" s="188">
        <v>0</v>
      </c>
      <c r="AF264" s="191">
        <v>0.1</v>
      </c>
      <c r="AG264" s="183">
        <v>1</v>
      </c>
      <c r="AH264" s="4" t="s">
        <v>1853</v>
      </c>
      <c r="AI264" s="5" t="s">
        <v>1655</v>
      </c>
      <c r="AL264" s="5" t="s">
        <v>1668</v>
      </c>
      <c r="AM264" s="5" t="s">
        <v>1433</v>
      </c>
      <c r="AN264" s="5" t="s">
        <v>1672</v>
      </c>
      <c r="AO264" s="5" t="s">
        <v>1672</v>
      </c>
    </row>
    <row r="265" spans="1:41" ht="15" customHeight="1" x14ac:dyDescent="0.2">
      <c r="A265" s="141" t="s">
        <v>313</v>
      </c>
      <c r="B265" s="187" t="s">
        <v>1759</v>
      </c>
      <c r="C265" s="141">
        <v>2015</v>
      </c>
      <c r="D265" s="188">
        <v>37</v>
      </c>
      <c r="E265" s="135">
        <v>6003</v>
      </c>
      <c r="F265" s="192" t="s">
        <v>288</v>
      </c>
      <c r="G265" s="188">
        <v>1</v>
      </c>
      <c r="H265" s="188">
        <v>0</v>
      </c>
      <c r="I265" s="188">
        <v>1</v>
      </c>
      <c r="J265" s="188">
        <v>0</v>
      </c>
      <c r="K265" s="188">
        <v>0</v>
      </c>
      <c r="L265" s="188">
        <v>1</v>
      </c>
      <c r="M265" s="188">
        <v>0</v>
      </c>
      <c r="N265" s="188">
        <v>0</v>
      </c>
      <c r="O265" s="188">
        <v>0</v>
      </c>
      <c r="P265" s="188">
        <v>0</v>
      </c>
      <c r="Q265" s="188">
        <v>1</v>
      </c>
      <c r="R265" s="188">
        <v>1</v>
      </c>
      <c r="S265" s="188">
        <v>1</v>
      </c>
      <c r="T265" s="188">
        <v>0</v>
      </c>
      <c r="U265" s="188">
        <v>1</v>
      </c>
      <c r="V265" s="188">
        <v>0</v>
      </c>
      <c r="W265" s="188">
        <v>0</v>
      </c>
      <c r="X265" s="188">
        <v>0</v>
      </c>
      <c r="Y265" s="188">
        <v>1</v>
      </c>
      <c r="Z265" s="188">
        <v>1</v>
      </c>
      <c r="AA265" s="188">
        <v>0</v>
      </c>
      <c r="AB265" s="188">
        <v>0</v>
      </c>
      <c r="AC265" s="188">
        <v>0</v>
      </c>
      <c r="AD265" s="188">
        <v>0</v>
      </c>
      <c r="AE265" s="188">
        <v>0</v>
      </c>
      <c r="AF265" s="191">
        <v>0.1</v>
      </c>
      <c r="AG265" s="183">
        <v>9</v>
      </c>
      <c r="AH265" s="4"/>
      <c r="AI265" s="5" t="s">
        <v>1655</v>
      </c>
      <c r="AL265" s="5" t="s">
        <v>1668</v>
      </c>
      <c r="AO265" s="5" t="s">
        <v>1668</v>
      </c>
    </row>
    <row r="266" spans="1:41" ht="15" customHeight="1" x14ac:dyDescent="0.2">
      <c r="A266" s="141" t="s">
        <v>313</v>
      </c>
      <c r="B266" s="187" t="s">
        <v>1759</v>
      </c>
      <c r="C266" s="141">
        <v>2015</v>
      </c>
      <c r="D266" s="188">
        <v>37</v>
      </c>
      <c r="E266" s="135">
        <v>2359</v>
      </c>
      <c r="F266" s="192" t="s">
        <v>665</v>
      </c>
      <c r="G266" s="188">
        <v>1</v>
      </c>
      <c r="H266" s="188">
        <v>1</v>
      </c>
      <c r="I266" s="188">
        <v>1</v>
      </c>
      <c r="J266" s="188">
        <v>1</v>
      </c>
      <c r="K266" s="188">
        <v>1</v>
      </c>
      <c r="L266" s="188">
        <v>1</v>
      </c>
      <c r="M266" s="188">
        <v>1</v>
      </c>
      <c r="N266" s="188">
        <v>1</v>
      </c>
      <c r="O266" s="188">
        <v>0</v>
      </c>
      <c r="P266" s="188">
        <v>1</v>
      </c>
      <c r="Q266" s="188">
        <v>1</v>
      </c>
      <c r="R266" s="188">
        <v>1</v>
      </c>
      <c r="S266" s="188">
        <v>1</v>
      </c>
      <c r="T266" s="188">
        <v>1</v>
      </c>
      <c r="U266" s="188">
        <v>1</v>
      </c>
      <c r="V266" s="188">
        <v>0</v>
      </c>
      <c r="W266" s="188">
        <v>1</v>
      </c>
      <c r="X266" s="188">
        <v>1</v>
      </c>
      <c r="Y266" s="188">
        <v>1</v>
      </c>
      <c r="Z266" s="188">
        <v>1</v>
      </c>
      <c r="AA266" s="188">
        <v>0</v>
      </c>
      <c r="AB266" s="188">
        <v>1</v>
      </c>
      <c r="AC266" s="188">
        <v>1</v>
      </c>
      <c r="AD266" s="188">
        <v>0</v>
      </c>
      <c r="AE266" s="188">
        <v>1</v>
      </c>
      <c r="AF266" s="191">
        <v>0.1</v>
      </c>
      <c r="AG266" s="183">
        <v>21</v>
      </c>
      <c r="AH266" s="4"/>
      <c r="AI266" s="5" t="s">
        <v>1655</v>
      </c>
      <c r="AL266" s="5" t="s">
        <v>1668</v>
      </c>
      <c r="AO266" s="5" t="s">
        <v>1668</v>
      </c>
    </row>
    <row r="267" spans="1:41" ht="15" customHeight="1" x14ac:dyDescent="0.2">
      <c r="A267" s="141" t="s">
        <v>313</v>
      </c>
      <c r="B267" s="187" t="s">
        <v>1759</v>
      </c>
      <c r="C267" s="141">
        <v>2015</v>
      </c>
      <c r="D267" s="188">
        <v>37</v>
      </c>
      <c r="E267" s="135">
        <v>2360</v>
      </c>
      <c r="F267" s="192" t="s">
        <v>664</v>
      </c>
      <c r="G267" s="188">
        <v>0</v>
      </c>
      <c r="H267" s="188">
        <v>0</v>
      </c>
      <c r="I267" s="188">
        <v>0</v>
      </c>
      <c r="J267" s="188">
        <v>0</v>
      </c>
      <c r="K267" s="188">
        <v>0</v>
      </c>
      <c r="L267" s="188">
        <v>0</v>
      </c>
      <c r="M267" s="188">
        <v>0</v>
      </c>
      <c r="N267" s="188">
        <v>0</v>
      </c>
      <c r="O267" s="188">
        <v>0</v>
      </c>
      <c r="P267" s="188">
        <v>0</v>
      </c>
      <c r="Q267" s="188">
        <v>0</v>
      </c>
      <c r="R267" s="188">
        <v>0</v>
      </c>
      <c r="S267" s="188">
        <v>0</v>
      </c>
      <c r="T267" s="188">
        <v>0</v>
      </c>
      <c r="U267" s="188">
        <v>0</v>
      </c>
      <c r="V267" s="188">
        <v>1</v>
      </c>
      <c r="W267" s="188">
        <v>0</v>
      </c>
      <c r="X267" s="188">
        <v>0</v>
      </c>
      <c r="Y267" s="188">
        <v>0</v>
      </c>
      <c r="Z267" s="188">
        <v>0</v>
      </c>
      <c r="AA267" s="188">
        <v>0</v>
      </c>
      <c r="AB267" s="188">
        <v>0</v>
      </c>
      <c r="AC267" s="188">
        <v>0</v>
      </c>
      <c r="AD267" s="188">
        <v>0</v>
      </c>
      <c r="AE267" s="188">
        <v>0</v>
      </c>
      <c r="AF267" s="190">
        <v>0.1</v>
      </c>
      <c r="AG267" s="183">
        <v>1</v>
      </c>
      <c r="AI267" s="5" t="s">
        <v>1655</v>
      </c>
      <c r="AL267" s="5" t="s">
        <v>1668</v>
      </c>
      <c r="AO267" s="5" t="s">
        <v>1668</v>
      </c>
    </row>
    <row r="268" spans="1:41" ht="15" customHeight="1" x14ac:dyDescent="0.2">
      <c r="A268" s="141" t="s">
        <v>313</v>
      </c>
      <c r="B268" s="187" t="s">
        <v>1759</v>
      </c>
      <c r="C268" s="141">
        <v>2015</v>
      </c>
      <c r="D268" s="188">
        <v>37</v>
      </c>
      <c r="E268" s="135">
        <v>2362</v>
      </c>
      <c r="F268" s="192" t="s">
        <v>663</v>
      </c>
      <c r="G268" s="188">
        <v>0</v>
      </c>
      <c r="H268" s="188">
        <v>1</v>
      </c>
      <c r="I268" s="188">
        <v>0</v>
      </c>
      <c r="J268" s="188">
        <v>0</v>
      </c>
      <c r="K268" s="188">
        <v>1</v>
      </c>
      <c r="L268" s="188">
        <v>1</v>
      </c>
      <c r="M268" s="188">
        <v>0</v>
      </c>
      <c r="N268" s="188">
        <v>1</v>
      </c>
      <c r="O268" s="188">
        <v>0</v>
      </c>
      <c r="P268" s="188">
        <v>0</v>
      </c>
      <c r="Q268" s="188">
        <v>0</v>
      </c>
      <c r="R268" s="188">
        <v>0</v>
      </c>
      <c r="S268" s="188">
        <v>0</v>
      </c>
      <c r="T268" s="188">
        <v>0</v>
      </c>
      <c r="U268" s="188">
        <v>0</v>
      </c>
      <c r="V268" s="188">
        <v>1</v>
      </c>
      <c r="W268" s="188">
        <v>0</v>
      </c>
      <c r="X268" s="188">
        <v>0</v>
      </c>
      <c r="Y268" s="188">
        <v>1</v>
      </c>
      <c r="Z268" s="188">
        <v>1</v>
      </c>
      <c r="AA268" s="188">
        <v>0</v>
      </c>
      <c r="AB268" s="188">
        <v>0</v>
      </c>
      <c r="AC268" s="188">
        <v>1</v>
      </c>
      <c r="AD268" s="188">
        <v>0</v>
      </c>
      <c r="AE268" s="188">
        <v>0</v>
      </c>
      <c r="AF268" s="191">
        <v>0.1</v>
      </c>
      <c r="AG268" s="183">
        <v>8</v>
      </c>
      <c r="AH268" s="4"/>
      <c r="AI268" s="5" t="s">
        <v>1655</v>
      </c>
      <c r="AL268" s="5" t="s">
        <v>1668</v>
      </c>
      <c r="AO268" s="5" t="s">
        <v>1668</v>
      </c>
    </row>
    <row r="269" spans="1:41" ht="15" customHeight="1" x14ac:dyDescent="0.2">
      <c r="A269" s="141" t="s">
        <v>313</v>
      </c>
      <c r="B269" s="187" t="s">
        <v>1759</v>
      </c>
      <c r="C269" s="141">
        <v>2015</v>
      </c>
      <c r="D269" s="188">
        <v>37</v>
      </c>
      <c r="E269" s="135">
        <v>2366</v>
      </c>
      <c r="F269" s="192" t="s">
        <v>660</v>
      </c>
      <c r="G269" s="188">
        <v>0</v>
      </c>
      <c r="H269" s="188">
        <v>0</v>
      </c>
      <c r="I269" s="188">
        <v>0</v>
      </c>
      <c r="J269" s="188">
        <v>0</v>
      </c>
      <c r="K269" s="188">
        <v>0</v>
      </c>
      <c r="L269" s="188">
        <v>0</v>
      </c>
      <c r="M269" s="188">
        <v>0</v>
      </c>
      <c r="N269" s="188">
        <v>0</v>
      </c>
      <c r="O269" s="188">
        <v>0</v>
      </c>
      <c r="P269" s="188">
        <v>0</v>
      </c>
      <c r="Q269" s="188">
        <v>0</v>
      </c>
      <c r="R269" s="188">
        <v>0</v>
      </c>
      <c r="S269" s="188">
        <v>0</v>
      </c>
      <c r="T269" s="188">
        <v>0</v>
      </c>
      <c r="U269" s="188">
        <v>0</v>
      </c>
      <c r="V269" s="188">
        <v>0</v>
      </c>
      <c r="W269" s="188">
        <v>0</v>
      </c>
      <c r="X269" s="188">
        <v>0</v>
      </c>
      <c r="Y269" s="188">
        <v>0</v>
      </c>
      <c r="Z269" s="188">
        <v>0</v>
      </c>
      <c r="AA269" s="188">
        <v>0</v>
      </c>
      <c r="AB269" s="188">
        <v>0</v>
      </c>
      <c r="AC269" s="188">
        <v>0</v>
      </c>
      <c r="AD269" s="188">
        <v>0</v>
      </c>
      <c r="AE269" s="188">
        <v>1</v>
      </c>
      <c r="AF269" s="191">
        <v>0.1</v>
      </c>
      <c r="AG269" s="183">
        <v>1</v>
      </c>
      <c r="AH269" s="4"/>
      <c r="AI269" s="5" t="s">
        <v>1655</v>
      </c>
      <c r="AL269" s="5" t="s">
        <v>1668</v>
      </c>
      <c r="AO269" s="5" t="s">
        <v>1668</v>
      </c>
    </row>
    <row r="270" spans="1:41" ht="15" customHeight="1" x14ac:dyDescent="0.2">
      <c r="A270" s="141" t="s">
        <v>313</v>
      </c>
      <c r="B270" s="187" t="s">
        <v>1759</v>
      </c>
      <c r="C270" s="141">
        <v>2015</v>
      </c>
      <c r="D270" s="188">
        <v>37</v>
      </c>
      <c r="E270" s="135">
        <v>541</v>
      </c>
      <c r="F270" s="192" t="s">
        <v>1313</v>
      </c>
      <c r="G270" s="188">
        <v>1</v>
      </c>
      <c r="H270" s="188">
        <v>1</v>
      </c>
      <c r="I270" s="188">
        <v>1</v>
      </c>
      <c r="J270" s="188">
        <v>1</v>
      </c>
      <c r="K270" s="188">
        <v>1</v>
      </c>
      <c r="L270" s="188">
        <v>1</v>
      </c>
      <c r="M270" s="188">
        <v>1</v>
      </c>
      <c r="N270" s="188">
        <v>1</v>
      </c>
      <c r="O270" s="188">
        <v>0</v>
      </c>
      <c r="P270" s="188">
        <v>1</v>
      </c>
      <c r="Q270" s="188">
        <v>1</v>
      </c>
      <c r="R270" s="188">
        <v>1</v>
      </c>
      <c r="S270" s="188">
        <v>1</v>
      </c>
      <c r="T270" s="188">
        <v>1</v>
      </c>
      <c r="U270" s="188">
        <v>0</v>
      </c>
      <c r="V270" s="188">
        <v>1</v>
      </c>
      <c r="W270" s="188">
        <v>1</v>
      </c>
      <c r="X270" s="188">
        <v>1</v>
      </c>
      <c r="Y270" s="188">
        <v>1</v>
      </c>
      <c r="Z270" s="188">
        <v>1</v>
      </c>
      <c r="AA270" s="188">
        <v>0</v>
      </c>
      <c r="AB270" s="188">
        <v>1</v>
      </c>
      <c r="AC270" s="188">
        <v>1</v>
      </c>
      <c r="AD270" s="188">
        <v>1</v>
      </c>
      <c r="AE270" s="188">
        <v>1</v>
      </c>
      <c r="AF270" s="191">
        <v>7</v>
      </c>
      <c r="AG270" s="183">
        <v>22</v>
      </c>
      <c r="AH270" s="4"/>
    </row>
    <row r="271" spans="1:41" ht="15" customHeight="1" x14ac:dyDescent="0.2">
      <c r="A271" s="141" t="s">
        <v>313</v>
      </c>
      <c r="B271" s="187" t="s">
        <v>1759</v>
      </c>
      <c r="C271" s="141">
        <v>2015</v>
      </c>
      <c r="D271" s="188">
        <v>37</v>
      </c>
      <c r="E271" s="135" t="e">
        <v>#N/A</v>
      </c>
      <c r="F271" s="192" t="s">
        <v>1774</v>
      </c>
      <c r="G271" s="188">
        <v>1</v>
      </c>
      <c r="H271" s="188">
        <v>0</v>
      </c>
      <c r="I271" s="188">
        <v>0</v>
      </c>
      <c r="J271" s="188">
        <v>1</v>
      </c>
      <c r="K271" s="188">
        <v>1</v>
      </c>
      <c r="L271" s="188">
        <v>0</v>
      </c>
      <c r="M271" s="188">
        <v>1</v>
      </c>
      <c r="N271" s="188">
        <v>1</v>
      </c>
      <c r="O271" s="188">
        <v>0</v>
      </c>
      <c r="P271" s="188">
        <v>0</v>
      </c>
      <c r="Q271" s="188">
        <v>1</v>
      </c>
      <c r="R271" s="188">
        <v>1</v>
      </c>
      <c r="S271" s="188">
        <v>0</v>
      </c>
      <c r="T271" s="188">
        <v>0</v>
      </c>
      <c r="U271" s="188">
        <v>0</v>
      </c>
      <c r="V271" s="188">
        <v>1</v>
      </c>
      <c r="W271" s="188">
        <v>0</v>
      </c>
      <c r="X271" s="188">
        <v>0</v>
      </c>
      <c r="Y271" s="188">
        <v>0</v>
      </c>
      <c r="Z271" s="188">
        <v>0</v>
      </c>
      <c r="AA271" s="188">
        <v>0</v>
      </c>
      <c r="AB271" s="188">
        <v>1</v>
      </c>
      <c r="AC271" s="188">
        <v>0</v>
      </c>
      <c r="AD271" s="188">
        <v>1</v>
      </c>
      <c r="AE271" s="188">
        <v>0</v>
      </c>
      <c r="AF271" s="191">
        <v>0.1</v>
      </c>
      <c r="AG271" s="183">
        <v>10</v>
      </c>
      <c r="AI271" s="5" t="s">
        <v>1655</v>
      </c>
      <c r="AL271" s="5" t="s">
        <v>1668</v>
      </c>
      <c r="AM271" s="5" t="s">
        <v>1434</v>
      </c>
      <c r="AO271" s="5" t="s">
        <v>1434</v>
      </c>
    </row>
    <row r="272" spans="1:41" ht="15" customHeight="1" x14ac:dyDescent="0.2">
      <c r="A272" s="141" t="s">
        <v>313</v>
      </c>
      <c r="B272" s="187" t="s">
        <v>1759</v>
      </c>
      <c r="C272" s="141">
        <v>2015</v>
      </c>
      <c r="D272" s="188">
        <v>37</v>
      </c>
      <c r="E272" s="135" t="e">
        <v>#N/A</v>
      </c>
      <c r="F272" s="192" t="s">
        <v>1773</v>
      </c>
      <c r="G272" s="188">
        <v>1</v>
      </c>
      <c r="H272" s="188">
        <v>1</v>
      </c>
      <c r="I272" s="188">
        <v>0</v>
      </c>
      <c r="J272" s="188">
        <v>1</v>
      </c>
      <c r="K272" s="188">
        <v>1</v>
      </c>
      <c r="L272" s="188">
        <v>1</v>
      </c>
      <c r="M272" s="188">
        <v>1</v>
      </c>
      <c r="N272" s="188">
        <v>1</v>
      </c>
      <c r="O272" s="188">
        <v>0</v>
      </c>
      <c r="P272" s="188">
        <v>0</v>
      </c>
      <c r="Q272" s="188">
        <v>1</v>
      </c>
      <c r="R272" s="188">
        <v>1</v>
      </c>
      <c r="S272" s="188">
        <v>1</v>
      </c>
      <c r="T272" s="188">
        <v>1</v>
      </c>
      <c r="U272" s="188">
        <v>0</v>
      </c>
      <c r="V272" s="188">
        <v>0</v>
      </c>
      <c r="W272" s="188">
        <v>1</v>
      </c>
      <c r="X272" s="188">
        <v>1</v>
      </c>
      <c r="Y272" s="188">
        <v>0</v>
      </c>
      <c r="Z272" s="188">
        <v>1</v>
      </c>
      <c r="AA272" s="188">
        <v>0</v>
      </c>
      <c r="AB272" s="188">
        <v>0</v>
      </c>
      <c r="AC272" s="188">
        <v>1</v>
      </c>
      <c r="AD272" s="188">
        <v>1</v>
      </c>
      <c r="AE272" s="188">
        <v>1</v>
      </c>
      <c r="AF272" s="191">
        <v>0.1</v>
      </c>
      <c r="AG272" s="183">
        <v>17</v>
      </c>
      <c r="AI272" s="5" t="s">
        <v>1655</v>
      </c>
      <c r="AL272" s="5" t="s">
        <v>1668</v>
      </c>
      <c r="AM272" s="5" t="s">
        <v>1434</v>
      </c>
      <c r="AO272" s="5" t="s">
        <v>1434</v>
      </c>
    </row>
    <row r="273" spans="1:41" ht="15" customHeight="1" x14ac:dyDescent="0.2">
      <c r="A273" s="141" t="s">
        <v>313</v>
      </c>
      <c r="B273" s="187" t="s">
        <v>1759</v>
      </c>
      <c r="C273" s="141">
        <v>2015</v>
      </c>
      <c r="D273" s="188">
        <v>37</v>
      </c>
      <c r="E273" s="135">
        <v>2620</v>
      </c>
      <c r="F273" s="189" t="s">
        <v>605</v>
      </c>
      <c r="G273" s="188">
        <v>0</v>
      </c>
      <c r="H273" s="188">
        <v>1</v>
      </c>
      <c r="I273" s="188">
        <v>1</v>
      </c>
      <c r="J273" s="188">
        <v>0</v>
      </c>
      <c r="K273" s="188">
        <v>0</v>
      </c>
      <c r="L273" s="188">
        <v>0</v>
      </c>
      <c r="M273" s="188">
        <v>0</v>
      </c>
      <c r="N273" s="188">
        <v>1</v>
      </c>
      <c r="O273" s="188">
        <v>0</v>
      </c>
      <c r="P273" s="188">
        <v>0</v>
      </c>
      <c r="Q273" s="188">
        <v>0</v>
      </c>
      <c r="R273" s="188">
        <v>0</v>
      </c>
      <c r="S273" s="188">
        <v>0</v>
      </c>
      <c r="T273" s="188">
        <v>0</v>
      </c>
      <c r="U273" s="188">
        <v>0</v>
      </c>
      <c r="V273" s="188">
        <v>1</v>
      </c>
      <c r="W273" s="188">
        <v>0</v>
      </c>
      <c r="X273" s="188">
        <v>0</v>
      </c>
      <c r="Y273" s="188">
        <v>0</v>
      </c>
      <c r="Z273" s="188">
        <v>0</v>
      </c>
      <c r="AA273" s="188">
        <v>0</v>
      </c>
      <c r="AB273" s="188">
        <v>0</v>
      </c>
      <c r="AC273" s="188">
        <v>0</v>
      </c>
      <c r="AD273" s="188">
        <v>0</v>
      </c>
      <c r="AE273" s="188">
        <v>0</v>
      </c>
      <c r="AF273" s="191">
        <v>0.1</v>
      </c>
      <c r="AG273" s="183">
        <v>4</v>
      </c>
      <c r="AH273" s="4" t="s">
        <v>1794</v>
      </c>
      <c r="AI273" s="5" t="s">
        <v>1661</v>
      </c>
      <c r="AJ273" s="5" t="s">
        <v>1655</v>
      </c>
    </row>
    <row r="274" spans="1:41" ht="15" customHeight="1" x14ac:dyDescent="0.2">
      <c r="A274" s="141" t="s">
        <v>313</v>
      </c>
      <c r="B274" s="187" t="s">
        <v>1759</v>
      </c>
      <c r="C274" s="141">
        <v>2015</v>
      </c>
      <c r="D274" s="188">
        <v>37</v>
      </c>
      <c r="E274" s="135">
        <v>1894</v>
      </c>
      <c r="F274" s="192" t="s">
        <v>795</v>
      </c>
      <c r="G274" s="188">
        <v>0</v>
      </c>
      <c r="H274" s="188">
        <v>0</v>
      </c>
      <c r="I274" s="188">
        <v>0</v>
      </c>
      <c r="J274" s="188">
        <v>0</v>
      </c>
      <c r="K274" s="188">
        <v>0</v>
      </c>
      <c r="L274" s="188">
        <v>0</v>
      </c>
      <c r="M274" s="188">
        <v>0</v>
      </c>
      <c r="N274" s="188">
        <v>0</v>
      </c>
      <c r="O274" s="188">
        <v>0</v>
      </c>
      <c r="P274" s="188">
        <v>1</v>
      </c>
      <c r="Q274" s="188">
        <v>0</v>
      </c>
      <c r="R274" s="188">
        <v>0</v>
      </c>
      <c r="S274" s="188">
        <v>0</v>
      </c>
      <c r="T274" s="188">
        <v>0</v>
      </c>
      <c r="U274" s="188">
        <v>1</v>
      </c>
      <c r="V274" s="188">
        <v>1</v>
      </c>
      <c r="W274" s="188">
        <v>1</v>
      </c>
      <c r="X274" s="188">
        <v>1</v>
      </c>
      <c r="Y274" s="188">
        <v>1</v>
      </c>
      <c r="Z274" s="188">
        <v>1</v>
      </c>
      <c r="AA274" s="188">
        <v>1</v>
      </c>
      <c r="AB274" s="188">
        <v>1</v>
      </c>
      <c r="AC274" s="188">
        <v>1</v>
      </c>
      <c r="AD274" s="188">
        <v>1</v>
      </c>
      <c r="AE274" s="188">
        <v>1</v>
      </c>
      <c r="AF274" s="191">
        <v>0.1</v>
      </c>
      <c r="AG274" s="183">
        <v>12</v>
      </c>
      <c r="AH274" s="4"/>
      <c r="AI274" s="5" t="s">
        <v>1655</v>
      </c>
      <c r="AL274" s="5" t="s">
        <v>1668</v>
      </c>
      <c r="AM274" s="5" t="s">
        <v>1671</v>
      </c>
      <c r="AO274" s="5" t="s">
        <v>1668</v>
      </c>
    </row>
    <row r="275" spans="1:41" ht="15" customHeight="1" x14ac:dyDescent="0.2">
      <c r="A275" s="141" t="s">
        <v>313</v>
      </c>
      <c r="B275" s="187" t="s">
        <v>1759</v>
      </c>
      <c r="C275" s="141">
        <v>2015</v>
      </c>
      <c r="D275" s="188">
        <v>38</v>
      </c>
      <c r="E275" s="135">
        <v>2607</v>
      </c>
      <c r="F275" s="192" t="s">
        <v>616</v>
      </c>
      <c r="G275" s="188">
        <v>1</v>
      </c>
      <c r="H275" s="188">
        <v>1</v>
      </c>
      <c r="I275" s="188">
        <v>1</v>
      </c>
      <c r="J275" s="188">
        <v>0</v>
      </c>
      <c r="K275" s="188">
        <v>0</v>
      </c>
      <c r="L275" s="188">
        <v>0</v>
      </c>
      <c r="M275" s="188">
        <v>1</v>
      </c>
      <c r="N275" s="188">
        <v>1</v>
      </c>
      <c r="O275" s="188">
        <v>1</v>
      </c>
      <c r="P275" s="188">
        <v>1</v>
      </c>
      <c r="Q275" s="188">
        <v>0</v>
      </c>
      <c r="R275" s="188">
        <v>0</v>
      </c>
      <c r="S275" s="188">
        <v>0</v>
      </c>
      <c r="T275" s="188">
        <v>1</v>
      </c>
      <c r="U275" s="188">
        <v>1</v>
      </c>
      <c r="V275" s="188">
        <v>0</v>
      </c>
      <c r="W275" s="188">
        <v>1</v>
      </c>
      <c r="X275" s="188">
        <v>0</v>
      </c>
      <c r="Y275" s="188">
        <v>1</v>
      </c>
      <c r="Z275" s="188">
        <v>0</v>
      </c>
      <c r="AA275" s="188">
        <v>0</v>
      </c>
      <c r="AB275" s="188">
        <v>1</v>
      </c>
      <c r="AC275" s="188">
        <v>1</v>
      </c>
      <c r="AD275" s="188">
        <v>1</v>
      </c>
      <c r="AE275" s="188">
        <v>1</v>
      </c>
      <c r="AF275" s="191">
        <v>5</v>
      </c>
      <c r="AG275" s="183">
        <v>15</v>
      </c>
    </row>
    <row r="276" spans="1:41" ht="15" customHeight="1" x14ac:dyDescent="0.2">
      <c r="A276" s="141" t="s">
        <v>313</v>
      </c>
      <c r="B276" s="187" t="s">
        <v>1759</v>
      </c>
      <c r="C276" s="141">
        <v>2015</v>
      </c>
      <c r="D276" s="188">
        <v>38</v>
      </c>
      <c r="E276" s="135">
        <v>1576</v>
      </c>
      <c r="F276" s="192" t="s">
        <v>882</v>
      </c>
      <c r="G276" s="188">
        <v>1</v>
      </c>
      <c r="H276" s="188">
        <v>0</v>
      </c>
      <c r="I276" s="188">
        <v>1</v>
      </c>
      <c r="J276" s="188">
        <v>0</v>
      </c>
      <c r="K276" s="188">
        <v>0</v>
      </c>
      <c r="L276" s="188">
        <v>0</v>
      </c>
      <c r="M276" s="188">
        <v>0</v>
      </c>
      <c r="N276" s="188">
        <v>0</v>
      </c>
      <c r="O276" s="188">
        <v>0</v>
      </c>
      <c r="P276" s="188">
        <v>1</v>
      </c>
      <c r="Q276" s="188">
        <v>0</v>
      </c>
      <c r="R276" s="188">
        <v>0</v>
      </c>
      <c r="S276" s="188">
        <v>1</v>
      </c>
      <c r="T276" s="188">
        <v>1</v>
      </c>
      <c r="U276" s="188">
        <v>1</v>
      </c>
      <c r="V276" s="188">
        <v>0</v>
      </c>
      <c r="W276" s="188">
        <v>0</v>
      </c>
      <c r="X276" s="188">
        <v>0</v>
      </c>
      <c r="Y276" s="188">
        <v>1</v>
      </c>
      <c r="Z276" s="188">
        <v>1</v>
      </c>
      <c r="AA276" s="188">
        <v>0</v>
      </c>
      <c r="AB276" s="188">
        <v>1</v>
      </c>
      <c r="AC276" s="188">
        <v>1</v>
      </c>
      <c r="AD276" s="188">
        <v>1</v>
      </c>
      <c r="AE276" s="188">
        <v>1</v>
      </c>
      <c r="AF276" s="191">
        <v>10</v>
      </c>
      <c r="AG276" s="183">
        <v>12</v>
      </c>
    </row>
    <row r="277" spans="1:41" ht="15" customHeight="1" x14ac:dyDescent="0.2">
      <c r="A277" s="141" t="s">
        <v>313</v>
      </c>
      <c r="B277" s="187" t="s">
        <v>1759</v>
      </c>
      <c r="C277" s="141">
        <v>2015</v>
      </c>
      <c r="D277" s="188">
        <v>38</v>
      </c>
      <c r="E277" s="135">
        <v>3099</v>
      </c>
      <c r="F277" s="192" t="s">
        <v>435</v>
      </c>
      <c r="G277" s="188">
        <v>1</v>
      </c>
      <c r="H277" s="188">
        <v>0</v>
      </c>
      <c r="I277" s="188">
        <v>0</v>
      </c>
      <c r="J277" s="188">
        <v>0</v>
      </c>
      <c r="K277" s="188">
        <v>0</v>
      </c>
      <c r="L277" s="188">
        <v>0</v>
      </c>
      <c r="M277" s="188">
        <v>0</v>
      </c>
      <c r="N277" s="188">
        <v>0</v>
      </c>
      <c r="O277" s="188">
        <v>0</v>
      </c>
      <c r="P277" s="188">
        <v>0</v>
      </c>
      <c r="Q277" s="188">
        <v>0</v>
      </c>
      <c r="R277" s="188">
        <v>0</v>
      </c>
      <c r="S277" s="188">
        <v>0</v>
      </c>
      <c r="T277" s="188">
        <v>0</v>
      </c>
      <c r="U277" s="188">
        <v>0</v>
      </c>
      <c r="V277" s="188">
        <v>0</v>
      </c>
      <c r="W277" s="188">
        <v>0</v>
      </c>
      <c r="X277" s="188">
        <v>0</v>
      </c>
      <c r="Y277" s="188">
        <v>0</v>
      </c>
      <c r="Z277" s="188">
        <v>0</v>
      </c>
      <c r="AA277" s="188">
        <v>0</v>
      </c>
      <c r="AB277" s="188">
        <v>0</v>
      </c>
      <c r="AC277" s="188">
        <v>0</v>
      </c>
      <c r="AD277" s="188">
        <v>0</v>
      </c>
      <c r="AE277" s="188">
        <v>0</v>
      </c>
      <c r="AF277" s="191"/>
      <c r="AG277" s="183">
        <v>1</v>
      </c>
      <c r="AH277" s="5" t="s">
        <v>1863</v>
      </c>
      <c r="AI277" s="5" t="s">
        <v>1653</v>
      </c>
      <c r="AL277" s="5" t="s">
        <v>1432</v>
      </c>
      <c r="AM277" s="5" t="s">
        <v>1673</v>
      </c>
      <c r="AN277" s="5" t="s">
        <v>1676</v>
      </c>
      <c r="AO277" s="5" t="s">
        <v>1676</v>
      </c>
    </row>
    <row r="278" spans="1:41" ht="15" customHeight="1" x14ac:dyDescent="0.2">
      <c r="A278" s="141" t="s">
        <v>313</v>
      </c>
      <c r="B278" s="187" t="s">
        <v>1759</v>
      </c>
      <c r="C278" s="141">
        <v>2015</v>
      </c>
      <c r="D278" s="188">
        <v>38</v>
      </c>
      <c r="E278" s="135">
        <v>499</v>
      </c>
      <c r="F278" s="192" t="s">
        <v>19</v>
      </c>
      <c r="G278" s="188">
        <v>0</v>
      </c>
      <c r="H278" s="188">
        <v>0</v>
      </c>
      <c r="I278" s="188">
        <v>0</v>
      </c>
      <c r="J278" s="188">
        <v>0</v>
      </c>
      <c r="K278" s="188">
        <v>0</v>
      </c>
      <c r="L278" s="188">
        <v>0</v>
      </c>
      <c r="M278" s="188">
        <v>0</v>
      </c>
      <c r="N278" s="188">
        <v>0</v>
      </c>
      <c r="O278" s="188">
        <v>0</v>
      </c>
      <c r="P278" s="188">
        <v>0</v>
      </c>
      <c r="Q278" s="188">
        <v>0</v>
      </c>
      <c r="R278" s="188">
        <v>0</v>
      </c>
      <c r="S278" s="188">
        <v>1</v>
      </c>
      <c r="T278" s="188">
        <v>0</v>
      </c>
      <c r="U278" s="188">
        <v>0</v>
      </c>
      <c r="V278" s="188">
        <v>0</v>
      </c>
      <c r="W278" s="188">
        <v>0</v>
      </c>
      <c r="X278" s="188">
        <v>0</v>
      </c>
      <c r="Y278" s="188">
        <v>0</v>
      </c>
      <c r="Z278" s="188">
        <v>0</v>
      </c>
      <c r="AA278" s="188">
        <v>0</v>
      </c>
      <c r="AB278" s="188">
        <v>0</v>
      </c>
      <c r="AC278" s="188">
        <v>0</v>
      </c>
      <c r="AD278" s="188">
        <v>0</v>
      </c>
      <c r="AE278" s="188">
        <v>0</v>
      </c>
      <c r="AF278" s="191">
        <v>0.1</v>
      </c>
      <c r="AG278" s="183">
        <v>1</v>
      </c>
      <c r="AI278" s="5" t="s">
        <v>1655</v>
      </c>
      <c r="AL278" s="5" t="s">
        <v>1668</v>
      </c>
      <c r="AO278" s="5" t="s">
        <v>1668</v>
      </c>
    </row>
    <row r="279" spans="1:41" ht="15" customHeight="1" x14ac:dyDescent="0.2">
      <c r="A279" s="141" t="s">
        <v>313</v>
      </c>
      <c r="B279" s="187" t="s">
        <v>1759</v>
      </c>
      <c r="C279" s="141">
        <v>2015</v>
      </c>
      <c r="D279" s="188">
        <v>38</v>
      </c>
      <c r="E279" s="135">
        <v>542</v>
      </c>
      <c r="F279" s="192" t="s">
        <v>1312</v>
      </c>
      <c r="G279" s="188">
        <v>0</v>
      </c>
      <c r="H279" s="188">
        <v>0</v>
      </c>
      <c r="I279" s="188">
        <v>1</v>
      </c>
      <c r="J279" s="188">
        <v>1</v>
      </c>
      <c r="K279" s="188">
        <v>0</v>
      </c>
      <c r="L279" s="188">
        <v>0</v>
      </c>
      <c r="M279" s="188">
        <v>0</v>
      </c>
      <c r="N279" s="188">
        <v>1</v>
      </c>
      <c r="O279" s="188">
        <v>1</v>
      </c>
      <c r="P279" s="188">
        <v>0</v>
      </c>
      <c r="Q279" s="188">
        <v>0</v>
      </c>
      <c r="R279" s="188">
        <v>0</v>
      </c>
      <c r="S279" s="188">
        <v>1</v>
      </c>
      <c r="T279" s="188">
        <v>1</v>
      </c>
      <c r="U279" s="188">
        <v>0</v>
      </c>
      <c r="V279" s="188">
        <v>0</v>
      </c>
      <c r="W279" s="188">
        <v>1</v>
      </c>
      <c r="X279" s="188">
        <v>1</v>
      </c>
      <c r="Y279" s="188">
        <v>1</v>
      </c>
      <c r="Z279" s="188">
        <v>0</v>
      </c>
      <c r="AA279" s="188">
        <v>0</v>
      </c>
      <c r="AB279" s="188">
        <v>1</v>
      </c>
      <c r="AC279" s="188">
        <v>1</v>
      </c>
      <c r="AD279" s="188">
        <v>1</v>
      </c>
      <c r="AE279" s="188">
        <v>0</v>
      </c>
      <c r="AF279" s="190">
        <v>10</v>
      </c>
      <c r="AG279" s="183">
        <v>12</v>
      </c>
    </row>
    <row r="280" spans="1:41" ht="15" customHeight="1" x14ac:dyDescent="0.2">
      <c r="A280" s="141" t="s">
        <v>313</v>
      </c>
      <c r="B280" s="187" t="s">
        <v>1759</v>
      </c>
      <c r="C280" s="141">
        <v>2015</v>
      </c>
      <c r="D280" s="188">
        <v>38</v>
      </c>
      <c r="E280" s="135">
        <v>1766</v>
      </c>
      <c r="F280" s="192" t="s">
        <v>831</v>
      </c>
      <c r="G280" s="188">
        <v>0</v>
      </c>
      <c r="H280" s="188">
        <v>0</v>
      </c>
      <c r="I280" s="188">
        <v>0</v>
      </c>
      <c r="J280" s="188">
        <v>0</v>
      </c>
      <c r="K280" s="188">
        <v>0</v>
      </c>
      <c r="L280" s="188">
        <v>0</v>
      </c>
      <c r="M280" s="188">
        <v>0</v>
      </c>
      <c r="N280" s="188">
        <v>0</v>
      </c>
      <c r="O280" s="188">
        <v>0</v>
      </c>
      <c r="P280" s="188">
        <v>0</v>
      </c>
      <c r="Q280" s="188">
        <v>0</v>
      </c>
      <c r="R280" s="188">
        <v>0</v>
      </c>
      <c r="S280" s="188">
        <v>0</v>
      </c>
      <c r="T280" s="188">
        <v>0</v>
      </c>
      <c r="U280" s="188">
        <v>0</v>
      </c>
      <c r="V280" s="188">
        <v>0</v>
      </c>
      <c r="W280" s="188">
        <v>0</v>
      </c>
      <c r="X280" s="188">
        <v>0</v>
      </c>
      <c r="Y280" s="188">
        <v>1</v>
      </c>
      <c r="Z280" s="188">
        <v>0</v>
      </c>
      <c r="AA280" s="188">
        <v>0</v>
      </c>
      <c r="AB280" s="188">
        <v>1</v>
      </c>
      <c r="AC280" s="188">
        <v>1</v>
      </c>
      <c r="AD280" s="188">
        <v>0</v>
      </c>
      <c r="AE280" s="188">
        <v>0</v>
      </c>
      <c r="AF280" s="191">
        <v>0.1</v>
      </c>
      <c r="AG280" s="183">
        <v>3</v>
      </c>
      <c r="AI280" s="5" t="s">
        <v>1655</v>
      </c>
      <c r="AL280" s="5" t="s">
        <v>1668</v>
      </c>
      <c r="AO280" s="5" t="s">
        <v>1668</v>
      </c>
    </row>
    <row r="281" spans="1:41" ht="15" customHeight="1" x14ac:dyDescent="0.2">
      <c r="A281" s="141" t="s">
        <v>313</v>
      </c>
      <c r="B281" s="187" t="s">
        <v>1759</v>
      </c>
      <c r="C281" s="141">
        <v>2015</v>
      </c>
      <c r="D281" s="188">
        <v>38</v>
      </c>
      <c r="E281" s="135">
        <v>876</v>
      </c>
      <c r="F281" s="192" t="s">
        <v>1163</v>
      </c>
      <c r="G281" s="188">
        <v>1</v>
      </c>
      <c r="H281" s="188">
        <v>1</v>
      </c>
      <c r="I281" s="188">
        <v>1</v>
      </c>
      <c r="J281" s="188">
        <v>1</v>
      </c>
      <c r="K281" s="188">
        <v>1</v>
      </c>
      <c r="L281" s="188">
        <v>1</v>
      </c>
      <c r="M281" s="188">
        <v>1</v>
      </c>
      <c r="N281" s="188">
        <v>1</v>
      </c>
      <c r="O281" s="188">
        <v>1</v>
      </c>
      <c r="P281" s="188">
        <v>1</v>
      </c>
      <c r="Q281" s="188">
        <v>1</v>
      </c>
      <c r="R281" s="188">
        <v>1</v>
      </c>
      <c r="S281" s="188">
        <v>1</v>
      </c>
      <c r="T281" s="188">
        <v>1</v>
      </c>
      <c r="U281" s="188">
        <v>1</v>
      </c>
      <c r="V281" s="188">
        <v>1</v>
      </c>
      <c r="W281" s="188">
        <v>0</v>
      </c>
      <c r="X281" s="188">
        <v>1</v>
      </c>
      <c r="Y281" s="188">
        <v>1</v>
      </c>
      <c r="Z281" s="188">
        <v>0</v>
      </c>
      <c r="AA281" s="188">
        <v>0</v>
      </c>
      <c r="AB281" s="188">
        <v>1</v>
      </c>
      <c r="AC281" s="188">
        <v>0</v>
      </c>
      <c r="AD281" s="188">
        <v>0</v>
      </c>
      <c r="AE281" s="188">
        <v>0</v>
      </c>
      <c r="AF281" s="190">
        <v>10</v>
      </c>
      <c r="AG281" s="183">
        <v>19</v>
      </c>
    </row>
    <row r="282" spans="1:41" ht="15" customHeight="1" x14ac:dyDescent="0.2">
      <c r="A282" s="141" t="s">
        <v>313</v>
      </c>
      <c r="B282" s="187" t="s">
        <v>1759</v>
      </c>
      <c r="C282" s="141">
        <v>2015</v>
      </c>
      <c r="D282" s="188">
        <v>38</v>
      </c>
      <c r="E282" s="135">
        <v>4292</v>
      </c>
      <c r="F282" s="192" t="s">
        <v>368</v>
      </c>
      <c r="G282" s="188">
        <v>0</v>
      </c>
      <c r="H282" s="188">
        <v>1</v>
      </c>
      <c r="I282" s="188">
        <v>0</v>
      </c>
      <c r="J282" s="188">
        <v>0</v>
      </c>
      <c r="K282" s="188">
        <v>0</v>
      </c>
      <c r="L282" s="188">
        <v>0</v>
      </c>
      <c r="M282" s="188">
        <v>0</v>
      </c>
      <c r="N282" s="188">
        <v>0</v>
      </c>
      <c r="O282" s="188">
        <v>0</v>
      </c>
      <c r="P282" s="188">
        <v>0</v>
      </c>
      <c r="Q282" s="188">
        <v>0</v>
      </c>
      <c r="R282" s="188">
        <v>1</v>
      </c>
      <c r="S282" s="188">
        <v>0</v>
      </c>
      <c r="T282" s="188">
        <v>0</v>
      </c>
      <c r="U282" s="188">
        <v>1</v>
      </c>
      <c r="V282" s="188">
        <v>0</v>
      </c>
      <c r="W282" s="188">
        <v>0</v>
      </c>
      <c r="X282" s="188">
        <v>1</v>
      </c>
      <c r="Y282" s="188">
        <v>1</v>
      </c>
      <c r="Z282" s="188">
        <v>1</v>
      </c>
      <c r="AA282" s="188">
        <v>1</v>
      </c>
      <c r="AB282" s="188">
        <v>0</v>
      </c>
      <c r="AC282" s="188">
        <v>1</v>
      </c>
      <c r="AD282" s="188">
        <v>0</v>
      </c>
      <c r="AE282" s="188">
        <v>0</v>
      </c>
      <c r="AF282" s="191">
        <v>2</v>
      </c>
      <c r="AG282" s="183">
        <v>8</v>
      </c>
    </row>
    <row r="283" spans="1:41" ht="15" customHeight="1" x14ac:dyDescent="0.2">
      <c r="A283" s="141" t="s">
        <v>313</v>
      </c>
      <c r="B283" s="187" t="s">
        <v>1759</v>
      </c>
      <c r="C283" s="141">
        <v>2015</v>
      </c>
      <c r="D283" s="188">
        <v>38</v>
      </c>
      <c r="E283" s="135">
        <v>1891</v>
      </c>
      <c r="F283" s="192" t="s">
        <v>797</v>
      </c>
      <c r="G283" s="188">
        <v>1</v>
      </c>
      <c r="H283" s="188">
        <v>1</v>
      </c>
      <c r="I283" s="188">
        <v>1</v>
      </c>
      <c r="J283" s="188">
        <v>1</v>
      </c>
      <c r="K283" s="188">
        <v>1</v>
      </c>
      <c r="L283" s="188">
        <v>1</v>
      </c>
      <c r="M283" s="188">
        <v>1</v>
      </c>
      <c r="N283" s="188">
        <v>1</v>
      </c>
      <c r="O283" s="188">
        <v>1</v>
      </c>
      <c r="P283" s="188">
        <v>1</v>
      </c>
      <c r="Q283" s="188">
        <v>1</v>
      </c>
      <c r="R283" s="188">
        <v>1</v>
      </c>
      <c r="S283" s="188">
        <v>1</v>
      </c>
      <c r="T283" s="188">
        <v>1</v>
      </c>
      <c r="U283" s="188">
        <v>0</v>
      </c>
      <c r="V283" s="188">
        <v>1</v>
      </c>
      <c r="W283" s="188">
        <v>1</v>
      </c>
      <c r="X283" s="188">
        <v>1</v>
      </c>
      <c r="Y283" s="188">
        <v>1</v>
      </c>
      <c r="Z283" s="188">
        <v>0</v>
      </c>
      <c r="AA283" s="188">
        <v>1</v>
      </c>
      <c r="AB283" s="188">
        <v>1</v>
      </c>
      <c r="AC283" s="188">
        <v>1</v>
      </c>
      <c r="AD283" s="188">
        <v>0</v>
      </c>
      <c r="AE283" s="188">
        <v>0</v>
      </c>
      <c r="AF283" s="191">
        <v>40</v>
      </c>
      <c r="AG283" s="183">
        <v>21</v>
      </c>
    </row>
    <row r="284" spans="1:41" ht="15" customHeight="1" x14ac:dyDescent="0.2">
      <c r="A284" s="141" t="s">
        <v>313</v>
      </c>
      <c r="B284" s="187" t="s">
        <v>1759</v>
      </c>
      <c r="C284" s="141">
        <v>2015</v>
      </c>
      <c r="D284" s="188">
        <v>38</v>
      </c>
      <c r="E284" s="135">
        <v>1066</v>
      </c>
      <c r="F284" s="192" t="s">
        <v>1082</v>
      </c>
      <c r="G284" s="188">
        <v>1</v>
      </c>
      <c r="H284" s="188">
        <v>1</v>
      </c>
      <c r="I284" s="188">
        <v>1</v>
      </c>
      <c r="J284" s="188">
        <v>0</v>
      </c>
      <c r="K284" s="188">
        <v>1</v>
      </c>
      <c r="L284" s="188">
        <v>0</v>
      </c>
      <c r="M284" s="188">
        <v>1</v>
      </c>
      <c r="N284" s="188">
        <v>0</v>
      </c>
      <c r="O284" s="188">
        <v>1</v>
      </c>
      <c r="P284" s="188">
        <v>1</v>
      </c>
      <c r="Q284" s="188">
        <v>1</v>
      </c>
      <c r="R284" s="188">
        <v>1</v>
      </c>
      <c r="S284" s="188">
        <v>1</v>
      </c>
      <c r="T284" s="188">
        <v>0</v>
      </c>
      <c r="U284" s="188">
        <v>1</v>
      </c>
      <c r="V284" s="188">
        <v>1</v>
      </c>
      <c r="W284" s="188">
        <v>1</v>
      </c>
      <c r="X284" s="188">
        <v>1</v>
      </c>
      <c r="Y284" s="188">
        <v>1</v>
      </c>
      <c r="Z284" s="188">
        <v>0</v>
      </c>
      <c r="AA284" s="188">
        <v>1</v>
      </c>
      <c r="AB284" s="188">
        <v>0</v>
      </c>
      <c r="AC284" s="188">
        <v>1</v>
      </c>
      <c r="AD284" s="188">
        <v>1</v>
      </c>
      <c r="AE284" s="188">
        <v>1</v>
      </c>
      <c r="AF284" s="191">
        <v>20</v>
      </c>
      <c r="AG284" s="183">
        <v>19</v>
      </c>
      <c r="AH284" s="4"/>
    </row>
    <row r="285" spans="1:41" ht="15" customHeight="1" x14ac:dyDescent="0.2">
      <c r="A285" s="141" t="s">
        <v>313</v>
      </c>
      <c r="B285" s="187" t="s">
        <v>1759</v>
      </c>
      <c r="C285" s="141">
        <v>2015</v>
      </c>
      <c r="D285" s="188">
        <v>38</v>
      </c>
      <c r="E285" s="135">
        <v>2628</v>
      </c>
      <c r="F285" s="192" t="s">
        <v>597</v>
      </c>
      <c r="G285" s="188">
        <v>0</v>
      </c>
      <c r="H285" s="188">
        <v>0</v>
      </c>
      <c r="I285" s="188">
        <v>0</v>
      </c>
      <c r="J285" s="188">
        <v>0</v>
      </c>
      <c r="K285" s="188">
        <v>0</v>
      </c>
      <c r="L285" s="188">
        <v>0</v>
      </c>
      <c r="M285" s="188">
        <v>0</v>
      </c>
      <c r="N285" s="188">
        <v>0</v>
      </c>
      <c r="O285" s="188">
        <v>1</v>
      </c>
      <c r="P285" s="188">
        <v>0</v>
      </c>
      <c r="Q285" s="188">
        <v>0</v>
      </c>
      <c r="R285" s="188">
        <v>0</v>
      </c>
      <c r="S285" s="188">
        <v>0</v>
      </c>
      <c r="T285" s="188">
        <v>0</v>
      </c>
      <c r="U285" s="188">
        <v>0</v>
      </c>
      <c r="V285" s="188">
        <v>0</v>
      </c>
      <c r="W285" s="188">
        <v>0</v>
      </c>
      <c r="X285" s="188">
        <v>0</v>
      </c>
      <c r="Y285" s="188">
        <v>0</v>
      </c>
      <c r="Z285" s="188">
        <v>0</v>
      </c>
      <c r="AA285" s="188">
        <v>0</v>
      </c>
      <c r="AB285" s="188">
        <v>0</v>
      </c>
      <c r="AC285" s="188">
        <v>0</v>
      </c>
      <c r="AD285" s="188">
        <v>0</v>
      </c>
      <c r="AE285" s="188">
        <v>0</v>
      </c>
      <c r="AF285" s="191">
        <v>0.1</v>
      </c>
      <c r="AG285" s="183">
        <v>1</v>
      </c>
      <c r="AI285" s="5" t="s">
        <v>1655</v>
      </c>
      <c r="AL285" s="5" t="s">
        <v>1668</v>
      </c>
      <c r="AO285" s="5" t="s">
        <v>1668</v>
      </c>
    </row>
    <row r="286" spans="1:41" ht="15" customHeight="1" x14ac:dyDescent="0.2">
      <c r="A286" s="141" t="s">
        <v>313</v>
      </c>
      <c r="B286" s="187" t="s">
        <v>1759</v>
      </c>
      <c r="C286" s="141">
        <v>2015</v>
      </c>
      <c r="D286" s="188">
        <v>38</v>
      </c>
      <c r="E286" s="135">
        <v>2634</v>
      </c>
      <c r="F286" s="192" t="s">
        <v>594</v>
      </c>
      <c r="G286" s="188">
        <v>0</v>
      </c>
      <c r="H286" s="188">
        <v>0</v>
      </c>
      <c r="I286" s="188">
        <v>0</v>
      </c>
      <c r="J286" s="188">
        <v>0</v>
      </c>
      <c r="K286" s="188">
        <v>0</v>
      </c>
      <c r="L286" s="188">
        <v>0</v>
      </c>
      <c r="M286" s="188">
        <v>0</v>
      </c>
      <c r="N286" s="188">
        <v>0</v>
      </c>
      <c r="O286" s="188">
        <v>0</v>
      </c>
      <c r="P286" s="188">
        <v>0</v>
      </c>
      <c r="Q286" s="188">
        <v>0</v>
      </c>
      <c r="R286" s="188">
        <v>0</v>
      </c>
      <c r="S286" s="188">
        <v>0</v>
      </c>
      <c r="T286" s="188">
        <v>0</v>
      </c>
      <c r="U286" s="188">
        <v>0</v>
      </c>
      <c r="V286" s="188">
        <v>0</v>
      </c>
      <c r="W286" s="188">
        <v>0</v>
      </c>
      <c r="X286" s="188">
        <v>0</v>
      </c>
      <c r="Y286" s="188">
        <v>0</v>
      </c>
      <c r="Z286" s="188">
        <v>0</v>
      </c>
      <c r="AA286" s="188">
        <v>1</v>
      </c>
      <c r="AB286" s="188">
        <v>0</v>
      </c>
      <c r="AC286" s="188">
        <v>0</v>
      </c>
      <c r="AD286" s="188">
        <v>0</v>
      </c>
      <c r="AE286" s="188">
        <v>0</v>
      </c>
      <c r="AF286" s="191">
        <v>0.1</v>
      </c>
      <c r="AG286" s="183">
        <v>1</v>
      </c>
      <c r="AI286" s="5" t="s">
        <v>1655</v>
      </c>
      <c r="AL286" s="5" t="s">
        <v>1668</v>
      </c>
      <c r="AO286" s="5" t="s">
        <v>1668</v>
      </c>
    </row>
    <row r="287" spans="1:41" ht="15" customHeight="1" x14ac:dyDescent="0.2">
      <c r="A287" s="141" t="s">
        <v>313</v>
      </c>
      <c r="B287" s="187" t="s">
        <v>1759</v>
      </c>
      <c r="C287" s="141">
        <v>2015</v>
      </c>
      <c r="D287" s="188">
        <v>40</v>
      </c>
      <c r="E287" s="135">
        <v>278</v>
      </c>
      <c r="F287" s="192" t="s">
        <v>132</v>
      </c>
      <c r="G287" s="188">
        <v>1</v>
      </c>
      <c r="H287" s="188">
        <v>1</v>
      </c>
      <c r="I287" s="188">
        <v>1</v>
      </c>
      <c r="J287" s="188">
        <v>1</v>
      </c>
      <c r="K287" s="188">
        <v>1</v>
      </c>
      <c r="L287" s="188">
        <v>1</v>
      </c>
      <c r="M287" s="188">
        <v>1</v>
      </c>
      <c r="N287" s="188">
        <v>1</v>
      </c>
      <c r="O287" s="188">
        <v>1</v>
      </c>
      <c r="P287" s="188">
        <v>1</v>
      </c>
      <c r="Q287" s="188">
        <v>1</v>
      </c>
      <c r="R287" s="188">
        <v>1</v>
      </c>
      <c r="S287" s="188">
        <v>1</v>
      </c>
      <c r="T287" s="188">
        <v>1</v>
      </c>
      <c r="U287" s="188">
        <v>1</v>
      </c>
      <c r="V287" s="188">
        <v>1</v>
      </c>
      <c r="W287" s="188">
        <v>1</v>
      </c>
      <c r="X287" s="188">
        <v>1</v>
      </c>
      <c r="Y287" s="188">
        <v>1</v>
      </c>
      <c r="Z287" s="188">
        <v>1</v>
      </c>
      <c r="AA287" s="188">
        <v>1</v>
      </c>
      <c r="AB287" s="188">
        <v>1</v>
      </c>
      <c r="AC287" s="188">
        <v>1</v>
      </c>
      <c r="AD287" s="188">
        <v>1</v>
      </c>
      <c r="AE287" s="188">
        <v>1</v>
      </c>
      <c r="AF287" s="191">
        <v>40</v>
      </c>
      <c r="AG287" s="183">
        <v>25</v>
      </c>
    </row>
    <row r="288" spans="1:41" ht="15" customHeight="1" x14ac:dyDescent="0.2">
      <c r="A288" s="141" t="s">
        <v>313</v>
      </c>
      <c r="B288" s="187" t="s">
        <v>1759</v>
      </c>
      <c r="C288" s="141">
        <v>2015</v>
      </c>
      <c r="D288" s="188">
        <v>40</v>
      </c>
      <c r="E288" s="135">
        <v>1576</v>
      </c>
      <c r="F288" s="192" t="s">
        <v>882</v>
      </c>
      <c r="G288" s="188">
        <v>1</v>
      </c>
      <c r="H288" s="188">
        <v>1</v>
      </c>
      <c r="I288" s="188">
        <v>1</v>
      </c>
      <c r="J288" s="188">
        <v>1</v>
      </c>
      <c r="K288" s="188">
        <v>1</v>
      </c>
      <c r="L288" s="188">
        <v>1</v>
      </c>
      <c r="M288" s="188">
        <v>1</v>
      </c>
      <c r="N288" s="188">
        <v>1</v>
      </c>
      <c r="O288" s="188">
        <v>1</v>
      </c>
      <c r="P288" s="188">
        <v>1</v>
      </c>
      <c r="Q288" s="188">
        <v>1</v>
      </c>
      <c r="R288" s="188">
        <v>1</v>
      </c>
      <c r="S288" s="188">
        <v>1</v>
      </c>
      <c r="T288" s="188">
        <v>1</v>
      </c>
      <c r="U288" s="188">
        <v>1</v>
      </c>
      <c r="V288" s="188">
        <v>1</v>
      </c>
      <c r="W288" s="188">
        <v>1</v>
      </c>
      <c r="X288" s="188">
        <v>1</v>
      </c>
      <c r="Y288" s="188">
        <v>1</v>
      </c>
      <c r="Z288" s="188">
        <v>1</v>
      </c>
      <c r="AA288" s="188">
        <v>1</v>
      </c>
      <c r="AB288" s="188">
        <v>1</v>
      </c>
      <c r="AC288" s="188">
        <v>1</v>
      </c>
      <c r="AD288" s="188">
        <v>1</v>
      </c>
      <c r="AE288" s="188">
        <v>1</v>
      </c>
      <c r="AF288" s="191">
        <v>7</v>
      </c>
      <c r="AG288" s="183">
        <v>25</v>
      </c>
    </row>
    <row r="289" spans="1:41" ht="15" customHeight="1" x14ac:dyDescent="0.2">
      <c r="A289" s="141" t="s">
        <v>313</v>
      </c>
      <c r="B289" s="187" t="s">
        <v>1759</v>
      </c>
      <c r="C289" s="141">
        <v>2015</v>
      </c>
      <c r="D289" s="188">
        <v>40</v>
      </c>
      <c r="E289" s="135">
        <v>2824</v>
      </c>
      <c r="F289" s="189" t="s">
        <v>1977</v>
      </c>
      <c r="G289" s="188">
        <v>1</v>
      </c>
      <c r="H289" s="188">
        <v>1</v>
      </c>
      <c r="I289" s="188">
        <v>1</v>
      </c>
      <c r="J289" s="188">
        <v>1</v>
      </c>
      <c r="K289" s="188">
        <v>0</v>
      </c>
      <c r="L289" s="188">
        <v>1</v>
      </c>
      <c r="M289" s="188">
        <v>1</v>
      </c>
      <c r="N289" s="188">
        <v>1</v>
      </c>
      <c r="O289" s="188">
        <v>1</v>
      </c>
      <c r="P289" s="188">
        <v>0</v>
      </c>
      <c r="Q289" s="188">
        <v>1</v>
      </c>
      <c r="R289" s="188">
        <v>1</v>
      </c>
      <c r="S289" s="188">
        <v>1</v>
      </c>
      <c r="T289" s="188">
        <v>1</v>
      </c>
      <c r="U289" s="188">
        <v>1</v>
      </c>
      <c r="V289" s="188">
        <v>1</v>
      </c>
      <c r="W289" s="188">
        <v>1</v>
      </c>
      <c r="X289" s="188">
        <v>1</v>
      </c>
      <c r="Y289" s="188">
        <v>1</v>
      </c>
      <c r="Z289" s="188">
        <v>1</v>
      </c>
      <c r="AA289" s="188">
        <v>1</v>
      </c>
      <c r="AB289" s="188">
        <v>1</v>
      </c>
      <c r="AC289" s="188">
        <v>1</v>
      </c>
      <c r="AD289" s="188">
        <v>1</v>
      </c>
      <c r="AE289" s="188">
        <v>1</v>
      </c>
      <c r="AF289" s="190">
        <v>0.1</v>
      </c>
      <c r="AG289" s="183">
        <v>23</v>
      </c>
    </row>
    <row r="290" spans="1:41" ht="15" customHeight="1" x14ac:dyDescent="0.2">
      <c r="A290" s="141" t="s">
        <v>313</v>
      </c>
      <c r="B290" s="187" t="s">
        <v>1759</v>
      </c>
      <c r="C290" s="141">
        <v>2015</v>
      </c>
      <c r="D290" s="188">
        <v>40</v>
      </c>
      <c r="E290" s="135">
        <v>6003</v>
      </c>
      <c r="F290" s="189" t="s">
        <v>288</v>
      </c>
      <c r="G290" s="188">
        <v>1</v>
      </c>
      <c r="H290" s="188">
        <v>1</v>
      </c>
      <c r="I290" s="188">
        <v>1</v>
      </c>
      <c r="J290" s="188">
        <v>1</v>
      </c>
      <c r="K290" s="188">
        <v>1</v>
      </c>
      <c r="L290" s="188">
        <v>0</v>
      </c>
      <c r="M290" s="188">
        <v>1</v>
      </c>
      <c r="N290" s="188">
        <v>1</v>
      </c>
      <c r="O290" s="188">
        <v>0</v>
      </c>
      <c r="P290" s="188">
        <v>1</v>
      </c>
      <c r="Q290" s="188">
        <v>1</v>
      </c>
      <c r="R290" s="188">
        <v>1</v>
      </c>
      <c r="S290" s="188">
        <v>1</v>
      </c>
      <c r="T290" s="188">
        <v>1</v>
      </c>
      <c r="U290" s="188">
        <v>1</v>
      </c>
      <c r="V290" s="188">
        <v>1</v>
      </c>
      <c r="W290" s="188">
        <v>1</v>
      </c>
      <c r="X290" s="188">
        <v>1</v>
      </c>
      <c r="Y290" s="188">
        <v>1</v>
      </c>
      <c r="Z290" s="188">
        <v>1</v>
      </c>
      <c r="AA290" s="188">
        <v>1</v>
      </c>
      <c r="AB290" s="188">
        <v>1</v>
      </c>
      <c r="AC290" s="188">
        <v>1</v>
      </c>
      <c r="AD290" s="188">
        <v>1</v>
      </c>
      <c r="AE290" s="188">
        <v>1</v>
      </c>
      <c r="AF290" s="191">
        <v>0.1</v>
      </c>
      <c r="AG290" s="183">
        <v>23</v>
      </c>
      <c r="AI290" s="5" t="s">
        <v>1655</v>
      </c>
      <c r="AL290" s="5" t="s">
        <v>1668</v>
      </c>
      <c r="AO290" s="5" t="s">
        <v>1668</v>
      </c>
    </row>
    <row r="291" spans="1:41" ht="15" customHeight="1" x14ac:dyDescent="0.2">
      <c r="A291" s="141" t="s">
        <v>313</v>
      </c>
      <c r="B291" s="187" t="s">
        <v>1759</v>
      </c>
      <c r="C291" s="141">
        <v>2015</v>
      </c>
      <c r="D291" s="188">
        <v>40</v>
      </c>
      <c r="E291" s="135">
        <v>2359</v>
      </c>
      <c r="F291" s="192" t="s">
        <v>665</v>
      </c>
      <c r="G291" s="188">
        <v>1</v>
      </c>
      <c r="H291" s="188">
        <v>1</v>
      </c>
      <c r="I291" s="188">
        <v>1</v>
      </c>
      <c r="J291" s="188">
        <v>1</v>
      </c>
      <c r="K291" s="188">
        <v>1</v>
      </c>
      <c r="L291" s="188">
        <v>1</v>
      </c>
      <c r="M291" s="188">
        <v>1</v>
      </c>
      <c r="N291" s="188">
        <v>1</v>
      </c>
      <c r="O291" s="188">
        <v>1</v>
      </c>
      <c r="P291" s="188">
        <v>1</v>
      </c>
      <c r="Q291" s="188">
        <v>1</v>
      </c>
      <c r="R291" s="188">
        <v>1</v>
      </c>
      <c r="S291" s="188">
        <v>1</v>
      </c>
      <c r="T291" s="188">
        <v>1</v>
      </c>
      <c r="U291" s="188">
        <v>1</v>
      </c>
      <c r="V291" s="188">
        <v>1</v>
      </c>
      <c r="W291" s="188">
        <v>1</v>
      </c>
      <c r="X291" s="188">
        <v>1</v>
      </c>
      <c r="Y291" s="188">
        <v>1</v>
      </c>
      <c r="Z291" s="188">
        <v>1</v>
      </c>
      <c r="AA291" s="188">
        <v>1</v>
      </c>
      <c r="AB291" s="188">
        <v>1</v>
      </c>
      <c r="AC291" s="188">
        <v>1</v>
      </c>
      <c r="AD291" s="188">
        <v>1</v>
      </c>
      <c r="AE291" s="188">
        <v>1</v>
      </c>
      <c r="AF291" s="191">
        <v>0.1</v>
      </c>
      <c r="AG291" s="183">
        <v>25</v>
      </c>
      <c r="AH291" s="4"/>
      <c r="AI291" s="5" t="s">
        <v>1655</v>
      </c>
      <c r="AL291" s="5" t="s">
        <v>1668</v>
      </c>
      <c r="AO291" s="5" t="s">
        <v>1668</v>
      </c>
    </row>
    <row r="292" spans="1:41" ht="15" customHeight="1" x14ac:dyDescent="0.2">
      <c r="A292" s="141" t="s">
        <v>313</v>
      </c>
      <c r="B292" s="187" t="s">
        <v>1759</v>
      </c>
      <c r="C292" s="141">
        <v>2015</v>
      </c>
      <c r="D292" s="188">
        <v>40</v>
      </c>
      <c r="E292" s="135">
        <v>2360</v>
      </c>
      <c r="F292" s="192" t="s">
        <v>664</v>
      </c>
      <c r="G292" s="188">
        <v>1</v>
      </c>
      <c r="H292" s="188">
        <v>0</v>
      </c>
      <c r="I292" s="188">
        <v>0</v>
      </c>
      <c r="J292" s="188">
        <v>0</v>
      </c>
      <c r="K292" s="188">
        <v>0</v>
      </c>
      <c r="L292" s="188">
        <v>0</v>
      </c>
      <c r="M292" s="188">
        <v>0</v>
      </c>
      <c r="N292" s="188">
        <v>0</v>
      </c>
      <c r="O292" s="188">
        <v>0</v>
      </c>
      <c r="P292" s="188">
        <v>0</v>
      </c>
      <c r="Q292" s="188">
        <v>0</v>
      </c>
      <c r="R292" s="188">
        <v>0</v>
      </c>
      <c r="S292" s="188">
        <v>0</v>
      </c>
      <c r="T292" s="188">
        <v>0</v>
      </c>
      <c r="U292" s="188">
        <v>0</v>
      </c>
      <c r="V292" s="188">
        <v>0</v>
      </c>
      <c r="W292" s="188">
        <v>0</v>
      </c>
      <c r="X292" s="188">
        <v>0</v>
      </c>
      <c r="Y292" s="188">
        <v>0</v>
      </c>
      <c r="Z292" s="188">
        <v>0</v>
      </c>
      <c r="AA292" s="188">
        <v>0</v>
      </c>
      <c r="AB292" s="188">
        <v>0</v>
      </c>
      <c r="AC292" s="188">
        <v>0</v>
      </c>
      <c r="AD292" s="188">
        <v>0</v>
      </c>
      <c r="AE292" s="188">
        <v>0</v>
      </c>
      <c r="AF292" s="191"/>
      <c r="AG292" s="183">
        <v>1</v>
      </c>
      <c r="AH292" s="5" t="s">
        <v>1862</v>
      </c>
      <c r="AI292" s="5" t="s">
        <v>1653</v>
      </c>
      <c r="AJ292" s="5" t="s">
        <v>1467</v>
      </c>
      <c r="AL292" s="5" t="s">
        <v>1432</v>
      </c>
      <c r="AM292" s="5" t="s">
        <v>1673</v>
      </c>
      <c r="AO292" s="5" t="s">
        <v>1676</v>
      </c>
    </row>
    <row r="293" spans="1:41" ht="15" customHeight="1" x14ac:dyDescent="0.2">
      <c r="A293" s="141" t="s">
        <v>313</v>
      </c>
      <c r="B293" s="187" t="s">
        <v>1759</v>
      </c>
      <c r="C293" s="141">
        <v>2015</v>
      </c>
      <c r="D293" s="188">
        <v>40</v>
      </c>
      <c r="E293" s="135">
        <v>2362</v>
      </c>
      <c r="F293" s="192" t="s">
        <v>663</v>
      </c>
      <c r="G293" s="188">
        <v>0</v>
      </c>
      <c r="H293" s="188">
        <v>1</v>
      </c>
      <c r="I293" s="188">
        <v>0</v>
      </c>
      <c r="J293" s="188">
        <v>0</v>
      </c>
      <c r="K293" s="188">
        <v>1</v>
      </c>
      <c r="L293" s="188">
        <v>0</v>
      </c>
      <c r="M293" s="188">
        <v>0</v>
      </c>
      <c r="N293" s="188">
        <v>0</v>
      </c>
      <c r="O293" s="188">
        <v>0</v>
      </c>
      <c r="P293" s="188">
        <v>0</v>
      </c>
      <c r="Q293" s="188">
        <v>1</v>
      </c>
      <c r="R293" s="188">
        <v>1</v>
      </c>
      <c r="S293" s="188">
        <v>0</v>
      </c>
      <c r="T293" s="188">
        <v>1</v>
      </c>
      <c r="U293" s="188">
        <v>0</v>
      </c>
      <c r="V293" s="188">
        <v>1</v>
      </c>
      <c r="W293" s="188">
        <v>1</v>
      </c>
      <c r="X293" s="188">
        <v>1</v>
      </c>
      <c r="Y293" s="188">
        <v>0</v>
      </c>
      <c r="Z293" s="188">
        <v>1</v>
      </c>
      <c r="AA293" s="188">
        <v>1</v>
      </c>
      <c r="AB293" s="188">
        <v>1</v>
      </c>
      <c r="AC293" s="188">
        <v>0</v>
      </c>
      <c r="AD293" s="188">
        <v>1</v>
      </c>
      <c r="AE293" s="188">
        <v>0</v>
      </c>
      <c r="AF293" s="191">
        <v>0.1</v>
      </c>
      <c r="AG293" s="183">
        <v>12</v>
      </c>
      <c r="AH293" s="5" t="s">
        <v>1796</v>
      </c>
      <c r="AI293" s="5" t="s">
        <v>1655</v>
      </c>
      <c r="AJ293" s="5" t="s">
        <v>1659</v>
      </c>
      <c r="AL293" s="5" t="s">
        <v>1668</v>
      </c>
      <c r="AM293" s="5" t="s">
        <v>1671</v>
      </c>
      <c r="AO293" s="5" t="s">
        <v>1676</v>
      </c>
    </row>
    <row r="294" spans="1:41" ht="15" customHeight="1" x14ac:dyDescent="0.2">
      <c r="A294" s="141" t="s">
        <v>313</v>
      </c>
      <c r="B294" s="187" t="s">
        <v>1759</v>
      </c>
      <c r="C294" s="141">
        <v>2015</v>
      </c>
      <c r="D294" s="188">
        <v>40</v>
      </c>
      <c r="E294" s="135">
        <v>2366</v>
      </c>
      <c r="F294" s="192" t="s">
        <v>660</v>
      </c>
      <c r="G294" s="188">
        <v>1</v>
      </c>
      <c r="H294" s="188">
        <v>1</v>
      </c>
      <c r="I294" s="188">
        <v>1</v>
      </c>
      <c r="J294" s="188">
        <v>0</v>
      </c>
      <c r="K294" s="188">
        <v>0</v>
      </c>
      <c r="L294" s="188">
        <v>0</v>
      </c>
      <c r="M294" s="188">
        <v>0</v>
      </c>
      <c r="N294" s="188">
        <v>0</v>
      </c>
      <c r="O294" s="188">
        <v>0</v>
      </c>
      <c r="P294" s="188">
        <v>1</v>
      </c>
      <c r="Q294" s="188">
        <v>1</v>
      </c>
      <c r="R294" s="188">
        <v>1</v>
      </c>
      <c r="S294" s="188">
        <v>1</v>
      </c>
      <c r="T294" s="188">
        <v>0</v>
      </c>
      <c r="U294" s="188">
        <v>0</v>
      </c>
      <c r="V294" s="188">
        <v>0</v>
      </c>
      <c r="W294" s="188">
        <v>1</v>
      </c>
      <c r="X294" s="188">
        <v>1</v>
      </c>
      <c r="Y294" s="188">
        <v>1</v>
      </c>
      <c r="Z294" s="188">
        <v>0</v>
      </c>
      <c r="AA294" s="188">
        <v>0</v>
      </c>
      <c r="AB294" s="188">
        <v>0</v>
      </c>
      <c r="AC294" s="188">
        <v>1</v>
      </c>
      <c r="AD294" s="188">
        <v>1</v>
      </c>
      <c r="AE294" s="188">
        <v>1</v>
      </c>
      <c r="AF294" s="191">
        <v>0.1</v>
      </c>
      <c r="AG294" s="183">
        <v>13</v>
      </c>
      <c r="AH294" s="4"/>
      <c r="AI294" s="5" t="s">
        <v>1655</v>
      </c>
      <c r="AL294" s="5" t="s">
        <v>1668</v>
      </c>
      <c r="AO294" s="5" t="s">
        <v>1668</v>
      </c>
    </row>
    <row r="295" spans="1:41" ht="15" customHeight="1" x14ac:dyDescent="0.2">
      <c r="A295" s="141" t="s">
        <v>313</v>
      </c>
      <c r="B295" s="187" t="s">
        <v>1759</v>
      </c>
      <c r="C295" s="141">
        <v>2015</v>
      </c>
      <c r="D295" s="188">
        <v>40</v>
      </c>
      <c r="E295" s="135" t="e">
        <v>#N/A</v>
      </c>
      <c r="F295" s="192" t="s">
        <v>1767</v>
      </c>
      <c r="G295" s="188">
        <v>0</v>
      </c>
      <c r="H295" s="188">
        <v>1</v>
      </c>
      <c r="I295" s="188">
        <v>0</v>
      </c>
      <c r="J295" s="188">
        <v>1</v>
      </c>
      <c r="K295" s="188">
        <v>0</v>
      </c>
      <c r="L295" s="188">
        <v>0</v>
      </c>
      <c r="M295" s="188">
        <v>0</v>
      </c>
      <c r="N295" s="188">
        <v>1</v>
      </c>
      <c r="O295" s="188">
        <v>0</v>
      </c>
      <c r="P295" s="188">
        <v>1</v>
      </c>
      <c r="Q295" s="188">
        <v>0</v>
      </c>
      <c r="R295" s="188">
        <v>0</v>
      </c>
      <c r="S295" s="188">
        <v>1</v>
      </c>
      <c r="T295" s="188">
        <v>0</v>
      </c>
      <c r="U295" s="188">
        <v>0</v>
      </c>
      <c r="V295" s="188">
        <v>0</v>
      </c>
      <c r="W295" s="188">
        <v>0</v>
      </c>
      <c r="X295" s="188">
        <v>1</v>
      </c>
      <c r="Y295" s="188">
        <v>1</v>
      </c>
      <c r="Z295" s="188">
        <v>1</v>
      </c>
      <c r="AA295" s="188">
        <v>0</v>
      </c>
      <c r="AB295" s="188">
        <v>0</v>
      </c>
      <c r="AC295" s="188">
        <v>1</v>
      </c>
      <c r="AD295" s="188">
        <v>1</v>
      </c>
      <c r="AE295" s="188">
        <v>1</v>
      </c>
      <c r="AF295" s="191">
        <v>0.1</v>
      </c>
      <c r="AG295" s="183">
        <v>11</v>
      </c>
      <c r="AH295" s="5" t="s">
        <v>1797</v>
      </c>
      <c r="AI295" s="5" t="s">
        <v>1655</v>
      </c>
      <c r="AJ295" s="5" t="s">
        <v>1659</v>
      </c>
      <c r="AL295" s="5" t="s">
        <v>1668</v>
      </c>
      <c r="AM295" s="5" t="s">
        <v>1671</v>
      </c>
      <c r="AN295" s="5" t="s">
        <v>1432</v>
      </c>
      <c r="AO295" s="5" t="s">
        <v>1676</v>
      </c>
    </row>
    <row r="296" spans="1:41" ht="15" customHeight="1" x14ac:dyDescent="0.2">
      <c r="A296" s="141" t="s">
        <v>313</v>
      </c>
      <c r="B296" s="187" t="s">
        <v>1759</v>
      </c>
      <c r="C296" s="141">
        <v>2015</v>
      </c>
      <c r="D296" s="188">
        <v>40</v>
      </c>
      <c r="E296" s="135">
        <v>2383</v>
      </c>
      <c r="F296" s="192" t="s">
        <v>649</v>
      </c>
      <c r="G296" s="188">
        <v>1</v>
      </c>
      <c r="H296" s="188">
        <v>1</v>
      </c>
      <c r="I296" s="188">
        <v>1</v>
      </c>
      <c r="J296" s="188">
        <v>1</v>
      </c>
      <c r="K296" s="188">
        <v>1</v>
      </c>
      <c r="L296" s="188">
        <v>1</v>
      </c>
      <c r="M296" s="188">
        <v>1</v>
      </c>
      <c r="N296" s="188">
        <v>1</v>
      </c>
      <c r="O296" s="188">
        <v>1</v>
      </c>
      <c r="P296" s="188">
        <v>1</v>
      </c>
      <c r="Q296" s="188">
        <v>1</v>
      </c>
      <c r="R296" s="188">
        <v>1</v>
      </c>
      <c r="S296" s="188">
        <v>1</v>
      </c>
      <c r="T296" s="188">
        <v>1</v>
      </c>
      <c r="U296" s="188">
        <v>1</v>
      </c>
      <c r="V296" s="188">
        <v>1</v>
      </c>
      <c r="W296" s="188">
        <v>1</v>
      </c>
      <c r="X296" s="188">
        <v>1</v>
      </c>
      <c r="Y296" s="188">
        <v>1</v>
      </c>
      <c r="Z296" s="188">
        <v>1</v>
      </c>
      <c r="AA296" s="188">
        <v>0</v>
      </c>
      <c r="AB296" s="188">
        <v>0</v>
      </c>
      <c r="AC296" s="188">
        <v>1</v>
      </c>
      <c r="AD296" s="188">
        <v>1</v>
      </c>
      <c r="AE296" s="188">
        <v>1</v>
      </c>
      <c r="AF296" s="191">
        <v>0.1</v>
      </c>
      <c r="AG296" s="183">
        <v>23</v>
      </c>
      <c r="AI296" s="5" t="s">
        <v>1655</v>
      </c>
      <c r="AL296" s="5" t="s">
        <v>1668</v>
      </c>
      <c r="AO296" s="5" t="s">
        <v>1668</v>
      </c>
    </row>
    <row r="297" spans="1:41" ht="15" customHeight="1" x14ac:dyDescent="0.2">
      <c r="A297" s="141" t="s">
        <v>313</v>
      </c>
      <c r="B297" s="187" t="s">
        <v>1759</v>
      </c>
      <c r="C297" s="141">
        <v>2015</v>
      </c>
      <c r="D297" s="188">
        <v>40</v>
      </c>
      <c r="E297" s="135">
        <v>2388</v>
      </c>
      <c r="F297" s="192" t="s">
        <v>646</v>
      </c>
      <c r="G297" s="188">
        <v>0</v>
      </c>
      <c r="H297" s="188">
        <v>1</v>
      </c>
      <c r="I297" s="188">
        <v>1</v>
      </c>
      <c r="J297" s="188">
        <v>1</v>
      </c>
      <c r="K297" s="188">
        <v>0</v>
      </c>
      <c r="L297" s="188">
        <v>1</v>
      </c>
      <c r="M297" s="188">
        <v>1</v>
      </c>
      <c r="N297" s="188">
        <v>1</v>
      </c>
      <c r="O297" s="188">
        <v>1</v>
      </c>
      <c r="P297" s="188">
        <v>1</v>
      </c>
      <c r="Q297" s="188">
        <v>0</v>
      </c>
      <c r="R297" s="188">
        <v>0</v>
      </c>
      <c r="S297" s="188">
        <v>1</v>
      </c>
      <c r="T297" s="188">
        <v>1</v>
      </c>
      <c r="U297" s="188">
        <v>1</v>
      </c>
      <c r="V297" s="188">
        <v>1</v>
      </c>
      <c r="W297" s="188">
        <v>1</v>
      </c>
      <c r="X297" s="188">
        <v>0</v>
      </c>
      <c r="Y297" s="188">
        <v>1</v>
      </c>
      <c r="Z297" s="188">
        <v>1</v>
      </c>
      <c r="AA297" s="188">
        <v>0</v>
      </c>
      <c r="AB297" s="188">
        <v>0</v>
      </c>
      <c r="AC297" s="188">
        <v>1</v>
      </c>
      <c r="AD297" s="188">
        <v>1</v>
      </c>
      <c r="AE297" s="188">
        <v>1</v>
      </c>
      <c r="AF297" s="191">
        <v>0.1</v>
      </c>
      <c r="AG297" s="183">
        <v>18</v>
      </c>
      <c r="AI297" s="5" t="s">
        <v>1655</v>
      </c>
      <c r="AL297" s="5" t="s">
        <v>1668</v>
      </c>
      <c r="AM297" s="5" t="s">
        <v>1671</v>
      </c>
      <c r="AO297" s="5" t="s">
        <v>1668</v>
      </c>
    </row>
    <row r="298" spans="1:41" ht="15" customHeight="1" x14ac:dyDescent="0.2">
      <c r="A298" s="141" t="s">
        <v>313</v>
      </c>
      <c r="B298" s="187" t="s">
        <v>1759</v>
      </c>
      <c r="C298" s="141">
        <v>2015</v>
      </c>
      <c r="D298" s="188">
        <v>40</v>
      </c>
      <c r="E298" s="135">
        <v>541</v>
      </c>
      <c r="F298" s="192" t="s">
        <v>1313</v>
      </c>
      <c r="G298" s="188">
        <v>0</v>
      </c>
      <c r="H298" s="188">
        <v>0</v>
      </c>
      <c r="I298" s="188">
        <v>0</v>
      </c>
      <c r="J298" s="188">
        <v>0</v>
      </c>
      <c r="K298" s="188">
        <v>0</v>
      </c>
      <c r="L298" s="188">
        <v>0</v>
      </c>
      <c r="M298" s="188">
        <v>0</v>
      </c>
      <c r="N298" s="188">
        <v>0</v>
      </c>
      <c r="O298" s="188">
        <v>0</v>
      </c>
      <c r="P298" s="188">
        <v>0</v>
      </c>
      <c r="Q298" s="188">
        <v>0</v>
      </c>
      <c r="R298" s="188">
        <v>0</v>
      </c>
      <c r="S298" s="188">
        <v>0</v>
      </c>
      <c r="T298" s="188">
        <v>0</v>
      </c>
      <c r="U298" s="188">
        <v>0</v>
      </c>
      <c r="V298" s="188">
        <v>0</v>
      </c>
      <c r="W298" s="188">
        <v>0</v>
      </c>
      <c r="X298" s="188">
        <v>0</v>
      </c>
      <c r="Y298" s="188">
        <v>0</v>
      </c>
      <c r="Z298" s="188">
        <v>1</v>
      </c>
      <c r="AA298" s="188">
        <v>0</v>
      </c>
      <c r="AB298" s="188">
        <v>0</v>
      </c>
      <c r="AC298" s="188">
        <v>0</v>
      </c>
      <c r="AD298" s="188">
        <v>0</v>
      </c>
      <c r="AE298" s="188">
        <v>0</v>
      </c>
      <c r="AF298" s="191">
        <v>0.1</v>
      </c>
      <c r="AG298" s="183">
        <v>1</v>
      </c>
      <c r="AI298" s="5" t="s">
        <v>1655</v>
      </c>
      <c r="AL298" s="5" t="s">
        <v>1668</v>
      </c>
      <c r="AO298" s="5" t="s">
        <v>1668</v>
      </c>
    </row>
    <row r="299" spans="1:41" ht="15" customHeight="1" x14ac:dyDescent="0.2">
      <c r="A299" s="141" t="s">
        <v>313</v>
      </c>
      <c r="B299" s="187" t="s">
        <v>1759</v>
      </c>
      <c r="C299" s="141">
        <v>2015</v>
      </c>
      <c r="D299" s="188">
        <v>40</v>
      </c>
      <c r="E299" s="135" t="e">
        <v>#N/A</v>
      </c>
      <c r="F299" s="192" t="s">
        <v>1773</v>
      </c>
      <c r="G299" s="188">
        <v>0</v>
      </c>
      <c r="H299" s="188">
        <v>0</v>
      </c>
      <c r="I299" s="188">
        <v>0</v>
      </c>
      <c r="J299" s="188">
        <v>0</v>
      </c>
      <c r="K299" s="188">
        <v>0</v>
      </c>
      <c r="L299" s="188">
        <v>0</v>
      </c>
      <c r="M299" s="188">
        <v>0</v>
      </c>
      <c r="N299" s="188">
        <v>0</v>
      </c>
      <c r="O299" s="188">
        <v>0</v>
      </c>
      <c r="P299" s="188">
        <v>0</v>
      </c>
      <c r="Q299" s="188">
        <v>0</v>
      </c>
      <c r="R299" s="188">
        <v>0</v>
      </c>
      <c r="S299" s="188">
        <v>0</v>
      </c>
      <c r="T299" s="188">
        <v>0</v>
      </c>
      <c r="U299" s="188">
        <v>0</v>
      </c>
      <c r="V299" s="188">
        <v>1</v>
      </c>
      <c r="W299" s="188">
        <v>0</v>
      </c>
      <c r="X299" s="188">
        <v>0</v>
      </c>
      <c r="Y299" s="188">
        <v>0</v>
      </c>
      <c r="Z299" s="188">
        <v>0</v>
      </c>
      <c r="AA299" s="188">
        <v>0</v>
      </c>
      <c r="AB299" s="188">
        <v>0</v>
      </c>
      <c r="AC299" s="188">
        <v>0</v>
      </c>
      <c r="AD299" s="188">
        <v>0</v>
      </c>
      <c r="AE299" s="188">
        <v>0</v>
      </c>
      <c r="AF299" s="190">
        <v>0.1</v>
      </c>
      <c r="AG299" s="183">
        <v>1</v>
      </c>
      <c r="AI299" s="5" t="s">
        <v>1655</v>
      </c>
      <c r="AL299" s="5" t="s">
        <v>1668</v>
      </c>
      <c r="AM299" s="5" t="s">
        <v>1434</v>
      </c>
      <c r="AO299" s="5" t="s">
        <v>1434</v>
      </c>
    </row>
    <row r="300" spans="1:41" ht="15" customHeight="1" x14ac:dyDescent="0.2">
      <c r="A300" s="141" t="s">
        <v>313</v>
      </c>
      <c r="B300" s="187" t="s">
        <v>1759</v>
      </c>
      <c r="C300" s="141">
        <v>2015</v>
      </c>
      <c r="D300" s="188">
        <v>40</v>
      </c>
      <c r="E300" s="135">
        <v>1894</v>
      </c>
      <c r="F300" s="189" t="s">
        <v>795</v>
      </c>
      <c r="G300" s="188">
        <v>1</v>
      </c>
      <c r="H300" s="188">
        <v>1</v>
      </c>
      <c r="I300" s="188">
        <v>0</v>
      </c>
      <c r="J300" s="188">
        <v>1</v>
      </c>
      <c r="K300" s="188">
        <v>1</v>
      </c>
      <c r="L300" s="188">
        <v>1</v>
      </c>
      <c r="M300" s="188">
        <v>1</v>
      </c>
      <c r="N300" s="188">
        <v>0</v>
      </c>
      <c r="O300" s="188">
        <v>1</v>
      </c>
      <c r="P300" s="188">
        <v>1</v>
      </c>
      <c r="Q300" s="188">
        <v>1</v>
      </c>
      <c r="R300" s="188">
        <v>1</v>
      </c>
      <c r="S300" s="188">
        <v>1</v>
      </c>
      <c r="T300" s="188">
        <v>0</v>
      </c>
      <c r="U300" s="188">
        <v>1</v>
      </c>
      <c r="V300" s="188">
        <v>1</v>
      </c>
      <c r="W300" s="188">
        <v>1</v>
      </c>
      <c r="X300" s="188">
        <v>0</v>
      </c>
      <c r="Y300" s="188">
        <v>1</v>
      </c>
      <c r="Z300" s="188">
        <v>1</v>
      </c>
      <c r="AA300" s="188">
        <v>1</v>
      </c>
      <c r="AB300" s="188">
        <v>1</v>
      </c>
      <c r="AC300" s="188">
        <v>1</v>
      </c>
      <c r="AD300" s="188">
        <v>1</v>
      </c>
      <c r="AE300" s="188">
        <v>1</v>
      </c>
      <c r="AF300" s="191">
        <v>2</v>
      </c>
      <c r="AG300" s="183">
        <v>21</v>
      </c>
    </row>
    <row r="301" spans="1:41" ht="15" customHeight="1" x14ac:dyDescent="0.2">
      <c r="A301" s="141" t="s">
        <v>313</v>
      </c>
      <c r="B301" s="187" t="s">
        <v>1759</v>
      </c>
      <c r="C301" s="141">
        <v>2015</v>
      </c>
      <c r="D301" s="188">
        <v>40</v>
      </c>
      <c r="E301" s="135" t="e">
        <v>#N/A</v>
      </c>
      <c r="F301" s="192" t="s">
        <v>1772</v>
      </c>
      <c r="G301" s="188">
        <v>0</v>
      </c>
      <c r="H301" s="188">
        <v>0</v>
      </c>
      <c r="I301" s="188">
        <v>0</v>
      </c>
      <c r="J301" s="188">
        <v>0</v>
      </c>
      <c r="K301" s="188">
        <v>0</v>
      </c>
      <c r="L301" s="188">
        <v>0</v>
      </c>
      <c r="M301" s="188">
        <v>0</v>
      </c>
      <c r="N301" s="188">
        <v>0</v>
      </c>
      <c r="O301" s="188">
        <v>0</v>
      </c>
      <c r="P301" s="188">
        <v>0</v>
      </c>
      <c r="Q301" s="188">
        <v>0</v>
      </c>
      <c r="R301" s="188">
        <v>0</v>
      </c>
      <c r="S301" s="188">
        <v>0</v>
      </c>
      <c r="T301" s="188">
        <v>1</v>
      </c>
      <c r="U301" s="188">
        <v>1</v>
      </c>
      <c r="V301" s="188">
        <v>1</v>
      </c>
      <c r="W301" s="188">
        <v>0</v>
      </c>
      <c r="X301" s="188">
        <v>0</v>
      </c>
      <c r="Y301" s="188">
        <v>0</v>
      </c>
      <c r="Z301" s="188">
        <v>0</v>
      </c>
      <c r="AA301" s="188">
        <v>0</v>
      </c>
      <c r="AB301" s="188">
        <v>0</v>
      </c>
      <c r="AC301" s="188">
        <v>0</v>
      </c>
      <c r="AD301" s="188">
        <v>0</v>
      </c>
      <c r="AE301" s="188">
        <v>0</v>
      </c>
      <c r="AF301" s="191">
        <v>2</v>
      </c>
      <c r="AG301" s="183">
        <v>3</v>
      </c>
      <c r="AL301" s="5" t="s">
        <v>1434</v>
      </c>
      <c r="AO301" s="5" t="s">
        <v>1434</v>
      </c>
    </row>
    <row r="302" spans="1:41" ht="15" customHeight="1" x14ac:dyDescent="0.2">
      <c r="A302" s="141" t="s">
        <v>313</v>
      </c>
      <c r="B302" s="187" t="s">
        <v>1759</v>
      </c>
      <c r="C302" s="141">
        <v>2015</v>
      </c>
      <c r="D302" s="188">
        <v>42</v>
      </c>
      <c r="E302" s="135">
        <v>2607</v>
      </c>
      <c r="F302" s="192" t="s">
        <v>616</v>
      </c>
      <c r="G302" s="188">
        <v>0</v>
      </c>
      <c r="H302" s="188">
        <v>0</v>
      </c>
      <c r="I302" s="188">
        <v>0</v>
      </c>
      <c r="J302" s="188">
        <v>1</v>
      </c>
      <c r="K302" s="188">
        <v>0</v>
      </c>
      <c r="L302" s="188">
        <v>0</v>
      </c>
      <c r="M302" s="188">
        <v>0</v>
      </c>
      <c r="N302" s="188">
        <v>0</v>
      </c>
      <c r="O302" s="188">
        <v>0</v>
      </c>
      <c r="P302" s="188">
        <v>0</v>
      </c>
      <c r="Q302" s="188">
        <v>0</v>
      </c>
      <c r="R302" s="188">
        <v>0</v>
      </c>
      <c r="S302" s="188">
        <v>0</v>
      </c>
      <c r="T302" s="188">
        <v>0</v>
      </c>
      <c r="U302" s="188">
        <v>0</v>
      </c>
      <c r="V302" s="188">
        <v>0</v>
      </c>
      <c r="W302" s="188">
        <v>0</v>
      </c>
      <c r="X302" s="188">
        <v>0</v>
      </c>
      <c r="Y302" s="188">
        <v>0</v>
      </c>
      <c r="Z302" s="188">
        <v>0</v>
      </c>
      <c r="AA302" s="188">
        <v>0</v>
      </c>
      <c r="AB302" s="188">
        <v>0</v>
      </c>
      <c r="AC302" s="188">
        <v>0</v>
      </c>
      <c r="AD302" s="188">
        <v>0</v>
      </c>
      <c r="AE302" s="188">
        <v>0</v>
      </c>
      <c r="AF302" s="191">
        <v>0.1</v>
      </c>
      <c r="AG302" s="183">
        <v>1</v>
      </c>
      <c r="AI302" s="5" t="s">
        <v>1655</v>
      </c>
      <c r="AL302" s="5" t="s">
        <v>1668</v>
      </c>
      <c r="AO302" s="5" t="s">
        <v>1668</v>
      </c>
    </row>
    <row r="303" spans="1:41" ht="15" customHeight="1" x14ac:dyDescent="0.2">
      <c r="A303" s="141" t="s">
        <v>313</v>
      </c>
      <c r="B303" s="187" t="s">
        <v>1759</v>
      </c>
      <c r="C303" s="141">
        <v>2015</v>
      </c>
      <c r="D303" s="188">
        <v>42</v>
      </c>
      <c r="E303" s="135">
        <v>278</v>
      </c>
      <c r="F303" s="192" t="s">
        <v>132</v>
      </c>
      <c r="G303" s="188">
        <v>1</v>
      </c>
      <c r="H303" s="188">
        <v>1</v>
      </c>
      <c r="I303" s="188">
        <v>1</v>
      </c>
      <c r="J303" s="188">
        <v>1</v>
      </c>
      <c r="K303" s="188">
        <v>1</v>
      </c>
      <c r="L303" s="188">
        <v>1</v>
      </c>
      <c r="M303" s="188">
        <v>1</v>
      </c>
      <c r="N303" s="188">
        <v>1</v>
      </c>
      <c r="O303" s="188">
        <v>1</v>
      </c>
      <c r="P303" s="188">
        <v>1</v>
      </c>
      <c r="Q303" s="188">
        <v>1</v>
      </c>
      <c r="R303" s="188">
        <v>1</v>
      </c>
      <c r="S303" s="188">
        <v>1</v>
      </c>
      <c r="T303" s="188">
        <v>1</v>
      </c>
      <c r="U303" s="188">
        <v>1</v>
      </c>
      <c r="V303" s="188">
        <v>1</v>
      </c>
      <c r="W303" s="188">
        <v>1</v>
      </c>
      <c r="X303" s="188">
        <v>1</v>
      </c>
      <c r="Y303" s="188">
        <v>1</v>
      </c>
      <c r="Z303" s="188">
        <v>1</v>
      </c>
      <c r="AA303" s="188">
        <v>1</v>
      </c>
      <c r="AB303" s="188">
        <v>1</v>
      </c>
      <c r="AC303" s="188">
        <v>1</v>
      </c>
      <c r="AD303" s="188">
        <v>1</v>
      </c>
      <c r="AE303" s="188">
        <v>1</v>
      </c>
      <c r="AF303" s="191">
        <v>8</v>
      </c>
      <c r="AG303" s="183">
        <v>25</v>
      </c>
      <c r="AH303" s="4"/>
    </row>
    <row r="304" spans="1:41" ht="15" customHeight="1" x14ac:dyDescent="0.2">
      <c r="A304" s="141" t="s">
        <v>313</v>
      </c>
      <c r="B304" s="187" t="s">
        <v>1759</v>
      </c>
      <c r="C304" s="141">
        <v>2015</v>
      </c>
      <c r="D304" s="188">
        <v>42</v>
      </c>
      <c r="E304" s="135">
        <v>2694</v>
      </c>
      <c r="F304" s="192" t="s">
        <v>570</v>
      </c>
      <c r="G304" s="188">
        <v>0</v>
      </c>
      <c r="H304" s="188">
        <v>1</v>
      </c>
      <c r="I304" s="188">
        <v>0</v>
      </c>
      <c r="J304" s="188">
        <v>1</v>
      </c>
      <c r="K304" s="188">
        <v>1</v>
      </c>
      <c r="L304" s="188">
        <v>0</v>
      </c>
      <c r="M304" s="188">
        <v>0</v>
      </c>
      <c r="N304" s="188">
        <v>0</v>
      </c>
      <c r="O304" s="188">
        <v>1</v>
      </c>
      <c r="P304" s="188">
        <v>0</v>
      </c>
      <c r="Q304" s="188">
        <v>0</v>
      </c>
      <c r="R304" s="188">
        <v>0</v>
      </c>
      <c r="S304" s="188">
        <v>0</v>
      </c>
      <c r="T304" s="188">
        <v>0</v>
      </c>
      <c r="U304" s="188">
        <v>0</v>
      </c>
      <c r="V304" s="188">
        <v>1</v>
      </c>
      <c r="W304" s="188">
        <v>1</v>
      </c>
      <c r="X304" s="188">
        <v>1</v>
      </c>
      <c r="Y304" s="188">
        <v>0</v>
      </c>
      <c r="Z304" s="188">
        <v>1</v>
      </c>
      <c r="AA304" s="188">
        <v>1</v>
      </c>
      <c r="AB304" s="188">
        <v>0</v>
      </c>
      <c r="AC304" s="188">
        <v>1</v>
      </c>
      <c r="AD304" s="188">
        <v>1</v>
      </c>
      <c r="AE304" s="188">
        <v>1</v>
      </c>
      <c r="AF304" s="191">
        <v>0.1</v>
      </c>
      <c r="AG304" s="183">
        <v>12</v>
      </c>
      <c r="AH304" s="5" t="s">
        <v>1854</v>
      </c>
      <c r="AI304" s="5" t="s">
        <v>1655</v>
      </c>
      <c r="AL304" s="5" t="s">
        <v>1668</v>
      </c>
      <c r="AM304" s="5" t="s">
        <v>1672</v>
      </c>
      <c r="AO304" s="5" t="s">
        <v>1672</v>
      </c>
    </row>
    <row r="305" spans="1:41" ht="15" customHeight="1" x14ac:dyDescent="0.2">
      <c r="A305" s="141" t="s">
        <v>313</v>
      </c>
      <c r="B305" s="187" t="s">
        <v>1759</v>
      </c>
      <c r="C305" s="141">
        <v>2015</v>
      </c>
      <c r="D305" s="188">
        <v>42</v>
      </c>
      <c r="E305" s="135">
        <v>2359</v>
      </c>
      <c r="F305" s="193" t="s">
        <v>665</v>
      </c>
      <c r="G305" s="188">
        <v>1</v>
      </c>
      <c r="H305" s="188">
        <v>0</v>
      </c>
      <c r="I305" s="188">
        <v>1</v>
      </c>
      <c r="J305" s="188">
        <v>1</v>
      </c>
      <c r="K305" s="188">
        <v>1</v>
      </c>
      <c r="L305" s="188">
        <v>1</v>
      </c>
      <c r="M305" s="188">
        <v>1</v>
      </c>
      <c r="N305" s="188">
        <v>0</v>
      </c>
      <c r="O305" s="188">
        <v>0</v>
      </c>
      <c r="P305" s="188">
        <v>1</v>
      </c>
      <c r="Q305" s="188">
        <v>0</v>
      </c>
      <c r="R305" s="188">
        <v>1</v>
      </c>
      <c r="S305" s="188">
        <v>1</v>
      </c>
      <c r="T305" s="188">
        <v>1</v>
      </c>
      <c r="U305" s="188">
        <v>1</v>
      </c>
      <c r="V305" s="188">
        <v>0</v>
      </c>
      <c r="W305" s="188">
        <v>0</v>
      </c>
      <c r="X305" s="188">
        <v>0</v>
      </c>
      <c r="Y305" s="188">
        <v>1</v>
      </c>
      <c r="Z305" s="188">
        <v>1</v>
      </c>
      <c r="AA305" s="188">
        <v>0</v>
      </c>
      <c r="AB305" s="188">
        <v>0</v>
      </c>
      <c r="AC305" s="188">
        <v>0</v>
      </c>
      <c r="AD305" s="188">
        <v>0</v>
      </c>
      <c r="AE305" s="188">
        <v>0</v>
      </c>
      <c r="AF305" s="191">
        <v>0.1</v>
      </c>
      <c r="AG305" s="183">
        <v>13</v>
      </c>
      <c r="AI305" s="5" t="s">
        <v>1655</v>
      </c>
      <c r="AL305" s="5" t="s">
        <v>1668</v>
      </c>
      <c r="AO305" s="5" t="s">
        <v>1668</v>
      </c>
    </row>
    <row r="306" spans="1:41" ht="15" customHeight="1" x14ac:dyDescent="0.2">
      <c r="A306" s="141" t="s">
        <v>313</v>
      </c>
      <c r="B306" s="187" t="s">
        <v>1759</v>
      </c>
      <c r="C306" s="141">
        <v>2015</v>
      </c>
      <c r="D306" s="188">
        <v>42</v>
      </c>
      <c r="E306" s="135">
        <v>2362</v>
      </c>
      <c r="F306" s="192" t="s">
        <v>663</v>
      </c>
      <c r="G306" s="188">
        <v>1</v>
      </c>
      <c r="H306" s="188">
        <v>0</v>
      </c>
      <c r="I306" s="188">
        <v>1</v>
      </c>
      <c r="J306" s="188">
        <v>0</v>
      </c>
      <c r="K306" s="188">
        <v>1</v>
      </c>
      <c r="L306" s="188">
        <v>1</v>
      </c>
      <c r="M306" s="188">
        <v>0</v>
      </c>
      <c r="N306" s="188">
        <v>1</v>
      </c>
      <c r="O306" s="188">
        <v>0</v>
      </c>
      <c r="P306" s="188">
        <v>0</v>
      </c>
      <c r="Q306" s="188">
        <v>1</v>
      </c>
      <c r="R306" s="188">
        <v>1</v>
      </c>
      <c r="S306" s="188">
        <v>0</v>
      </c>
      <c r="T306" s="188">
        <v>0</v>
      </c>
      <c r="U306" s="188">
        <v>0</v>
      </c>
      <c r="V306" s="188">
        <v>1</v>
      </c>
      <c r="W306" s="188">
        <v>1</v>
      </c>
      <c r="X306" s="188">
        <v>1</v>
      </c>
      <c r="Y306" s="188">
        <v>0</v>
      </c>
      <c r="Z306" s="188">
        <v>1</v>
      </c>
      <c r="AA306" s="188">
        <v>1</v>
      </c>
      <c r="AB306" s="188">
        <v>1</v>
      </c>
      <c r="AC306" s="188">
        <v>0</v>
      </c>
      <c r="AD306" s="188">
        <v>1</v>
      </c>
      <c r="AE306" s="188">
        <v>1</v>
      </c>
      <c r="AF306" s="191">
        <v>0.1</v>
      </c>
      <c r="AG306" s="183">
        <v>15</v>
      </c>
      <c r="AI306" s="5" t="s">
        <v>1655</v>
      </c>
      <c r="AL306" s="5" t="s">
        <v>1668</v>
      </c>
      <c r="AO306" s="5" t="s">
        <v>1668</v>
      </c>
    </row>
    <row r="307" spans="1:41" ht="15" customHeight="1" x14ac:dyDescent="0.2">
      <c r="A307" s="141" t="s">
        <v>313</v>
      </c>
      <c r="B307" s="187" t="s">
        <v>1759</v>
      </c>
      <c r="C307" s="141">
        <v>2015</v>
      </c>
      <c r="D307" s="188">
        <v>42</v>
      </c>
      <c r="E307" s="135">
        <v>2366</v>
      </c>
      <c r="F307" s="192" t="s">
        <v>660</v>
      </c>
      <c r="G307" s="188">
        <v>1</v>
      </c>
      <c r="H307" s="188">
        <v>0</v>
      </c>
      <c r="I307" s="188">
        <v>1</v>
      </c>
      <c r="J307" s="188">
        <v>1</v>
      </c>
      <c r="K307" s="188">
        <v>0</v>
      </c>
      <c r="L307" s="188">
        <v>0</v>
      </c>
      <c r="M307" s="188">
        <v>0</v>
      </c>
      <c r="N307" s="188">
        <v>0</v>
      </c>
      <c r="O307" s="188">
        <v>1</v>
      </c>
      <c r="P307" s="188">
        <v>0</v>
      </c>
      <c r="Q307" s="188">
        <v>0</v>
      </c>
      <c r="R307" s="188">
        <v>0</v>
      </c>
      <c r="S307" s="188">
        <v>0</v>
      </c>
      <c r="T307" s="188">
        <v>0</v>
      </c>
      <c r="U307" s="188">
        <v>0</v>
      </c>
      <c r="V307" s="188">
        <v>0</v>
      </c>
      <c r="W307" s="188">
        <v>0</v>
      </c>
      <c r="X307" s="188">
        <v>0</v>
      </c>
      <c r="Y307" s="188">
        <v>0</v>
      </c>
      <c r="Z307" s="188">
        <v>0</v>
      </c>
      <c r="AA307" s="188">
        <v>0</v>
      </c>
      <c r="AB307" s="188">
        <v>0</v>
      </c>
      <c r="AC307" s="188">
        <v>0</v>
      </c>
      <c r="AD307" s="188">
        <v>0</v>
      </c>
      <c r="AE307" s="188">
        <v>0</v>
      </c>
      <c r="AF307" s="191">
        <v>0.1</v>
      </c>
      <c r="AG307" s="183">
        <v>4</v>
      </c>
      <c r="AI307" s="5" t="s">
        <v>1655</v>
      </c>
      <c r="AL307" s="5" t="s">
        <v>1668</v>
      </c>
      <c r="AO307" s="5" t="s">
        <v>1668</v>
      </c>
    </row>
    <row r="308" spans="1:41" ht="15" customHeight="1" x14ac:dyDescent="0.2">
      <c r="A308" s="141" t="s">
        <v>313</v>
      </c>
      <c r="B308" s="187" t="s">
        <v>1759</v>
      </c>
      <c r="C308" s="141">
        <v>2015</v>
      </c>
      <c r="D308" s="188">
        <v>42</v>
      </c>
      <c r="E308" s="135" t="e">
        <v>#N/A</v>
      </c>
      <c r="F308" s="192" t="s">
        <v>1767</v>
      </c>
      <c r="G308" s="188">
        <v>0</v>
      </c>
      <c r="H308" s="188">
        <v>0</v>
      </c>
      <c r="I308" s="188">
        <v>0</v>
      </c>
      <c r="J308" s="188">
        <v>0</v>
      </c>
      <c r="K308" s="188">
        <v>0</v>
      </c>
      <c r="L308" s="188">
        <v>1</v>
      </c>
      <c r="M308" s="188">
        <v>0</v>
      </c>
      <c r="N308" s="188">
        <v>0</v>
      </c>
      <c r="O308" s="188">
        <v>0</v>
      </c>
      <c r="P308" s="188">
        <v>0</v>
      </c>
      <c r="Q308" s="188">
        <v>0</v>
      </c>
      <c r="R308" s="188">
        <v>0</v>
      </c>
      <c r="S308" s="188">
        <v>0</v>
      </c>
      <c r="T308" s="188">
        <v>0</v>
      </c>
      <c r="U308" s="188">
        <v>0</v>
      </c>
      <c r="V308" s="188">
        <v>0</v>
      </c>
      <c r="W308" s="188">
        <v>0</v>
      </c>
      <c r="X308" s="188">
        <v>0</v>
      </c>
      <c r="Y308" s="188">
        <v>0</v>
      </c>
      <c r="Z308" s="188">
        <v>0</v>
      </c>
      <c r="AA308" s="188">
        <v>1</v>
      </c>
      <c r="AB308" s="188">
        <v>0</v>
      </c>
      <c r="AC308" s="188">
        <v>0</v>
      </c>
      <c r="AD308" s="188">
        <v>0</v>
      </c>
      <c r="AE308" s="188">
        <v>0</v>
      </c>
      <c r="AF308" s="191">
        <v>0.1</v>
      </c>
      <c r="AG308" s="183">
        <v>2</v>
      </c>
      <c r="AI308" s="5" t="s">
        <v>1655</v>
      </c>
      <c r="AJ308" s="5" t="s">
        <v>1656</v>
      </c>
      <c r="AL308" s="5" t="s">
        <v>1668</v>
      </c>
      <c r="AM308" s="5" t="s">
        <v>1434</v>
      </c>
      <c r="AO308" s="5" t="s">
        <v>1434</v>
      </c>
    </row>
    <row r="309" spans="1:41" ht="15" customHeight="1" x14ac:dyDescent="0.2">
      <c r="A309" s="141" t="s">
        <v>313</v>
      </c>
      <c r="B309" s="187" t="s">
        <v>1759</v>
      </c>
      <c r="C309" s="141">
        <v>2015</v>
      </c>
      <c r="D309" s="188">
        <v>42</v>
      </c>
      <c r="E309" s="135">
        <v>541</v>
      </c>
      <c r="F309" s="192" t="s">
        <v>1313</v>
      </c>
      <c r="G309" s="188">
        <v>0</v>
      </c>
      <c r="H309" s="188">
        <v>1</v>
      </c>
      <c r="I309" s="188">
        <v>0</v>
      </c>
      <c r="J309" s="188">
        <v>1</v>
      </c>
      <c r="K309" s="188">
        <v>0</v>
      </c>
      <c r="L309" s="188">
        <v>0</v>
      </c>
      <c r="M309" s="188">
        <v>0</v>
      </c>
      <c r="N309" s="188">
        <v>0</v>
      </c>
      <c r="O309" s="188">
        <v>1</v>
      </c>
      <c r="P309" s="188">
        <v>1</v>
      </c>
      <c r="Q309" s="188">
        <v>1</v>
      </c>
      <c r="R309" s="188">
        <v>1</v>
      </c>
      <c r="S309" s="188">
        <v>0</v>
      </c>
      <c r="T309" s="188">
        <v>0</v>
      </c>
      <c r="U309" s="188">
        <v>1</v>
      </c>
      <c r="V309" s="188">
        <v>0</v>
      </c>
      <c r="W309" s="188">
        <v>1</v>
      </c>
      <c r="X309" s="188">
        <v>0</v>
      </c>
      <c r="Y309" s="188">
        <v>1</v>
      </c>
      <c r="Z309" s="188">
        <v>1</v>
      </c>
      <c r="AA309" s="188">
        <v>1</v>
      </c>
      <c r="AB309" s="188">
        <v>1</v>
      </c>
      <c r="AC309" s="188">
        <v>1</v>
      </c>
      <c r="AD309" s="188">
        <v>0</v>
      </c>
      <c r="AE309" s="188">
        <v>1</v>
      </c>
      <c r="AF309" s="191">
        <v>16</v>
      </c>
      <c r="AG309" s="183">
        <v>14</v>
      </c>
    </row>
    <row r="310" spans="1:41" ht="15" customHeight="1" x14ac:dyDescent="0.2">
      <c r="A310" s="141" t="s">
        <v>313</v>
      </c>
      <c r="B310" s="187" t="s">
        <v>1759</v>
      </c>
      <c r="C310" s="141">
        <v>2015</v>
      </c>
      <c r="D310" s="188">
        <v>42</v>
      </c>
      <c r="E310" s="135">
        <v>2930</v>
      </c>
      <c r="F310" s="192" t="s">
        <v>483</v>
      </c>
      <c r="G310" s="188">
        <v>1</v>
      </c>
      <c r="H310" s="188">
        <v>1</v>
      </c>
      <c r="I310" s="188">
        <v>1</v>
      </c>
      <c r="J310" s="188">
        <v>1</v>
      </c>
      <c r="K310" s="188">
        <v>1</v>
      </c>
      <c r="L310" s="188">
        <v>1</v>
      </c>
      <c r="M310" s="188">
        <v>1</v>
      </c>
      <c r="N310" s="188">
        <v>1</v>
      </c>
      <c r="O310" s="188">
        <v>1</v>
      </c>
      <c r="P310" s="188">
        <v>1</v>
      </c>
      <c r="Q310" s="188">
        <v>1</v>
      </c>
      <c r="R310" s="188">
        <v>1</v>
      </c>
      <c r="S310" s="188">
        <v>1</v>
      </c>
      <c r="T310" s="188">
        <v>1</v>
      </c>
      <c r="U310" s="188">
        <v>1</v>
      </c>
      <c r="V310" s="188">
        <v>1</v>
      </c>
      <c r="W310" s="188">
        <v>1</v>
      </c>
      <c r="X310" s="188">
        <v>1</v>
      </c>
      <c r="Y310" s="188">
        <v>1</v>
      </c>
      <c r="Z310" s="188">
        <v>1</v>
      </c>
      <c r="AA310" s="188">
        <v>1</v>
      </c>
      <c r="AB310" s="188">
        <v>1</v>
      </c>
      <c r="AC310" s="188">
        <v>1</v>
      </c>
      <c r="AD310" s="188">
        <v>1</v>
      </c>
      <c r="AE310" s="188">
        <v>1</v>
      </c>
      <c r="AF310" s="190">
        <v>2</v>
      </c>
      <c r="AG310" s="183">
        <v>25</v>
      </c>
      <c r="AH310" s="5" t="s">
        <v>1855</v>
      </c>
      <c r="AL310" s="5" t="s">
        <v>1672</v>
      </c>
      <c r="AO310" s="5" t="s">
        <v>1672</v>
      </c>
    </row>
    <row r="311" spans="1:41" ht="15" customHeight="1" x14ac:dyDescent="0.2">
      <c r="A311" s="141" t="s">
        <v>313</v>
      </c>
      <c r="B311" s="187" t="s">
        <v>1759</v>
      </c>
      <c r="C311" s="141">
        <v>2015</v>
      </c>
      <c r="D311" s="188">
        <v>44</v>
      </c>
      <c r="E311" s="135">
        <v>2607</v>
      </c>
      <c r="F311" s="192" t="s">
        <v>616</v>
      </c>
      <c r="G311" s="188">
        <v>1</v>
      </c>
      <c r="H311" s="188">
        <v>1</v>
      </c>
      <c r="I311" s="188">
        <v>0</v>
      </c>
      <c r="J311" s="188">
        <v>0</v>
      </c>
      <c r="K311" s="188">
        <v>0</v>
      </c>
      <c r="L311" s="188">
        <v>0</v>
      </c>
      <c r="M311" s="188">
        <v>1</v>
      </c>
      <c r="N311" s="188">
        <v>0</v>
      </c>
      <c r="O311" s="188">
        <v>0</v>
      </c>
      <c r="P311" s="188">
        <v>0</v>
      </c>
      <c r="Q311" s="188">
        <v>0</v>
      </c>
      <c r="R311" s="188">
        <v>0</v>
      </c>
      <c r="S311" s="188">
        <v>0</v>
      </c>
      <c r="T311" s="188">
        <v>0</v>
      </c>
      <c r="U311" s="188">
        <v>0</v>
      </c>
      <c r="V311" s="188">
        <v>0</v>
      </c>
      <c r="W311" s="188">
        <v>0</v>
      </c>
      <c r="X311" s="188">
        <v>1</v>
      </c>
      <c r="Y311" s="188">
        <v>1</v>
      </c>
      <c r="Z311" s="188">
        <v>1</v>
      </c>
      <c r="AA311" s="188">
        <v>1</v>
      </c>
      <c r="AB311" s="188">
        <v>0</v>
      </c>
      <c r="AC311" s="188">
        <v>1</v>
      </c>
      <c r="AD311" s="188">
        <v>0</v>
      </c>
      <c r="AE311" s="188">
        <v>0</v>
      </c>
      <c r="AF311" s="191">
        <v>4</v>
      </c>
      <c r="AG311" s="183">
        <v>8</v>
      </c>
    </row>
    <row r="312" spans="1:41" ht="15" customHeight="1" x14ac:dyDescent="0.2">
      <c r="A312" s="141" t="s">
        <v>313</v>
      </c>
      <c r="B312" s="187" t="s">
        <v>1759</v>
      </c>
      <c r="C312" s="141">
        <v>2015</v>
      </c>
      <c r="D312" s="188">
        <v>44</v>
      </c>
      <c r="E312" s="135">
        <v>2605</v>
      </c>
      <c r="F312" s="192" t="s">
        <v>618</v>
      </c>
      <c r="G312" s="188">
        <v>1</v>
      </c>
      <c r="H312" s="188">
        <v>0</v>
      </c>
      <c r="I312" s="188">
        <v>0</v>
      </c>
      <c r="J312" s="188">
        <v>0</v>
      </c>
      <c r="K312" s="188">
        <v>0</v>
      </c>
      <c r="L312" s="188">
        <v>0</v>
      </c>
      <c r="M312" s="188">
        <v>0</v>
      </c>
      <c r="N312" s="188">
        <v>1</v>
      </c>
      <c r="O312" s="188">
        <v>0</v>
      </c>
      <c r="P312" s="188">
        <v>0</v>
      </c>
      <c r="Q312" s="188">
        <v>0</v>
      </c>
      <c r="R312" s="188">
        <v>0</v>
      </c>
      <c r="S312" s="188">
        <v>1</v>
      </c>
      <c r="T312" s="188">
        <v>0</v>
      </c>
      <c r="U312" s="188">
        <v>0</v>
      </c>
      <c r="V312" s="188">
        <v>0</v>
      </c>
      <c r="W312" s="188">
        <v>1</v>
      </c>
      <c r="X312" s="188">
        <v>0</v>
      </c>
      <c r="Y312" s="188">
        <v>1</v>
      </c>
      <c r="Z312" s="188">
        <v>0</v>
      </c>
      <c r="AA312" s="188">
        <v>0</v>
      </c>
      <c r="AB312" s="188">
        <v>0</v>
      </c>
      <c r="AC312" s="188">
        <v>0</v>
      </c>
      <c r="AD312" s="188">
        <v>0</v>
      </c>
      <c r="AE312" s="188">
        <v>0</v>
      </c>
      <c r="AF312" s="191">
        <v>8</v>
      </c>
      <c r="AG312" s="183">
        <v>5</v>
      </c>
    </row>
    <row r="313" spans="1:41" ht="15" customHeight="1" x14ac:dyDescent="0.2">
      <c r="A313" s="141" t="s">
        <v>313</v>
      </c>
      <c r="B313" s="187" t="s">
        <v>1759</v>
      </c>
      <c r="C313" s="141">
        <v>2015</v>
      </c>
      <c r="D313" s="188">
        <v>44</v>
      </c>
      <c r="E313" s="135">
        <v>278</v>
      </c>
      <c r="F313" s="192" t="s">
        <v>132</v>
      </c>
      <c r="G313" s="188">
        <v>1</v>
      </c>
      <c r="H313" s="188">
        <v>1</v>
      </c>
      <c r="I313" s="188">
        <v>1</v>
      </c>
      <c r="J313" s="188">
        <v>1</v>
      </c>
      <c r="K313" s="188">
        <v>1</v>
      </c>
      <c r="L313" s="188">
        <v>1</v>
      </c>
      <c r="M313" s="188">
        <v>1</v>
      </c>
      <c r="N313" s="188">
        <v>1</v>
      </c>
      <c r="O313" s="188">
        <v>1</v>
      </c>
      <c r="P313" s="188">
        <v>0</v>
      </c>
      <c r="Q313" s="188">
        <v>1</v>
      </c>
      <c r="R313" s="188">
        <v>0</v>
      </c>
      <c r="S313" s="188">
        <v>0</v>
      </c>
      <c r="T313" s="188">
        <v>0</v>
      </c>
      <c r="U313" s="188">
        <v>1</v>
      </c>
      <c r="V313" s="188">
        <v>0</v>
      </c>
      <c r="W313" s="188">
        <v>0</v>
      </c>
      <c r="X313" s="188">
        <v>0</v>
      </c>
      <c r="Y313" s="188">
        <v>0</v>
      </c>
      <c r="Z313" s="188">
        <v>1</v>
      </c>
      <c r="AA313" s="188">
        <v>0</v>
      </c>
      <c r="AB313" s="188">
        <v>0</v>
      </c>
      <c r="AC313" s="188">
        <v>0</v>
      </c>
      <c r="AD313" s="188">
        <v>0</v>
      </c>
      <c r="AE313" s="188">
        <v>0</v>
      </c>
      <c r="AF313" s="191">
        <v>25</v>
      </c>
      <c r="AG313" s="183">
        <v>12</v>
      </c>
    </row>
    <row r="314" spans="1:41" ht="15" customHeight="1" x14ac:dyDescent="0.2">
      <c r="A314" s="141" t="s">
        <v>313</v>
      </c>
      <c r="B314" s="187" t="s">
        <v>1759</v>
      </c>
      <c r="C314" s="141">
        <v>2015</v>
      </c>
      <c r="D314" s="188">
        <v>44</v>
      </c>
      <c r="E314" s="135">
        <v>1576</v>
      </c>
      <c r="F314" s="192" t="s">
        <v>882</v>
      </c>
      <c r="G314" s="188">
        <v>1</v>
      </c>
      <c r="H314" s="188">
        <v>1</v>
      </c>
      <c r="I314" s="188">
        <v>1</v>
      </c>
      <c r="J314" s="188">
        <v>0</v>
      </c>
      <c r="K314" s="188">
        <v>0</v>
      </c>
      <c r="L314" s="188">
        <v>1</v>
      </c>
      <c r="M314" s="188">
        <v>0</v>
      </c>
      <c r="N314" s="188">
        <v>0</v>
      </c>
      <c r="O314" s="188">
        <v>0</v>
      </c>
      <c r="P314" s="188">
        <v>0</v>
      </c>
      <c r="Q314" s="188">
        <v>0</v>
      </c>
      <c r="R314" s="188">
        <v>0</v>
      </c>
      <c r="S314" s="188">
        <v>0</v>
      </c>
      <c r="T314" s="188">
        <v>0</v>
      </c>
      <c r="U314" s="188">
        <v>0</v>
      </c>
      <c r="V314" s="188">
        <v>0</v>
      </c>
      <c r="W314" s="188">
        <v>1</v>
      </c>
      <c r="X314" s="188">
        <v>0</v>
      </c>
      <c r="Y314" s="188">
        <v>0</v>
      </c>
      <c r="Z314" s="188">
        <v>0</v>
      </c>
      <c r="AA314" s="188">
        <v>0</v>
      </c>
      <c r="AB314" s="188">
        <v>0</v>
      </c>
      <c r="AC314" s="188">
        <v>1</v>
      </c>
      <c r="AD314" s="188">
        <v>0</v>
      </c>
      <c r="AE314" s="188">
        <v>0</v>
      </c>
      <c r="AF314" s="190">
        <v>2</v>
      </c>
      <c r="AG314" s="183">
        <v>6</v>
      </c>
    </row>
    <row r="315" spans="1:41" ht="15" customHeight="1" x14ac:dyDescent="0.2">
      <c r="A315" s="141" t="s">
        <v>313</v>
      </c>
      <c r="B315" s="187" t="s">
        <v>1759</v>
      </c>
      <c r="C315" s="141">
        <v>2015</v>
      </c>
      <c r="D315" s="188">
        <v>44</v>
      </c>
      <c r="E315" s="135">
        <v>344</v>
      </c>
      <c r="F315" s="189" t="s">
        <v>94</v>
      </c>
      <c r="G315" s="188">
        <v>0</v>
      </c>
      <c r="H315" s="188">
        <v>1</v>
      </c>
      <c r="I315" s="188">
        <v>1</v>
      </c>
      <c r="J315" s="188">
        <v>0</v>
      </c>
      <c r="K315" s="188">
        <v>0</v>
      </c>
      <c r="L315" s="188">
        <v>0</v>
      </c>
      <c r="M315" s="188">
        <v>0</v>
      </c>
      <c r="N315" s="188">
        <v>0</v>
      </c>
      <c r="O315" s="188">
        <v>0</v>
      </c>
      <c r="P315" s="188">
        <v>0</v>
      </c>
      <c r="Q315" s="188">
        <v>0</v>
      </c>
      <c r="R315" s="188">
        <v>0</v>
      </c>
      <c r="S315" s="188">
        <v>0</v>
      </c>
      <c r="T315" s="188">
        <v>0</v>
      </c>
      <c r="U315" s="188">
        <v>0</v>
      </c>
      <c r="V315" s="188">
        <v>0</v>
      </c>
      <c r="W315" s="188">
        <v>0</v>
      </c>
      <c r="X315" s="188">
        <v>0</v>
      </c>
      <c r="Y315" s="188">
        <v>0</v>
      </c>
      <c r="Z315" s="188">
        <v>0</v>
      </c>
      <c r="AA315" s="188">
        <v>0</v>
      </c>
      <c r="AB315" s="188">
        <v>0</v>
      </c>
      <c r="AC315" s="188">
        <v>0</v>
      </c>
      <c r="AD315" s="188">
        <v>0</v>
      </c>
      <c r="AE315" s="188">
        <v>0</v>
      </c>
      <c r="AF315" s="191">
        <v>0.1</v>
      </c>
      <c r="AG315" s="183">
        <v>2</v>
      </c>
      <c r="AH315" s="4"/>
      <c r="AI315" s="5" t="s">
        <v>1655</v>
      </c>
      <c r="AL315" s="5" t="s">
        <v>1668</v>
      </c>
      <c r="AO315" s="5" t="s">
        <v>1668</v>
      </c>
    </row>
    <row r="316" spans="1:41" ht="15" customHeight="1" x14ac:dyDescent="0.2">
      <c r="A316" s="141" t="s">
        <v>313</v>
      </c>
      <c r="B316" s="187" t="s">
        <v>1759</v>
      </c>
      <c r="C316" s="141">
        <v>2015</v>
      </c>
      <c r="D316" s="188">
        <v>44</v>
      </c>
      <c r="E316" s="135">
        <v>478</v>
      </c>
      <c r="F316" s="192" t="s">
        <v>24</v>
      </c>
      <c r="G316" s="188">
        <v>1</v>
      </c>
      <c r="H316" s="188">
        <v>1</v>
      </c>
      <c r="I316" s="188">
        <v>1</v>
      </c>
      <c r="J316" s="188">
        <v>1</v>
      </c>
      <c r="K316" s="188">
        <v>1</v>
      </c>
      <c r="L316" s="188">
        <v>1</v>
      </c>
      <c r="M316" s="188">
        <v>1</v>
      </c>
      <c r="N316" s="188">
        <v>0</v>
      </c>
      <c r="O316" s="188">
        <v>1</v>
      </c>
      <c r="P316" s="188">
        <v>1</v>
      </c>
      <c r="Q316" s="188">
        <v>1</v>
      </c>
      <c r="R316" s="188">
        <v>1</v>
      </c>
      <c r="S316" s="188">
        <v>1</v>
      </c>
      <c r="T316" s="188">
        <v>1</v>
      </c>
      <c r="U316" s="188">
        <v>1</v>
      </c>
      <c r="V316" s="188">
        <v>1</v>
      </c>
      <c r="W316" s="188">
        <v>1</v>
      </c>
      <c r="X316" s="188">
        <v>1</v>
      </c>
      <c r="Y316" s="188">
        <v>1</v>
      </c>
      <c r="Z316" s="188">
        <v>0</v>
      </c>
      <c r="AA316" s="188">
        <v>1</v>
      </c>
      <c r="AB316" s="188">
        <v>1</v>
      </c>
      <c r="AC316" s="188">
        <v>1</v>
      </c>
      <c r="AD316" s="188">
        <v>1</v>
      </c>
      <c r="AE316" s="188">
        <v>0</v>
      </c>
      <c r="AF316" s="190">
        <v>1</v>
      </c>
      <c r="AG316" s="183">
        <v>22</v>
      </c>
      <c r="AH316" s="4"/>
    </row>
    <row r="317" spans="1:41" ht="15" customHeight="1" x14ac:dyDescent="0.2">
      <c r="A317" s="141" t="s">
        <v>313</v>
      </c>
      <c r="B317" s="187" t="s">
        <v>1759</v>
      </c>
      <c r="C317" s="141">
        <v>2015</v>
      </c>
      <c r="D317" s="188">
        <v>44</v>
      </c>
      <c r="E317" s="135">
        <v>541</v>
      </c>
      <c r="F317" s="192" t="s">
        <v>1313</v>
      </c>
      <c r="G317" s="188">
        <v>1</v>
      </c>
      <c r="H317" s="188">
        <v>1</v>
      </c>
      <c r="I317" s="188">
        <v>1</v>
      </c>
      <c r="J317" s="188">
        <v>1</v>
      </c>
      <c r="K317" s="188">
        <v>1</v>
      </c>
      <c r="L317" s="188">
        <v>1</v>
      </c>
      <c r="M317" s="188">
        <v>1</v>
      </c>
      <c r="N317" s="188">
        <v>1</v>
      </c>
      <c r="O317" s="188">
        <v>1</v>
      </c>
      <c r="P317" s="188">
        <v>0</v>
      </c>
      <c r="Q317" s="188">
        <v>1</v>
      </c>
      <c r="R317" s="188">
        <v>1</v>
      </c>
      <c r="S317" s="188">
        <v>1</v>
      </c>
      <c r="T317" s="188">
        <v>1</v>
      </c>
      <c r="U317" s="188">
        <v>1</v>
      </c>
      <c r="V317" s="188">
        <v>1</v>
      </c>
      <c r="W317" s="188">
        <v>1</v>
      </c>
      <c r="X317" s="188">
        <v>1</v>
      </c>
      <c r="Y317" s="188">
        <v>1</v>
      </c>
      <c r="Z317" s="188">
        <v>1</v>
      </c>
      <c r="AA317" s="188">
        <v>1</v>
      </c>
      <c r="AB317" s="188">
        <v>1</v>
      </c>
      <c r="AC317" s="188">
        <v>1</v>
      </c>
      <c r="AD317" s="188">
        <v>1</v>
      </c>
      <c r="AE317" s="188">
        <v>1</v>
      </c>
      <c r="AF317" s="191">
        <v>80</v>
      </c>
      <c r="AG317" s="183">
        <v>24</v>
      </c>
    </row>
    <row r="318" spans="1:41" ht="15" customHeight="1" x14ac:dyDescent="0.2">
      <c r="A318" s="141" t="s">
        <v>313</v>
      </c>
      <c r="B318" s="187" t="s">
        <v>1759</v>
      </c>
      <c r="C318" s="141">
        <v>2015</v>
      </c>
      <c r="D318" s="188">
        <v>44</v>
      </c>
      <c r="E318" s="135">
        <v>2695</v>
      </c>
      <c r="F318" s="192" t="s">
        <v>569</v>
      </c>
      <c r="G318" s="188">
        <v>0</v>
      </c>
      <c r="H318" s="188">
        <v>0</v>
      </c>
      <c r="I318" s="188">
        <v>0</v>
      </c>
      <c r="J318" s="188">
        <v>0</v>
      </c>
      <c r="K318" s="188">
        <v>0</v>
      </c>
      <c r="L318" s="188">
        <v>0</v>
      </c>
      <c r="M318" s="188">
        <v>0</v>
      </c>
      <c r="N318" s="188">
        <v>1</v>
      </c>
      <c r="O318" s="188">
        <v>1</v>
      </c>
      <c r="P318" s="188">
        <v>0</v>
      </c>
      <c r="Q318" s="188">
        <v>0</v>
      </c>
      <c r="R318" s="188">
        <v>0</v>
      </c>
      <c r="S318" s="188">
        <v>0</v>
      </c>
      <c r="T318" s="188">
        <v>0</v>
      </c>
      <c r="U318" s="188">
        <v>0</v>
      </c>
      <c r="V318" s="188">
        <v>0</v>
      </c>
      <c r="W318" s="188">
        <v>0</v>
      </c>
      <c r="X318" s="188">
        <v>0</v>
      </c>
      <c r="Y318" s="188">
        <v>0</v>
      </c>
      <c r="Z318" s="188">
        <v>0</v>
      </c>
      <c r="AA318" s="188">
        <v>0</v>
      </c>
      <c r="AB318" s="188">
        <v>0</v>
      </c>
      <c r="AC318" s="188">
        <v>0</v>
      </c>
      <c r="AD318" s="188">
        <v>0</v>
      </c>
      <c r="AE318" s="188">
        <v>0</v>
      </c>
      <c r="AF318" s="190">
        <v>0.1</v>
      </c>
      <c r="AG318" s="183">
        <v>2</v>
      </c>
      <c r="AH318" s="4"/>
      <c r="AI318" s="5" t="s">
        <v>1655</v>
      </c>
      <c r="AL318" s="5" t="s">
        <v>1668</v>
      </c>
      <c r="AO318" s="5" t="s">
        <v>1668</v>
      </c>
    </row>
    <row r="319" spans="1:41" ht="15" customHeight="1" x14ac:dyDescent="0.2">
      <c r="A319" s="141" t="s">
        <v>313</v>
      </c>
      <c r="B319" s="187" t="s">
        <v>1759</v>
      </c>
      <c r="C319" s="141">
        <v>2015</v>
      </c>
      <c r="D319" s="188">
        <v>44</v>
      </c>
      <c r="E319" s="135">
        <v>1894</v>
      </c>
      <c r="F319" s="189" t="s">
        <v>795</v>
      </c>
      <c r="G319" s="188">
        <v>1</v>
      </c>
      <c r="H319" s="188">
        <v>1</v>
      </c>
      <c r="I319" s="188">
        <v>1</v>
      </c>
      <c r="J319" s="188">
        <v>1</v>
      </c>
      <c r="K319" s="188">
        <v>0</v>
      </c>
      <c r="L319" s="188">
        <v>1</v>
      </c>
      <c r="M319" s="188">
        <v>0</v>
      </c>
      <c r="N319" s="188">
        <v>0</v>
      </c>
      <c r="O319" s="188">
        <v>0</v>
      </c>
      <c r="P319" s="188">
        <v>1</v>
      </c>
      <c r="Q319" s="188">
        <v>1</v>
      </c>
      <c r="R319" s="188">
        <v>0</v>
      </c>
      <c r="S319" s="188">
        <v>0</v>
      </c>
      <c r="T319" s="188">
        <v>1</v>
      </c>
      <c r="U319" s="188">
        <v>1</v>
      </c>
      <c r="V319" s="188">
        <v>0</v>
      </c>
      <c r="W319" s="188">
        <v>0</v>
      </c>
      <c r="X319" s="188">
        <v>0</v>
      </c>
      <c r="Y319" s="188">
        <v>0</v>
      </c>
      <c r="Z319" s="188">
        <v>1</v>
      </c>
      <c r="AA319" s="188">
        <v>0</v>
      </c>
      <c r="AB319" s="188">
        <v>1</v>
      </c>
      <c r="AC319" s="188">
        <v>0</v>
      </c>
      <c r="AD319" s="188">
        <v>1</v>
      </c>
      <c r="AE319" s="188">
        <v>1</v>
      </c>
      <c r="AF319" s="191">
        <v>4</v>
      </c>
      <c r="AG319" s="183">
        <v>13</v>
      </c>
      <c r="AH319" s="4"/>
    </row>
    <row r="320" spans="1:41" ht="15" customHeight="1" x14ac:dyDescent="0.2">
      <c r="A320" s="141" t="s">
        <v>313</v>
      </c>
      <c r="B320" s="187" t="s">
        <v>1759</v>
      </c>
      <c r="C320" s="141">
        <v>2015</v>
      </c>
      <c r="D320" s="188">
        <v>44</v>
      </c>
      <c r="E320" s="135">
        <v>1066</v>
      </c>
      <c r="F320" s="192" t="s">
        <v>1082</v>
      </c>
      <c r="G320" s="188">
        <v>1</v>
      </c>
      <c r="H320" s="188">
        <v>1</v>
      </c>
      <c r="I320" s="188">
        <v>0</v>
      </c>
      <c r="J320" s="188">
        <v>1</v>
      </c>
      <c r="K320" s="188">
        <v>1</v>
      </c>
      <c r="L320" s="188">
        <v>0</v>
      </c>
      <c r="M320" s="188">
        <v>0</v>
      </c>
      <c r="N320" s="188">
        <v>1</v>
      </c>
      <c r="O320" s="188">
        <v>0</v>
      </c>
      <c r="P320" s="188">
        <v>1</v>
      </c>
      <c r="Q320" s="188">
        <v>0</v>
      </c>
      <c r="R320" s="188">
        <v>0</v>
      </c>
      <c r="S320" s="188">
        <v>0</v>
      </c>
      <c r="T320" s="188">
        <v>1</v>
      </c>
      <c r="U320" s="188">
        <v>1</v>
      </c>
      <c r="V320" s="188">
        <v>0</v>
      </c>
      <c r="W320" s="188">
        <v>0</v>
      </c>
      <c r="X320" s="188">
        <v>0</v>
      </c>
      <c r="Y320" s="188">
        <v>0</v>
      </c>
      <c r="Z320" s="188">
        <v>1</v>
      </c>
      <c r="AA320" s="188">
        <v>0</v>
      </c>
      <c r="AB320" s="188">
        <v>0</v>
      </c>
      <c r="AC320" s="188">
        <v>0</v>
      </c>
      <c r="AD320" s="188">
        <v>0</v>
      </c>
      <c r="AE320" s="188">
        <v>0</v>
      </c>
      <c r="AF320" s="191">
        <v>4</v>
      </c>
      <c r="AG320" s="183">
        <v>9</v>
      </c>
    </row>
    <row r="321" spans="1:41" ht="15" customHeight="1" x14ac:dyDescent="0.2">
      <c r="A321" s="141" t="s">
        <v>313</v>
      </c>
      <c r="B321" s="187" t="s">
        <v>1759</v>
      </c>
      <c r="C321" s="141">
        <v>2015</v>
      </c>
      <c r="D321" s="188">
        <v>44</v>
      </c>
      <c r="E321" s="135">
        <v>2639</v>
      </c>
      <c r="F321" s="192" t="s">
        <v>590</v>
      </c>
      <c r="G321" s="188">
        <v>0</v>
      </c>
      <c r="H321" s="188">
        <v>0</v>
      </c>
      <c r="I321" s="188">
        <v>1</v>
      </c>
      <c r="J321" s="188">
        <v>0</v>
      </c>
      <c r="K321" s="188">
        <v>0</v>
      </c>
      <c r="L321" s="188">
        <v>1</v>
      </c>
      <c r="M321" s="188">
        <v>0</v>
      </c>
      <c r="N321" s="188">
        <v>0</v>
      </c>
      <c r="O321" s="188">
        <v>0</v>
      </c>
      <c r="P321" s="188">
        <v>0</v>
      </c>
      <c r="Q321" s="188">
        <v>0</v>
      </c>
      <c r="R321" s="188">
        <v>0</v>
      </c>
      <c r="S321" s="188">
        <v>0</v>
      </c>
      <c r="T321" s="188">
        <v>0</v>
      </c>
      <c r="U321" s="188">
        <v>0</v>
      </c>
      <c r="V321" s="188">
        <v>0</v>
      </c>
      <c r="W321" s="188">
        <v>0</v>
      </c>
      <c r="X321" s="188">
        <v>1</v>
      </c>
      <c r="Y321" s="188">
        <v>0</v>
      </c>
      <c r="Z321" s="188">
        <v>0</v>
      </c>
      <c r="AA321" s="188">
        <v>0</v>
      </c>
      <c r="AB321" s="188">
        <v>0</v>
      </c>
      <c r="AC321" s="188">
        <v>0</v>
      </c>
      <c r="AD321" s="188">
        <v>0</v>
      </c>
      <c r="AE321" s="188">
        <v>1</v>
      </c>
      <c r="AF321" s="191">
        <v>10</v>
      </c>
      <c r="AG321" s="183">
        <v>4</v>
      </c>
    </row>
    <row r="322" spans="1:41" ht="15" customHeight="1" x14ac:dyDescent="0.2">
      <c r="A322" s="141" t="s">
        <v>313</v>
      </c>
      <c r="B322" s="187" t="s">
        <v>1759</v>
      </c>
      <c r="C322" s="141">
        <v>2015</v>
      </c>
      <c r="D322" s="188">
        <v>44</v>
      </c>
      <c r="E322" s="135" t="e">
        <v>#N/A</v>
      </c>
      <c r="F322" s="192" t="s">
        <v>1772</v>
      </c>
      <c r="G322" s="188">
        <v>0</v>
      </c>
      <c r="H322" s="188">
        <v>1</v>
      </c>
      <c r="I322" s="188">
        <v>0</v>
      </c>
      <c r="J322" s="188">
        <v>0</v>
      </c>
      <c r="K322" s="188">
        <v>0</v>
      </c>
      <c r="L322" s="188">
        <v>1</v>
      </c>
      <c r="M322" s="188">
        <v>0</v>
      </c>
      <c r="N322" s="188">
        <v>0</v>
      </c>
      <c r="O322" s="188">
        <v>0</v>
      </c>
      <c r="P322" s="188">
        <v>0</v>
      </c>
      <c r="Q322" s="188">
        <v>1</v>
      </c>
      <c r="R322" s="188">
        <v>1</v>
      </c>
      <c r="S322" s="188">
        <v>1</v>
      </c>
      <c r="T322" s="188">
        <v>1</v>
      </c>
      <c r="U322" s="188">
        <v>1</v>
      </c>
      <c r="V322" s="188">
        <v>1</v>
      </c>
      <c r="W322" s="188">
        <v>1</v>
      </c>
      <c r="X322" s="188">
        <v>1</v>
      </c>
      <c r="Y322" s="188">
        <v>1</v>
      </c>
      <c r="Z322" s="188">
        <v>0</v>
      </c>
      <c r="AA322" s="188">
        <v>1</v>
      </c>
      <c r="AB322" s="188">
        <v>1</v>
      </c>
      <c r="AC322" s="188">
        <v>1</v>
      </c>
      <c r="AD322" s="188">
        <v>0</v>
      </c>
      <c r="AE322" s="188">
        <v>0</v>
      </c>
      <c r="AF322" s="191">
        <v>25</v>
      </c>
      <c r="AG322" s="183">
        <v>14</v>
      </c>
      <c r="AL322" s="5" t="s">
        <v>1434</v>
      </c>
      <c r="AO322" s="5" t="s">
        <v>1434</v>
      </c>
    </row>
    <row r="323" spans="1:41" ht="15" customHeight="1" x14ac:dyDescent="0.2">
      <c r="A323" s="141" t="s">
        <v>313</v>
      </c>
      <c r="B323" s="187" t="s">
        <v>1761</v>
      </c>
      <c r="C323" s="141">
        <v>2015</v>
      </c>
      <c r="D323" s="188">
        <v>45</v>
      </c>
      <c r="E323" s="135">
        <v>2694</v>
      </c>
      <c r="F323" s="192" t="s">
        <v>570</v>
      </c>
      <c r="G323" s="188">
        <v>0</v>
      </c>
      <c r="H323" s="188">
        <v>0</v>
      </c>
      <c r="I323" s="188">
        <v>0</v>
      </c>
      <c r="J323" s="188">
        <v>0</v>
      </c>
      <c r="K323" s="188">
        <v>0</v>
      </c>
      <c r="L323" s="188">
        <v>0</v>
      </c>
      <c r="M323" s="188">
        <v>0</v>
      </c>
      <c r="N323" s="188">
        <v>0</v>
      </c>
      <c r="O323" s="188">
        <v>0</v>
      </c>
      <c r="P323" s="188">
        <v>0</v>
      </c>
      <c r="Q323" s="188">
        <v>0</v>
      </c>
      <c r="R323" s="188">
        <v>0</v>
      </c>
      <c r="S323" s="188">
        <v>0</v>
      </c>
      <c r="T323" s="188">
        <v>0</v>
      </c>
      <c r="U323" s="188">
        <v>0</v>
      </c>
      <c r="V323" s="188">
        <v>0</v>
      </c>
      <c r="W323" s="188">
        <v>0</v>
      </c>
      <c r="X323" s="188">
        <v>0</v>
      </c>
      <c r="Y323" s="188">
        <v>0</v>
      </c>
      <c r="Z323" s="188">
        <v>0</v>
      </c>
      <c r="AA323" s="188">
        <v>0</v>
      </c>
      <c r="AB323" s="188">
        <v>0</v>
      </c>
      <c r="AC323" s="188">
        <v>0</v>
      </c>
      <c r="AD323" s="188">
        <v>1</v>
      </c>
      <c r="AE323" s="188">
        <v>1</v>
      </c>
      <c r="AF323" s="191">
        <v>0.1</v>
      </c>
      <c r="AG323" s="183">
        <v>2</v>
      </c>
      <c r="AH323" s="5" t="s">
        <v>1855</v>
      </c>
      <c r="AL323" s="5" t="s">
        <v>1672</v>
      </c>
      <c r="AO323" s="5" t="s">
        <v>1434</v>
      </c>
    </row>
    <row r="324" spans="1:41" ht="15" customHeight="1" x14ac:dyDescent="0.2">
      <c r="A324" s="141" t="s">
        <v>313</v>
      </c>
      <c r="B324" s="187" t="s">
        <v>1761</v>
      </c>
      <c r="C324" s="141">
        <v>2015</v>
      </c>
      <c r="D324" s="188">
        <v>45</v>
      </c>
      <c r="E324" s="135">
        <v>478</v>
      </c>
      <c r="F324" s="192" t="s">
        <v>24</v>
      </c>
      <c r="G324" s="188">
        <v>1</v>
      </c>
      <c r="H324" s="188">
        <v>1</v>
      </c>
      <c r="I324" s="188">
        <v>1</v>
      </c>
      <c r="J324" s="188">
        <v>1</v>
      </c>
      <c r="K324" s="188">
        <v>1</v>
      </c>
      <c r="L324" s="188">
        <v>1</v>
      </c>
      <c r="M324" s="188">
        <v>1</v>
      </c>
      <c r="N324" s="188">
        <v>1</v>
      </c>
      <c r="O324" s="188">
        <v>1</v>
      </c>
      <c r="P324" s="188">
        <v>0</v>
      </c>
      <c r="Q324" s="188">
        <v>1</v>
      </c>
      <c r="R324" s="188">
        <v>1</v>
      </c>
      <c r="S324" s="188">
        <v>1</v>
      </c>
      <c r="T324" s="188">
        <v>1</v>
      </c>
      <c r="U324" s="188">
        <v>1</v>
      </c>
      <c r="V324" s="188">
        <v>1</v>
      </c>
      <c r="W324" s="188">
        <v>1</v>
      </c>
      <c r="X324" s="188">
        <v>1</v>
      </c>
      <c r="Y324" s="188">
        <v>1</v>
      </c>
      <c r="Z324" s="188">
        <v>1</v>
      </c>
      <c r="AA324" s="188">
        <v>1</v>
      </c>
      <c r="AB324" s="188">
        <v>1</v>
      </c>
      <c r="AC324" s="188">
        <v>1</v>
      </c>
      <c r="AD324" s="188">
        <v>1</v>
      </c>
      <c r="AE324" s="188">
        <v>1</v>
      </c>
      <c r="AF324" s="190">
        <v>25</v>
      </c>
      <c r="AG324" s="183">
        <v>24</v>
      </c>
      <c r="AH324" s="4"/>
    </row>
    <row r="325" spans="1:41" ht="15" customHeight="1" x14ac:dyDescent="0.2">
      <c r="A325" s="141" t="s">
        <v>313</v>
      </c>
      <c r="B325" s="187" t="s">
        <v>1761</v>
      </c>
      <c r="C325" s="141">
        <v>2015</v>
      </c>
      <c r="D325" s="188">
        <v>45</v>
      </c>
      <c r="E325" s="135">
        <v>1638</v>
      </c>
      <c r="F325" s="192" t="s">
        <v>861</v>
      </c>
      <c r="G325" s="188">
        <v>0</v>
      </c>
      <c r="H325" s="188">
        <v>0</v>
      </c>
      <c r="I325" s="188">
        <v>0</v>
      </c>
      <c r="J325" s="188">
        <v>0</v>
      </c>
      <c r="K325" s="188">
        <v>0</v>
      </c>
      <c r="L325" s="188">
        <v>0</v>
      </c>
      <c r="M325" s="188">
        <v>0</v>
      </c>
      <c r="N325" s="188">
        <v>0</v>
      </c>
      <c r="O325" s="188">
        <v>0</v>
      </c>
      <c r="P325" s="188">
        <v>0</v>
      </c>
      <c r="Q325" s="188">
        <v>0</v>
      </c>
      <c r="R325" s="188">
        <v>0</v>
      </c>
      <c r="S325" s="188">
        <v>0</v>
      </c>
      <c r="T325" s="188">
        <v>0</v>
      </c>
      <c r="U325" s="188">
        <v>0</v>
      </c>
      <c r="V325" s="188">
        <v>0</v>
      </c>
      <c r="W325" s="188">
        <v>0</v>
      </c>
      <c r="X325" s="188">
        <v>0</v>
      </c>
      <c r="Y325" s="188">
        <v>0</v>
      </c>
      <c r="Z325" s="188">
        <v>0</v>
      </c>
      <c r="AA325" s="188">
        <v>0</v>
      </c>
      <c r="AB325" s="188">
        <v>0</v>
      </c>
      <c r="AC325" s="188">
        <v>0</v>
      </c>
      <c r="AD325" s="188">
        <v>1</v>
      </c>
      <c r="AE325" s="188">
        <v>0</v>
      </c>
      <c r="AF325" s="191">
        <v>0.1</v>
      </c>
      <c r="AG325" s="183">
        <v>1</v>
      </c>
    </row>
    <row r="326" spans="1:41" ht="15" customHeight="1" x14ac:dyDescent="0.2">
      <c r="A326" s="141" t="s">
        <v>313</v>
      </c>
      <c r="B326" s="187" t="s">
        <v>1761</v>
      </c>
      <c r="C326" s="141">
        <v>2015</v>
      </c>
      <c r="D326" s="188">
        <v>45</v>
      </c>
      <c r="E326" s="135">
        <v>2695</v>
      </c>
      <c r="F326" s="192" t="s">
        <v>569</v>
      </c>
      <c r="G326" s="188">
        <v>0</v>
      </c>
      <c r="H326" s="188">
        <v>0</v>
      </c>
      <c r="I326" s="188">
        <v>0</v>
      </c>
      <c r="J326" s="188">
        <v>0</v>
      </c>
      <c r="K326" s="188">
        <v>0</v>
      </c>
      <c r="L326" s="188">
        <v>0</v>
      </c>
      <c r="M326" s="188">
        <v>0</v>
      </c>
      <c r="N326" s="188">
        <v>0</v>
      </c>
      <c r="O326" s="188">
        <v>0</v>
      </c>
      <c r="P326" s="188">
        <v>0</v>
      </c>
      <c r="Q326" s="188">
        <v>0</v>
      </c>
      <c r="R326" s="188">
        <v>0</v>
      </c>
      <c r="S326" s="188">
        <v>0</v>
      </c>
      <c r="T326" s="188">
        <v>0</v>
      </c>
      <c r="U326" s="188">
        <v>0</v>
      </c>
      <c r="V326" s="188">
        <v>0</v>
      </c>
      <c r="W326" s="188">
        <v>0</v>
      </c>
      <c r="X326" s="188">
        <v>0</v>
      </c>
      <c r="Y326" s="188">
        <v>0</v>
      </c>
      <c r="Z326" s="188">
        <v>0</v>
      </c>
      <c r="AA326" s="188">
        <v>0</v>
      </c>
      <c r="AB326" s="188">
        <v>0</v>
      </c>
      <c r="AC326" s="188">
        <v>0</v>
      </c>
      <c r="AD326" s="188">
        <v>1</v>
      </c>
      <c r="AE326" s="188">
        <v>1</v>
      </c>
      <c r="AF326" s="190">
        <v>1</v>
      </c>
      <c r="AG326" s="183">
        <v>2</v>
      </c>
    </row>
    <row r="327" spans="1:41" ht="15" customHeight="1" x14ac:dyDescent="0.2">
      <c r="A327" s="141" t="s">
        <v>313</v>
      </c>
      <c r="B327" s="187" t="s">
        <v>1761</v>
      </c>
      <c r="C327" s="141">
        <v>2015</v>
      </c>
      <c r="D327" s="188">
        <v>45</v>
      </c>
      <c r="E327" s="135">
        <v>1872</v>
      </c>
      <c r="F327" s="192" t="s">
        <v>804</v>
      </c>
      <c r="G327" s="188">
        <v>0</v>
      </c>
      <c r="H327" s="188">
        <v>0</v>
      </c>
      <c r="I327" s="188">
        <v>0</v>
      </c>
      <c r="J327" s="188">
        <v>0</v>
      </c>
      <c r="K327" s="188">
        <v>0</v>
      </c>
      <c r="L327" s="188">
        <v>0</v>
      </c>
      <c r="M327" s="188">
        <v>0</v>
      </c>
      <c r="N327" s="188">
        <v>0</v>
      </c>
      <c r="O327" s="188">
        <v>0</v>
      </c>
      <c r="P327" s="188">
        <v>0</v>
      </c>
      <c r="Q327" s="188">
        <v>0</v>
      </c>
      <c r="R327" s="188">
        <v>0</v>
      </c>
      <c r="S327" s="188">
        <v>0</v>
      </c>
      <c r="T327" s="188">
        <v>1</v>
      </c>
      <c r="U327" s="188">
        <v>1</v>
      </c>
      <c r="V327" s="188">
        <v>0</v>
      </c>
      <c r="W327" s="188">
        <v>0</v>
      </c>
      <c r="X327" s="188">
        <v>1</v>
      </c>
      <c r="Y327" s="188">
        <v>1</v>
      </c>
      <c r="Z327" s="188">
        <v>1</v>
      </c>
      <c r="AA327" s="188">
        <v>0</v>
      </c>
      <c r="AB327" s="188">
        <v>0</v>
      </c>
      <c r="AC327" s="188">
        <v>1</v>
      </c>
      <c r="AD327" s="188">
        <v>1</v>
      </c>
      <c r="AE327" s="188">
        <v>1</v>
      </c>
      <c r="AF327" s="191">
        <v>5</v>
      </c>
      <c r="AG327" s="183">
        <v>8</v>
      </c>
    </row>
    <row r="328" spans="1:41" ht="15" customHeight="1" x14ac:dyDescent="0.2">
      <c r="A328" s="141" t="s">
        <v>313</v>
      </c>
      <c r="B328" s="187" t="s">
        <v>1761</v>
      </c>
      <c r="C328" s="141">
        <v>2015</v>
      </c>
      <c r="D328" s="188">
        <v>45</v>
      </c>
      <c r="E328" s="135">
        <v>1914</v>
      </c>
      <c r="F328" s="192" t="s">
        <v>791</v>
      </c>
      <c r="G328" s="188">
        <v>1</v>
      </c>
      <c r="H328" s="188">
        <v>1</v>
      </c>
      <c r="I328" s="188">
        <v>1</v>
      </c>
      <c r="J328" s="188">
        <v>1</v>
      </c>
      <c r="K328" s="188">
        <v>1</v>
      </c>
      <c r="L328" s="188">
        <v>1</v>
      </c>
      <c r="M328" s="188">
        <v>1</v>
      </c>
      <c r="N328" s="188">
        <v>1</v>
      </c>
      <c r="O328" s="188">
        <v>1</v>
      </c>
      <c r="P328" s="188">
        <v>1</v>
      </c>
      <c r="Q328" s="188">
        <v>1</v>
      </c>
      <c r="R328" s="188">
        <v>1</v>
      </c>
      <c r="S328" s="188">
        <v>1</v>
      </c>
      <c r="T328" s="188">
        <v>1</v>
      </c>
      <c r="U328" s="188">
        <v>1</v>
      </c>
      <c r="V328" s="188">
        <v>1</v>
      </c>
      <c r="W328" s="188">
        <v>1</v>
      </c>
      <c r="X328" s="188">
        <v>1</v>
      </c>
      <c r="Y328" s="188">
        <v>1</v>
      </c>
      <c r="Z328" s="188">
        <v>1</v>
      </c>
      <c r="AA328" s="188">
        <v>1</v>
      </c>
      <c r="AB328" s="188">
        <v>1</v>
      </c>
      <c r="AC328" s="188">
        <v>1</v>
      </c>
      <c r="AD328" s="188">
        <v>1</v>
      </c>
      <c r="AE328" s="188">
        <v>0</v>
      </c>
      <c r="AF328" s="191">
        <v>45</v>
      </c>
      <c r="AG328" s="183">
        <v>24</v>
      </c>
    </row>
    <row r="329" spans="1:41" ht="15" customHeight="1" x14ac:dyDescent="0.2">
      <c r="A329" s="141" t="s">
        <v>313</v>
      </c>
      <c r="B329" s="187" t="s">
        <v>1761</v>
      </c>
      <c r="C329" s="141">
        <v>2015</v>
      </c>
      <c r="D329" s="188">
        <v>45</v>
      </c>
      <c r="E329" s="135">
        <v>2639</v>
      </c>
      <c r="F329" s="192" t="s">
        <v>590</v>
      </c>
      <c r="G329" s="188">
        <v>0</v>
      </c>
      <c r="H329" s="188">
        <v>0</v>
      </c>
      <c r="I329" s="188">
        <v>0</v>
      </c>
      <c r="J329" s="188">
        <v>0</v>
      </c>
      <c r="K329" s="188">
        <v>1</v>
      </c>
      <c r="L329" s="188">
        <v>0</v>
      </c>
      <c r="M329" s="188">
        <v>0</v>
      </c>
      <c r="N329" s="188">
        <v>0</v>
      </c>
      <c r="O329" s="188">
        <v>0</v>
      </c>
      <c r="P329" s="188">
        <v>0</v>
      </c>
      <c r="Q329" s="188">
        <v>0</v>
      </c>
      <c r="R329" s="188">
        <v>0</v>
      </c>
      <c r="S329" s="188">
        <v>0</v>
      </c>
      <c r="T329" s="188">
        <v>0</v>
      </c>
      <c r="U329" s="188">
        <v>0</v>
      </c>
      <c r="V329" s="188">
        <v>0</v>
      </c>
      <c r="W329" s="188">
        <v>0</v>
      </c>
      <c r="X329" s="188">
        <v>0</v>
      </c>
      <c r="Y329" s="188">
        <v>0</v>
      </c>
      <c r="Z329" s="188">
        <v>0</v>
      </c>
      <c r="AA329" s="188">
        <v>0</v>
      </c>
      <c r="AB329" s="188">
        <v>0</v>
      </c>
      <c r="AC329" s="188">
        <v>0</v>
      </c>
      <c r="AD329" s="188">
        <v>0</v>
      </c>
      <c r="AE329" s="188">
        <v>0</v>
      </c>
      <c r="AF329" s="190">
        <v>60</v>
      </c>
      <c r="AG329" s="183">
        <v>1</v>
      </c>
      <c r="AH329" s="4"/>
    </row>
    <row r="330" spans="1:41" ht="15" customHeight="1" x14ac:dyDescent="0.2">
      <c r="A330" s="141" t="s">
        <v>313</v>
      </c>
      <c r="B330" s="187" t="s">
        <v>1759</v>
      </c>
      <c r="C330" s="141">
        <v>2015</v>
      </c>
      <c r="D330" s="188">
        <v>46</v>
      </c>
      <c r="E330" s="135">
        <v>278</v>
      </c>
      <c r="F330" s="192" t="s">
        <v>132</v>
      </c>
      <c r="G330" s="188">
        <v>1</v>
      </c>
      <c r="H330" s="188">
        <v>1</v>
      </c>
      <c r="I330" s="188">
        <v>1</v>
      </c>
      <c r="J330" s="188">
        <v>1</v>
      </c>
      <c r="K330" s="188">
        <v>1</v>
      </c>
      <c r="L330" s="188">
        <v>1</v>
      </c>
      <c r="M330" s="188">
        <v>1</v>
      </c>
      <c r="N330" s="188">
        <v>1</v>
      </c>
      <c r="O330" s="188">
        <v>1</v>
      </c>
      <c r="P330" s="188">
        <v>1</v>
      </c>
      <c r="Q330" s="188">
        <v>1</v>
      </c>
      <c r="R330" s="188">
        <v>1</v>
      </c>
      <c r="S330" s="188">
        <v>1</v>
      </c>
      <c r="T330" s="188">
        <v>1</v>
      </c>
      <c r="U330" s="188">
        <v>1</v>
      </c>
      <c r="V330" s="188">
        <v>1</v>
      </c>
      <c r="W330" s="188">
        <v>1</v>
      </c>
      <c r="X330" s="188">
        <v>1</v>
      </c>
      <c r="Y330" s="188">
        <v>1</v>
      </c>
      <c r="Z330" s="188">
        <v>1</v>
      </c>
      <c r="AA330" s="188">
        <v>1</v>
      </c>
      <c r="AB330" s="188">
        <v>1</v>
      </c>
      <c r="AC330" s="188">
        <v>1</v>
      </c>
      <c r="AD330" s="188">
        <v>1</v>
      </c>
      <c r="AE330" s="188">
        <v>1</v>
      </c>
      <c r="AF330" s="191">
        <v>60</v>
      </c>
      <c r="AG330" s="183">
        <v>25</v>
      </c>
    </row>
    <row r="331" spans="1:41" ht="15" customHeight="1" x14ac:dyDescent="0.2">
      <c r="A331" s="141" t="s">
        <v>313</v>
      </c>
      <c r="B331" s="187" t="s">
        <v>1759</v>
      </c>
      <c r="C331" s="141">
        <v>2015</v>
      </c>
      <c r="D331" s="188">
        <v>46</v>
      </c>
      <c r="E331" s="135">
        <v>1576</v>
      </c>
      <c r="F331" s="192" t="s">
        <v>882</v>
      </c>
      <c r="G331" s="188">
        <v>0</v>
      </c>
      <c r="H331" s="188">
        <v>0</v>
      </c>
      <c r="I331" s="188">
        <v>1</v>
      </c>
      <c r="J331" s="188">
        <v>1</v>
      </c>
      <c r="K331" s="188">
        <v>1</v>
      </c>
      <c r="L331" s="188">
        <v>0</v>
      </c>
      <c r="M331" s="188">
        <v>0</v>
      </c>
      <c r="N331" s="188">
        <v>1</v>
      </c>
      <c r="O331" s="188">
        <v>1</v>
      </c>
      <c r="P331" s="188">
        <v>1</v>
      </c>
      <c r="Q331" s="188">
        <v>1</v>
      </c>
      <c r="R331" s="188">
        <v>1</v>
      </c>
      <c r="S331" s="188">
        <v>1</v>
      </c>
      <c r="T331" s="188">
        <v>1</v>
      </c>
      <c r="U331" s="188">
        <v>1</v>
      </c>
      <c r="V331" s="188">
        <v>1</v>
      </c>
      <c r="W331" s="188">
        <v>1</v>
      </c>
      <c r="X331" s="188">
        <v>1</v>
      </c>
      <c r="Y331" s="188">
        <v>1</v>
      </c>
      <c r="Z331" s="188">
        <v>1</v>
      </c>
      <c r="AA331" s="188">
        <v>1</v>
      </c>
      <c r="AB331" s="188">
        <v>1</v>
      </c>
      <c r="AC331" s="188">
        <v>1</v>
      </c>
      <c r="AD331" s="188">
        <v>1</v>
      </c>
      <c r="AE331" s="188">
        <v>1</v>
      </c>
      <c r="AF331" s="190">
        <v>20</v>
      </c>
      <c r="AG331" s="183">
        <v>21</v>
      </c>
    </row>
    <row r="332" spans="1:41" ht="15" customHeight="1" x14ac:dyDescent="0.2">
      <c r="A332" s="141" t="s">
        <v>313</v>
      </c>
      <c r="B332" s="187" t="s">
        <v>1759</v>
      </c>
      <c r="C332" s="141">
        <v>2015</v>
      </c>
      <c r="D332" s="188">
        <v>46</v>
      </c>
      <c r="E332" s="135">
        <v>2824</v>
      </c>
      <c r="F332" s="189" t="s">
        <v>1977</v>
      </c>
      <c r="G332" s="188">
        <v>0</v>
      </c>
      <c r="H332" s="188">
        <v>1</v>
      </c>
      <c r="I332" s="188">
        <v>0</v>
      </c>
      <c r="J332" s="188">
        <v>0</v>
      </c>
      <c r="K332" s="188">
        <v>0</v>
      </c>
      <c r="L332" s="188">
        <v>0</v>
      </c>
      <c r="M332" s="188">
        <v>1</v>
      </c>
      <c r="N332" s="188">
        <v>0</v>
      </c>
      <c r="O332" s="188">
        <v>0</v>
      </c>
      <c r="P332" s="188">
        <v>1</v>
      </c>
      <c r="Q332" s="188">
        <v>1</v>
      </c>
      <c r="R332" s="188">
        <v>0</v>
      </c>
      <c r="S332" s="188">
        <v>0</v>
      </c>
      <c r="T332" s="188">
        <v>0</v>
      </c>
      <c r="U332" s="188">
        <v>1</v>
      </c>
      <c r="V332" s="188">
        <v>1</v>
      </c>
      <c r="W332" s="188">
        <v>1</v>
      </c>
      <c r="X332" s="188">
        <v>0</v>
      </c>
      <c r="Y332" s="188">
        <v>1</v>
      </c>
      <c r="Z332" s="188">
        <v>1</v>
      </c>
      <c r="AA332" s="188">
        <v>1</v>
      </c>
      <c r="AB332" s="188">
        <v>0</v>
      </c>
      <c r="AC332" s="188">
        <v>0</v>
      </c>
      <c r="AD332" s="188">
        <v>1</v>
      </c>
      <c r="AE332" s="188">
        <v>1</v>
      </c>
      <c r="AF332" s="191">
        <v>0.1</v>
      </c>
      <c r="AG332" s="183">
        <v>12</v>
      </c>
    </row>
    <row r="333" spans="1:41" ht="15" customHeight="1" x14ac:dyDescent="0.2">
      <c r="A333" s="141" t="s">
        <v>313</v>
      </c>
      <c r="B333" s="187" t="s">
        <v>1759</v>
      </c>
      <c r="C333" s="141">
        <v>2015</v>
      </c>
      <c r="D333" s="188">
        <v>46</v>
      </c>
      <c r="E333" s="135">
        <v>6003</v>
      </c>
      <c r="F333" s="189" t="s">
        <v>288</v>
      </c>
      <c r="G333" s="188">
        <v>0</v>
      </c>
      <c r="H333" s="188">
        <v>0</v>
      </c>
      <c r="I333" s="188">
        <v>0</v>
      </c>
      <c r="J333" s="188">
        <v>0</v>
      </c>
      <c r="K333" s="188">
        <v>0</v>
      </c>
      <c r="L333" s="188">
        <v>0</v>
      </c>
      <c r="M333" s="188">
        <v>0</v>
      </c>
      <c r="N333" s="188">
        <v>0</v>
      </c>
      <c r="O333" s="188">
        <v>0</v>
      </c>
      <c r="P333" s="188">
        <v>1</v>
      </c>
      <c r="Q333" s="188">
        <v>0</v>
      </c>
      <c r="R333" s="188">
        <v>1</v>
      </c>
      <c r="S333" s="188">
        <v>0</v>
      </c>
      <c r="T333" s="188">
        <v>0</v>
      </c>
      <c r="U333" s="188">
        <v>0</v>
      </c>
      <c r="V333" s="188">
        <v>0</v>
      </c>
      <c r="W333" s="188">
        <v>0</v>
      </c>
      <c r="X333" s="188">
        <v>0</v>
      </c>
      <c r="Y333" s="188">
        <v>0</v>
      </c>
      <c r="Z333" s="188">
        <v>0</v>
      </c>
      <c r="AA333" s="188">
        <v>0</v>
      </c>
      <c r="AB333" s="188">
        <v>0</v>
      </c>
      <c r="AC333" s="188">
        <v>0</v>
      </c>
      <c r="AD333" s="188">
        <v>0</v>
      </c>
      <c r="AE333" s="188">
        <v>0</v>
      </c>
      <c r="AF333" s="190">
        <v>0.1</v>
      </c>
      <c r="AG333" s="183">
        <v>2</v>
      </c>
    </row>
    <row r="334" spans="1:41" ht="15" customHeight="1" x14ac:dyDescent="0.2">
      <c r="A334" s="141" t="s">
        <v>313</v>
      </c>
      <c r="B334" s="187" t="s">
        <v>1759</v>
      </c>
      <c r="C334" s="141">
        <v>2015</v>
      </c>
      <c r="D334" s="188">
        <v>46</v>
      </c>
      <c r="E334" s="135">
        <v>2359</v>
      </c>
      <c r="F334" s="192" t="s">
        <v>665</v>
      </c>
      <c r="G334" s="188">
        <v>1</v>
      </c>
      <c r="H334" s="188">
        <v>1</v>
      </c>
      <c r="I334" s="188">
        <v>0</v>
      </c>
      <c r="J334" s="188">
        <v>1</v>
      </c>
      <c r="K334" s="188">
        <v>1</v>
      </c>
      <c r="L334" s="188">
        <v>1</v>
      </c>
      <c r="M334" s="188">
        <v>1</v>
      </c>
      <c r="N334" s="188">
        <v>1</v>
      </c>
      <c r="O334" s="188">
        <v>1</v>
      </c>
      <c r="P334" s="188">
        <v>1</v>
      </c>
      <c r="Q334" s="188">
        <v>0</v>
      </c>
      <c r="R334" s="188">
        <v>1</v>
      </c>
      <c r="S334" s="188">
        <v>1</v>
      </c>
      <c r="T334" s="188">
        <v>1</v>
      </c>
      <c r="U334" s="188">
        <v>0</v>
      </c>
      <c r="V334" s="188">
        <v>1</v>
      </c>
      <c r="W334" s="188">
        <v>1</v>
      </c>
      <c r="X334" s="188">
        <v>1</v>
      </c>
      <c r="Y334" s="188">
        <v>1</v>
      </c>
      <c r="Z334" s="188">
        <v>0</v>
      </c>
      <c r="AA334" s="188">
        <v>0</v>
      </c>
      <c r="AB334" s="188">
        <v>1</v>
      </c>
      <c r="AC334" s="188">
        <v>1</v>
      </c>
      <c r="AD334" s="188">
        <v>1</v>
      </c>
      <c r="AE334" s="188">
        <v>1</v>
      </c>
      <c r="AF334" s="190">
        <v>0.1</v>
      </c>
      <c r="AG334" s="183">
        <v>20</v>
      </c>
    </row>
    <row r="335" spans="1:41" ht="15" customHeight="1" x14ac:dyDescent="0.2">
      <c r="A335" s="141" t="s">
        <v>313</v>
      </c>
      <c r="B335" s="187" t="s">
        <v>1759</v>
      </c>
      <c r="C335" s="141">
        <v>2015</v>
      </c>
      <c r="D335" s="188">
        <v>46</v>
      </c>
      <c r="E335" s="135">
        <v>2360</v>
      </c>
      <c r="F335" s="189" t="s">
        <v>664</v>
      </c>
      <c r="G335" s="188">
        <v>0</v>
      </c>
      <c r="H335" s="188">
        <v>0</v>
      </c>
      <c r="I335" s="188">
        <v>0</v>
      </c>
      <c r="J335" s="188">
        <v>0</v>
      </c>
      <c r="K335" s="188">
        <v>0</v>
      </c>
      <c r="L335" s="188">
        <v>0</v>
      </c>
      <c r="M335" s="188">
        <v>0</v>
      </c>
      <c r="N335" s="188">
        <v>1</v>
      </c>
      <c r="O335" s="188">
        <v>0</v>
      </c>
      <c r="P335" s="188">
        <v>0</v>
      </c>
      <c r="Q335" s="188">
        <v>0</v>
      </c>
      <c r="R335" s="188">
        <v>0</v>
      </c>
      <c r="S335" s="188">
        <v>0</v>
      </c>
      <c r="T335" s="188">
        <v>0</v>
      </c>
      <c r="U335" s="188">
        <v>0</v>
      </c>
      <c r="V335" s="188">
        <v>0</v>
      </c>
      <c r="W335" s="188">
        <v>0</v>
      </c>
      <c r="X335" s="188">
        <v>0</v>
      </c>
      <c r="Y335" s="188">
        <v>0</v>
      </c>
      <c r="Z335" s="188">
        <v>1</v>
      </c>
      <c r="AA335" s="188">
        <v>0</v>
      </c>
      <c r="AB335" s="188">
        <v>0</v>
      </c>
      <c r="AC335" s="188">
        <v>0</v>
      </c>
      <c r="AD335" s="188">
        <v>0</v>
      </c>
      <c r="AE335" s="188">
        <v>0</v>
      </c>
      <c r="AF335" s="191">
        <v>0.1</v>
      </c>
      <c r="AG335" s="183">
        <v>2</v>
      </c>
    </row>
    <row r="336" spans="1:41" ht="15" customHeight="1" x14ac:dyDescent="0.2">
      <c r="A336" s="141" t="s">
        <v>313</v>
      </c>
      <c r="B336" s="187" t="s">
        <v>1759</v>
      </c>
      <c r="C336" s="141">
        <v>2015</v>
      </c>
      <c r="D336" s="188">
        <v>46</v>
      </c>
      <c r="E336" s="135">
        <v>2362</v>
      </c>
      <c r="F336" s="189" t="s">
        <v>663</v>
      </c>
      <c r="G336" s="188">
        <v>1</v>
      </c>
      <c r="H336" s="188">
        <v>1</v>
      </c>
      <c r="I336" s="188">
        <v>1</v>
      </c>
      <c r="J336" s="188">
        <v>1</v>
      </c>
      <c r="K336" s="188">
        <v>1</v>
      </c>
      <c r="L336" s="188">
        <v>1</v>
      </c>
      <c r="M336" s="188">
        <v>1</v>
      </c>
      <c r="N336" s="188">
        <v>1</v>
      </c>
      <c r="O336" s="188">
        <v>1</v>
      </c>
      <c r="P336" s="188">
        <v>1</v>
      </c>
      <c r="Q336" s="188">
        <v>1</v>
      </c>
      <c r="R336" s="188">
        <v>1</v>
      </c>
      <c r="S336" s="188">
        <v>1</v>
      </c>
      <c r="T336" s="188">
        <v>1</v>
      </c>
      <c r="U336" s="188">
        <v>0</v>
      </c>
      <c r="V336" s="188">
        <v>0</v>
      </c>
      <c r="W336" s="188">
        <v>1</v>
      </c>
      <c r="X336" s="188">
        <v>1</v>
      </c>
      <c r="Y336" s="188">
        <v>1</v>
      </c>
      <c r="Z336" s="188">
        <v>0</v>
      </c>
      <c r="AA336" s="188">
        <v>0</v>
      </c>
      <c r="AB336" s="188">
        <v>0</v>
      </c>
      <c r="AC336" s="188">
        <v>1</v>
      </c>
      <c r="AD336" s="188">
        <v>0</v>
      </c>
      <c r="AE336" s="188">
        <v>0</v>
      </c>
      <c r="AF336" s="190">
        <v>1</v>
      </c>
      <c r="AG336" s="183">
        <v>18</v>
      </c>
    </row>
    <row r="337" spans="1:41" ht="15" customHeight="1" x14ac:dyDescent="0.2">
      <c r="A337" s="141" t="s">
        <v>313</v>
      </c>
      <c r="B337" s="187" t="s">
        <v>1759</v>
      </c>
      <c r="C337" s="141">
        <v>2015</v>
      </c>
      <c r="D337" s="188">
        <v>46</v>
      </c>
      <c r="E337" s="135">
        <v>2362</v>
      </c>
      <c r="F337" s="189" t="s">
        <v>663</v>
      </c>
      <c r="G337" s="188">
        <v>0</v>
      </c>
      <c r="H337" s="188">
        <v>0</v>
      </c>
      <c r="I337" s="188">
        <v>0</v>
      </c>
      <c r="J337" s="188">
        <v>0</v>
      </c>
      <c r="K337" s="188">
        <v>0</v>
      </c>
      <c r="L337" s="188">
        <v>0</v>
      </c>
      <c r="M337" s="188">
        <v>0</v>
      </c>
      <c r="N337" s="188">
        <v>0</v>
      </c>
      <c r="O337" s="188">
        <v>0</v>
      </c>
      <c r="P337" s="188">
        <v>0</v>
      </c>
      <c r="Q337" s="188">
        <v>0</v>
      </c>
      <c r="R337" s="188">
        <v>0</v>
      </c>
      <c r="S337" s="188">
        <v>0</v>
      </c>
      <c r="T337" s="188">
        <v>0</v>
      </c>
      <c r="U337" s="188">
        <v>0</v>
      </c>
      <c r="V337" s="188">
        <v>0</v>
      </c>
      <c r="W337" s="188">
        <v>0</v>
      </c>
      <c r="X337" s="188">
        <v>0</v>
      </c>
      <c r="Y337" s="188">
        <v>0</v>
      </c>
      <c r="Z337" s="188">
        <v>0</v>
      </c>
      <c r="AA337" s="188">
        <v>1</v>
      </c>
      <c r="AB337" s="188">
        <v>0</v>
      </c>
      <c r="AC337" s="188">
        <v>0</v>
      </c>
      <c r="AD337" s="188">
        <v>0</v>
      </c>
      <c r="AE337" s="188">
        <v>1</v>
      </c>
      <c r="AF337" s="190">
        <v>0.1</v>
      </c>
      <c r="AG337" s="183">
        <v>2</v>
      </c>
      <c r="AL337" s="5" t="s">
        <v>1671</v>
      </c>
      <c r="AO337" s="5" t="s">
        <v>1671</v>
      </c>
    </row>
    <row r="338" spans="1:41" ht="15" customHeight="1" x14ac:dyDescent="0.2">
      <c r="A338" s="141" t="s">
        <v>313</v>
      </c>
      <c r="B338" s="187" t="s">
        <v>1759</v>
      </c>
      <c r="C338" s="141">
        <v>2015</v>
      </c>
      <c r="D338" s="188">
        <v>46</v>
      </c>
      <c r="E338" s="135">
        <v>2366</v>
      </c>
      <c r="F338" s="192" t="s">
        <v>660</v>
      </c>
      <c r="G338" s="188">
        <v>1</v>
      </c>
      <c r="H338" s="188">
        <v>1</v>
      </c>
      <c r="I338" s="188">
        <v>0</v>
      </c>
      <c r="J338" s="188">
        <v>1</v>
      </c>
      <c r="K338" s="188">
        <v>1</v>
      </c>
      <c r="L338" s="188">
        <v>0</v>
      </c>
      <c r="M338" s="188">
        <v>1</v>
      </c>
      <c r="N338" s="188">
        <v>0</v>
      </c>
      <c r="O338" s="188">
        <v>0</v>
      </c>
      <c r="P338" s="188">
        <v>1</v>
      </c>
      <c r="Q338" s="188">
        <v>0</v>
      </c>
      <c r="R338" s="188">
        <v>0</v>
      </c>
      <c r="S338" s="188">
        <v>0</v>
      </c>
      <c r="T338" s="188">
        <v>1</v>
      </c>
      <c r="U338" s="188">
        <v>0</v>
      </c>
      <c r="V338" s="188">
        <v>0</v>
      </c>
      <c r="W338" s="188">
        <v>0</v>
      </c>
      <c r="X338" s="188">
        <v>0</v>
      </c>
      <c r="Y338" s="188">
        <v>0</v>
      </c>
      <c r="Z338" s="188">
        <v>0</v>
      </c>
      <c r="AA338" s="188">
        <v>0</v>
      </c>
      <c r="AB338" s="188">
        <v>0</v>
      </c>
      <c r="AC338" s="188">
        <v>0</v>
      </c>
      <c r="AD338" s="188">
        <v>0</v>
      </c>
      <c r="AE338" s="188">
        <v>0</v>
      </c>
      <c r="AF338" s="191">
        <v>0.1</v>
      </c>
      <c r="AG338" s="183">
        <v>7</v>
      </c>
    </row>
    <row r="339" spans="1:41" ht="15" customHeight="1" x14ac:dyDescent="0.2">
      <c r="A339" s="141" t="s">
        <v>313</v>
      </c>
      <c r="B339" s="187" t="s">
        <v>1759</v>
      </c>
      <c r="C339" s="141">
        <v>2015</v>
      </c>
      <c r="D339" s="188">
        <v>46</v>
      </c>
      <c r="E339" s="135" t="e">
        <v>#N/A</v>
      </c>
      <c r="F339" s="192" t="s">
        <v>1767</v>
      </c>
      <c r="G339" s="188">
        <v>1</v>
      </c>
      <c r="H339" s="188">
        <v>1</v>
      </c>
      <c r="I339" s="188">
        <v>1</v>
      </c>
      <c r="J339" s="188">
        <v>1</v>
      </c>
      <c r="K339" s="188">
        <v>1</v>
      </c>
      <c r="L339" s="188">
        <v>1</v>
      </c>
      <c r="M339" s="188">
        <v>0</v>
      </c>
      <c r="N339" s="188">
        <v>1</v>
      </c>
      <c r="O339" s="188">
        <v>0</v>
      </c>
      <c r="P339" s="188">
        <v>1</v>
      </c>
      <c r="Q339" s="188">
        <v>1</v>
      </c>
      <c r="R339" s="188">
        <v>1</v>
      </c>
      <c r="S339" s="188">
        <v>1</v>
      </c>
      <c r="T339" s="188">
        <v>1</v>
      </c>
      <c r="U339" s="188">
        <v>1</v>
      </c>
      <c r="V339" s="188">
        <v>0</v>
      </c>
      <c r="W339" s="188">
        <v>1</v>
      </c>
      <c r="X339" s="188">
        <v>1</v>
      </c>
      <c r="Y339" s="188">
        <v>1</v>
      </c>
      <c r="Z339" s="188">
        <v>1</v>
      </c>
      <c r="AA339" s="188">
        <v>1</v>
      </c>
      <c r="AB339" s="188">
        <v>0</v>
      </c>
      <c r="AC339" s="188">
        <v>1</v>
      </c>
      <c r="AD339" s="188">
        <v>1</v>
      </c>
      <c r="AE339" s="188">
        <v>0</v>
      </c>
      <c r="AF339" s="191">
        <v>0.1</v>
      </c>
      <c r="AG339" s="183">
        <v>20</v>
      </c>
      <c r="AH339" s="5" t="s">
        <v>1816</v>
      </c>
      <c r="AI339" s="5" t="s">
        <v>1657</v>
      </c>
      <c r="AJ339" s="5" t="s">
        <v>1659</v>
      </c>
      <c r="AL339" s="5" t="s">
        <v>1434</v>
      </c>
      <c r="AO339" s="5" t="s">
        <v>1434</v>
      </c>
    </row>
    <row r="340" spans="1:41" ht="15" customHeight="1" x14ac:dyDescent="0.2">
      <c r="A340" s="141" t="s">
        <v>313</v>
      </c>
      <c r="B340" s="187" t="s">
        <v>1759</v>
      </c>
      <c r="C340" s="141">
        <v>2015</v>
      </c>
      <c r="D340" s="188">
        <v>46</v>
      </c>
      <c r="E340" s="135">
        <v>2383</v>
      </c>
      <c r="F340" s="192" t="s">
        <v>649</v>
      </c>
      <c r="G340" s="188">
        <v>0</v>
      </c>
      <c r="H340" s="188">
        <v>1</v>
      </c>
      <c r="I340" s="188">
        <v>1</v>
      </c>
      <c r="J340" s="188">
        <v>1</v>
      </c>
      <c r="K340" s="188">
        <v>1</v>
      </c>
      <c r="L340" s="188">
        <v>1</v>
      </c>
      <c r="M340" s="188">
        <v>1</v>
      </c>
      <c r="N340" s="188">
        <v>1</v>
      </c>
      <c r="O340" s="188">
        <v>1</v>
      </c>
      <c r="P340" s="188">
        <v>1</v>
      </c>
      <c r="Q340" s="188">
        <v>0</v>
      </c>
      <c r="R340" s="188">
        <v>0</v>
      </c>
      <c r="S340" s="188">
        <v>0</v>
      </c>
      <c r="T340" s="188">
        <v>0</v>
      </c>
      <c r="U340" s="188">
        <v>0</v>
      </c>
      <c r="V340" s="188">
        <v>1</v>
      </c>
      <c r="W340" s="188">
        <v>1</v>
      </c>
      <c r="X340" s="188">
        <v>1</v>
      </c>
      <c r="Y340" s="188">
        <v>1</v>
      </c>
      <c r="Z340" s="188">
        <v>0</v>
      </c>
      <c r="AA340" s="188">
        <v>1</v>
      </c>
      <c r="AB340" s="188">
        <v>1</v>
      </c>
      <c r="AC340" s="188">
        <v>1</v>
      </c>
      <c r="AD340" s="188">
        <v>0</v>
      </c>
      <c r="AE340" s="188">
        <v>1</v>
      </c>
      <c r="AF340" s="191">
        <v>0.1</v>
      </c>
      <c r="AG340" s="183">
        <v>17</v>
      </c>
      <c r="AH340" s="4" t="s">
        <v>1798</v>
      </c>
      <c r="AI340" s="5" t="s">
        <v>1657</v>
      </c>
      <c r="AL340" s="5" t="s">
        <v>1675</v>
      </c>
      <c r="AO340" s="5" t="s">
        <v>1675</v>
      </c>
    </row>
    <row r="341" spans="1:41" ht="15" customHeight="1" x14ac:dyDescent="0.2">
      <c r="A341" s="141" t="s">
        <v>313</v>
      </c>
      <c r="B341" s="187" t="s">
        <v>1759</v>
      </c>
      <c r="C341" s="141">
        <v>2015</v>
      </c>
      <c r="D341" s="188">
        <v>46</v>
      </c>
      <c r="E341" s="135">
        <v>541</v>
      </c>
      <c r="F341" s="192" t="s">
        <v>1313</v>
      </c>
      <c r="G341" s="188">
        <v>0</v>
      </c>
      <c r="H341" s="188">
        <v>1</v>
      </c>
      <c r="I341" s="188">
        <v>1</v>
      </c>
      <c r="J341" s="188">
        <v>1</v>
      </c>
      <c r="K341" s="188">
        <v>1</v>
      </c>
      <c r="L341" s="188">
        <v>0</v>
      </c>
      <c r="M341" s="188">
        <v>0</v>
      </c>
      <c r="N341" s="188">
        <v>1</v>
      </c>
      <c r="O341" s="188">
        <v>1</v>
      </c>
      <c r="P341" s="188">
        <v>1</v>
      </c>
      <c r="Q341" s="188">
        <v>1</v>
      </c>
      <c r="R341" s="188">
        <v>1</v>
      </c>
      <c r="S341" s="188">
        <v>1</v>
      </c>
      <c r="T341" s="188">
        <v>1</v>
      </c>
      <c r="U341" s="188">
        <v>1</v>
      </c>
      <c r="V341" s="188">
        <v>1</v>
      </c>
      <c r="W341" s="188">
        <v>1</v>
      </c>
      <c r="X341" s="188">
        <v>0</v>
      </c>
      <c r="Y341" s="188">
        <v>0</v>
      </c>
      <c r="Z341" s="188">
        <v>1</v>
      </c>
      <c r="AA341" s="188">
        <v>0</v>
      </c>
      <c r="AB341" s="188">
        <v>1</v>
      </c>
      <c r="AC341" s="188">
        <v>0</v>
      </c>
      <c r="AD341" s="188">
        <v>0</v>
      </c>
      <c r="AE341" s="188">
        <v>0</v>
      </c>
      <c r="AF341" s="191">
        <v>5</v>
      </c>
      <c r="AG341" s="183">
        <v>16</v>
      </c>
    </row>
    <row r="342" spans="1:41" ht="15" customHeight="1" x14ac:dyDescent="0.2">
      <c r="A342" s="141" t="s">
        <v>313</v>
      </c>
      <c r="B342" s="187" t="s">
        <v>1759</v>
      </c>
      <c r="C342" s="141">
        <v>2015</v>
      </c>
      <c r="D342" s="188">
        <v>46</v>
      </c>
      <c r="E342" s="135">
        <v>2695</v>
      </c>
      <c r="F342" s="192" t="s">
        <v>569</v>
      </c>
      <c r="G342" s="188">
        <v>1</v>
      </c>
      <c r="H342" s="188">
        <v>0</v>
      </c>
      <c r="I342" s="188">
        <v>0</v>
      </c>
      <c r="J342" s="188">
        <v>0</v>
      </c>
      <c r="K342" s="188">
        <v>0</v>
      </c>
      <c r="L342" s="188">
        <v>0</v>
      </c>
      <c r="M342" s="188">
        <v>0</v>
      </c>
      <c r="N342" s="188">
        <v>0</v>
      </c>
      <c r="O342" s="188">
        <v>0</v>
      </c>
      <c r="P342" s="188">
        <v>0</v>
      </c>
      <c r="Q342" s="188">
        <v>0</v>
      </c>
      <c r="R342" s="188">
        <v>0</v>
      </c>
      <c r="S342" s="188">
        <v>0</v>
      </c>
      <c r="T342" s="188">
        <v>0</v>
      </c>
      <c r="U342" s="188">
        <v>0</v>
      </c>
      <c r="V342" s="188">
        <v>0</v>
      </c>
      <c r="W342" s="188">
        <v>0</v>
      </c>
      <c r="X342" s="188">
        <v>0</v>
      </c>
      <c r="Y342" s="188">
        <v>0</v>
      </c>
      <c r="Z342" s="188">
        <v>0</v>
      </c>
      <c r="AA342" s="188">
        <v>0</v>
      </c>
      <c r="AB342" s="188">
        <v>0</v>
      </c>
      <c r="AC342" s="188">
        <v>0</v>
      </c>
      <c r="AD342" s="188">
        <v>0</v>
      </c>
      <c r="AE342" s="188">
        <v>0</v>
      </c>
      <c r="AF342" s="191"/>
      <c r="AG342" s="183">
        <v>1</v>
      </c>
      <c r="AH342" s="5" t="s">
        <v>1863</v>
      </c>
      <c r="AI342" s="5" t="s">
        <v>1467</v>
      </c>
      <c r="AL342" s="5" t="s">
        <v>1432</v>
      </c>
      <c r="AM342" s="5" t="s">
        <v>1673</v>
      </c>
      <c r="AN342" s="5" t="s">
        <v>1676</v>
      </c>
      <c r="AO342" s="5" t="s">
        <v>1676</v>
      </c>
    </row>
    <row r="343" spans="1:41" ht="15" customHeight="1" x14ac:dyDescent="0.2">
      <c r="A343" s="141" t="s">
        <v>313</v>
      </c>
      <c r="B343" s="187" t="s">
        <v>1759</v>
      </c>
      <c r="C343" s="141">
        <v>2015</v>
      </c>
      <c r="D343" s="188">
        <v>46</v>
      </c>
      <c r="E343" s="135" t="e">
        <v>#N/A</v>
      </c>
      <c r="F343" s="189" t="s">
        <v>1773</v>
      </c>
      <c r="G343" s="188">
        <v>0</v>
      </c>
      <c r="H343" s="188">
        <v>1</v>
      </c>
      <c r="I343" s="188">
        <v>0</v>
      </c>
      <c r="J343" s="188">
        <v>0</v>
      </c>
      <c r="K343" s="188">
        <v>0</v>
      </c>
      <c r="L343" s="188">
        <v>0</v>
      </c>
      <c r="M343" s="188">
        <v>1</v>
      </c>
      <c r="N343" s="188">
        <v>1</v>
      </c>
      <c r="O343" s="188">
        <v>0</v>
      </c>
      <c r="P343" s="188">
        <v>0</v>
      </c>
      <c r="Q343" s="188">
        <v>0</v>
      </c>
      <c r="R343" s="188">
        <v>0</v>
      </c>
      <c r="S343" s="188">
        <v>1</v>
      </c>
      <c r="T343" s="188">
        <v>1</v>
      </c>
      <c r="U343" s="188">
        <v>1</v>
      </c>
      <c r="V343" s="188">
        <v>0</v>
      </c>
      <c r="W343" s="188">
        <v>1</v>
      </c>
      <c r="X343" s="188">
        <v>1</v>
      </c>
      <c r="Y343" s="188">
        <v>0</v>
      </c>
      <c r="Z343" s="188">
        <v>0</v>
      </c>
      <c r="AA343" s="188">
        <v>0</v>
      </c>
      <c r="AB343" s="188">
        <v>1</v>
      </c>
      <c r="AC343" s="188">
        <v>0</v>
      </c>
      <c r="AD343" s="188">
        <v>0</v>
      </c>
      <c r="AE343" s="188">
        <v>0</v>
      </c>
      <c r="AF343" s="191">
        <v>0.1</v>
      </c>
      <c r="AG343" s="183">
        <v>9</v>
      </c>
      <c r="AI343" s="5" t="s">
        <v>1656</v>
      </c>
      <c r="AL343" s="5" t="s">
        <v>1434</v>
      </c>
      <c r="AO343" s="5" t="s">
        <v>1434</v>
      </c>
    </row>
    <row r="344" spans="1:41" ht="15" customHeight="1" x14ac:dyDescent="0.2">
      <c r="A344" s="141" t="s">
        <v>313</v>
      </c>
      <c r="B344" s="187" t="s">
        <v>1759</v>
      </c>
      <c r="C344" s="141">
        <v>2015</v>
      </c>
      <c r="D344" s="188">
        <v>46</v>
      </c>
      <c r="E344" s="135">
        <v>1894</v>
      </c>
      <c r="F344" s="192" t="s">
        <v>795</v>
      </c>
      <c r="G344" s="188">
        <v>1</v>
      </c>
      <c r="H344" s="188">
        <v>1</v>
      </c>
      <c r="I344" s="188">
        <v>1</v>
      </c>
      <c r="J344" s="188">
        <v>0</v>
      </c>
      <c r="K344" s="188">
        <v>1</v>
      </c>
      <c r="L344" s="188">
        <v>1</v>
      </c>
      <c r="M344" s="188">
        <v>1</v>
      </c>
      <c r="N344" s="188">
        <v>1</v>
      </c>
      <c r="O344" s="188">
        <v>1</v>
      </c>
      <c r="P344" s="188">
        <v>1</v>
      </c>
      <c r="Q344" s="188">
        <v>1</v>
      </c>
      <c r="R344" s="188">
        <v>1</v>
      </c>
      <c r="S344" s="188">
        <v>0</v>
      </c>
      <c r="T344" s="188">
        <v>0</v>
      </c>
      <c r="U344" s="188">
        <v>1</v>
      </c>
      <c r="V344" s="188">
        <v>1</v>
      </c>
      <c r="W344" s="188">
        <v>1</v>
      </c>
      <c r="X344" s="188">
        <v>0</v>
      </c>
      <c r="Y344" s="188">
        <v>0</v>
      </c>
      <c r="Z344" s="188">
        <v>1</v>
      </c>
      <c r="AA344" s="188">
        <v>0</v>
      </c>
      <c r="AB344" s="188">
        <v>0</v>
      </c>
      <c r="AC344" s="188">
        <v>0</v>
      </c>
      <c r="AD344" s="188">
        <v>1</v>
      </c>
      <c r="AE344" s="188">
        <v>1</v>
      </c>
      <c r="AF344" s="190">
        <v>0.1</v>
      </c>
      <c r="AG344" s="183">
        <v>17</v>
      </c>
      <c r="AL344" s="5" t="s">
        <v>1671</v>
      </c>
      <c r="AO344" s="5" t="s">
        <v>1671</v>
      </c>
    </row>
    <row r="345" spans="1:41" ht="15" customHeight="1" x14ac:dyDescent="0.2">
      <c r="A345" s="141" t="s">
        <v>313</v>
      </c>
      <c r="B345" s="187" t="s">
        <v>1759</v>
      </c>
      <c r="C345" s="141">
        <v>2015</v>
      </c>
      <c r="D345" s="188">
        <v>46</v>
      </c>
      <c r="E345" s="135" t="e">
        <v>#N/A</v>
      </c>
      <c r="F345" s="192" t="s">
        <v>1772</v>
      </c>
      <c r="G345" s="188">
        <v>0</v>
      </c>
      <c r="H345" s="188">
        <v>1</v>
      </c>
      <c r="I345" s="188">
        <v>0</v>
      </c>
      <c r="J345" s="188">
        <v>1</v>
      </c>
      <c r="K345" s="188">
        <v>1</v>
      </c>
      <c r="L345" s="188">
        <v>0</v>
      </c>
      <c r="M345" s="188">
        <v>1</v>
      </c>
      <c r="N345" s="188">
        <v>1</v>
      </c>
      <c r="O345" s="188">
        <v>1</v>
      </c>
      <c r="P345" s="188">
        <v>0</v>
      </c>
      <c r="Q345" s="188">
        <v>0</v>
      </c>
      <c r="R345" s="188">
        <v>0</v>
      </c>
      <c r="S345" s="188">
        <v>0</v>
      </c>
      <c r="T345" s="188">
        <v>0</v>
      </c>
      <c r="U345" s="188">
        <v>0</v>
      </c>
      <c r="V345" s="188">
        <v>0</v>
      </c>
      <c r="W345" s="188">
        <v>0</v>
      </c>
      <c r="X345" s="188">
        <v>0</v>
      </c>
      <c r="Y345" s="188">
        <v>0</v>
      </c>
      <c r="Z345" s="188">
        <v>1</v>
      </c>
      <c r="AA345" s="188">
        <v>1</v>
      </c>
      <c r="AB345" s="188">
        <v>0</v>
      </c>
      <c r="AC345" s="188">
        <v>0</v>
      </c>
      <c r="AD345" s="188">
        <v>0</v>
      </c>
      <c r="AE345" s="188">
        <v>1</v>
      </c>
      <c r="AF345" s="190">
        <v>4</v>
      </c>
      <c r="AG345" s="183">
        <v>9</v>
      </c>
      <c r="AL345" s="5" t="s">
        <v>1434</v>
      </c>
      <c r="AO345" s="5" t="s">
        <v>1434</v>
      </c>
    </row>
    <row r="346" spans="1:41" ht="15" customHeight="1" x14ac:dyDescent="0.2">
      <c r="A346" s="141" t="s">
        <v>313</v>
      </c>
      <c r="B346" s="187" t="s">
        <v>1759</v>
      </c>
      <c r="C346" s="141">
        <v>2015</v>
      </c>
      <c r="D346" s="188">
        <v>48</v>
      </c>
      <c r="E346" s="135">
        <v>278</v>
      </c>
      <c r="F346" s="189" t="s">
        <v>132</v>
      </c>
      <c r="G346" s="188">
        <v>1</v>
      </c>
      <c r="H346" s="188">
        <v>1</v>
      </c>
      <c r="I346" s="188">
        <v>1</v>
      </c>
      <c r="J346" s="188">
        <v>1</v>
      </c>
      <c r="K346" s="188">
        <v>1</v>
      </c>
      <c r="L346" s="188">
        <v>1</v>
      </c>
      <c r="M346" s="188">
        <v>1</v>
      </c>
      <c r="N346" s="188">
        <v>1</v>
      </c>
      <c r="O346" s="188">
        <v>1</v>
      </c>
      <c r="P346" s="188">
        <v>1</v>
      </c>
      <c r="Q346" s="188">
        <v>1</v>
      </c>
      <c r="R346" s="188">
        <v>1</v>
      </c>
      <c r="S346" s="188">
        <v>1</v>
      </c>
      <c r="T346" s="188">
        <v>1</v>
      </c>
      <c r="U346" s="188">
        <v>1</v>
      </c>
      <c r="V346" s="188">
        <v>1</v>
      </c>
      <c r="W346" s="188">
        <v>1</v>
      </c>
      <c r="X346" s="188">
        <v>1</v>
      </c>
      <c r="Y346" s="188">
        <v>1</v>
      </c>
      <c r="Z346" s="188">
        <v>1</v>
      </c>
      <c r="AA346" s="188">
        <v>1</v>
      </c>
      <c r="AB346" s="188">
        <v>1</v>
      </c>
      <c r="AC346" s="188">
        <v>1</v>
      </c>
      <c r="AD346" s="188">
        <v>1</v>
      </c>
      <c r="AE346" s="188">
        <v>1</v>
      </c>
      <c r="AF346" s="191">
        <v>65</v>
      </c>
      <c r="AG346" s="183">
        <v>25</v>
      </c>
    </row>
    <row r="347" spans="1:41" ht="15" customHeight="1" x14ac:dyDescent="0.2">
      <c r="A347" s="141" t="s">
        <v>313</v>
      </c>
      <c r="B347" s="187" t="s">
        <v>1759</v>
      </c>
      <c r="C347" s="141">
        <v>2015</v>
      </c>
      <c r="D347" s="188">
        <v>48</v>
      </c>
      <c r="E347" s="135">
        <v>1576</v>
      </c>
      <c r="F347" s="189" t="s">
        <v>882</v>
      </c>
      <c r="G347" s="188">
        <v>1</v>
      </c>
      <c r="H347" s="188">
        <v>1</v>
      </c>
      <c r="I347" s="188">
        <v>0</v>
      </c>
      <c r="J347" s="188">
        <v>1</v>
      </c>
      <c r="K347" s="188">
        <v>1</v>
      </c>
      <c r="L347" s="188">
        <v>1</v>
      </c>
      <c r="M347" s="188">
        <v>1</v>
      </c>
      <c r="N347" s="188">
        <v>1</v>
      </c>
      <c r="O347" s="188">
        <v>1</v>
      </c>
      <c r="P347" s="188">
        <v>0</v>
      </c>
      <c r="Q347" s="188">
        <v>1</v>
      </c>
      <c r="R347" s="188">
        <v>1</v>
      </c>
      <c r="S347" s="188">
        <v>1</v>
      </c>
      <c r="T347" s="188">
        <v>1</v>
      </c>
      <c r="U347" s="188">
        <v>1</v>
      </c>
      <c r="V347" s="188">
        <v>1</v>
      </c>
      <c r="W347" s="188">
        <v>1</v>
      </c>
      <c r="X347" s="188">
        <v>1</v>
      </c>
      <c r="Y347" s="188">
        <v>1</v>
      </c>
      <c r="Z347" s="188">
        <v>1</v>
      </c>
      <c r="AA347" s="188">
        <v>1</v>
      </c>
      <c r="AB347" s="188">
        <v>1</v>
      </c>
      <c r="AC347" s="188">
        <v>1</v>
      </c>
      <c r="AD347" s="188">
        <v>1</v>
      </c>
      <c r="AE347" s="188">
        <v>1</v>
      </c>
      <c r="AF347" s="190">
        <v>50</v>
      </c>
      <c r="AG347" s="183">
        <v>23</v>
      </c>
    </row>
    <row r="348" spans="1:41" ht="15" customHeight="1" x14ac:dyDescent="0.2">
      <c r="A348" s="141" t="s">
        <v>313</v>
      </c>
      <c r="B348" s="187" t="s">
        <v>1759</v>
      </c>
      <c r="C348" s="141">
        <v>2015</v>
      </c>
      <c r="D348" s="188">
        <v>48</v>
      </c>
      <c r="E348" s="135">
        <v>2694</v>
      </c>
      <c r="F348" s="192" t="s">
        <v>570</v>
      </c>
      <c r="G348" s="188"/>
      <c r="H348" s="188"/>
      <c r="I348" s="188"/>
      <c r="J348" s="188"/>
      <c r="K348" s="188"/>
      <c r="L348" s="188"/>
      <c r="M348" s="188"/>
      <c r="N348" s="188"/>
      <c r="O348" s="188"/>
      <c r="P348" s="188"/>
      <c r="Q348" s="188"/>
      <c r="R348" s="188"/>
      <c r="S348" s="188"/>
      <c r="T348" s="188"/>
      <c r="U348" s="188"/>
      <c r="V348" s="188"/>
      <c r="W348" s="188"/>
      <c r="X348" s="188"/>
      <c r="Y348" s="188"/>
      <c r="Z348" s="188"/>
      <c r="AA348" s="188"/>
      <c r="AB348" s="188"/>
      <c r="AC348" s="188"/>
      <c r="AD348" s="188"/>
      <c r="AE348" s="188"/>
      <c r="AF348" s="191">
        <v>0.1</v>
      </c>
      <c r="AG348" s="183">
        <v>0</v>
      </c>
      <c r="AH348" s="5" t="s">
        <v>1856</v>
      </c>
      <c r="AI348" s="5" t="s">
        <v>1652</v>
      </c>
      <c r="AL348" s="5" t="s">
        <v>1676</v>
      </c>
      <c r="AM348" s="5" t="s">
        <v>1672</v>
      </c>
      <c r="AO348" s="5" t="s">
        <v>1676</v>
      </c>
    </row>
    <row r="349" spans="1:41" ht="15" customHeight="1" x14ac:dyDescent="0.2">
      <c r="A349" s="141" t="s">
        <v>313</v>
      </c>
      <c r="B349" s="187" t="s">
        <v>1759</v>
      </c>
      <c r="C349" s="141">
        <v>2015</v>
      </c>
      <c r="D349" s="188">
        <v>48</v>
      </c>
      <c r="E349" s="135">
        <v>6003</v>
      </c>
      <c r="F349" s="192" t="s">
        <v>288</v>
      </c>
      <c r="G349" s="188">
        <v>0</v>
      </c>
      <c r="H349" s="188">
        <v>1</v>
      </c>
      <c r="I349" s="188">
        <v>1</v>
      </c>
      <c r="J349" s="188">
        <v>0</v>
      </c>
      <c r="K349" s="188">
        <v>1</v>
      </c>
      <c r="L349" s="188">
        <v>1</v>
      </c>
      <c r="M349" s="188">
        <v>0</v>
      </c>
      <c r="N349" s="188">
        <v>0</v>
      </c>
      <c r="O349" s="188">
        <v>0</v>
      </c>
      <c r="P349" s="188">
        <v>0</v>
      </c>
      <c r="Q349" s="188">
        <v>0</v>
      </c>
      <c r="R349" s="188">
        <v>1</v>
      </c>
      <c r="S349" s="188">
        <v>0</v>
      </c>
      <c r="T349" s="188">
        <v>0</v>
      </c>
      <c r="U349" s="188">
        <v>0</v>
      </c>
      <c r="V349" s="188">
        <v>1</v>
      </c>
      <c r="W349" s="188">
        <v>1</v>
      </c>
      <c r="X349" s="188">
        <v>1</v>
      </c>
      <c r="Y349" s="188">
        <v>1</v>
      </c>
      <c r="Z349" s="188">
        <v>1</v>
      </c>
      <c r="AA349" s="188">
        <v>1</v>
      </c>
      <c r="AB349" s="188">
        <v>1</v>
      </c>
      <c r="AC349" s="188">
        <v>1</v>
      </c>
      <c r="AD349" s="188">
        <v>1</v>
      </c>
      <c r="AE349" s="188">
        <v>1</v>
      </c>
      <c r="AF349" s="191">
        <v>0.1</v>
      </c>
      <c r="AG349" s="183">
        <v>15</v>
      </c>
    </row>
    <row r="350" spans="1:41" ht="15" customHeight="1" x14ac:dyDescent="0.2">
      <c r="A350" s="141" t="s">
        <v>313</v>
      </c>
      <c r="B350" s="187" t="s">
        <v>1759</v>
      </c>
      <c r="C350" s="141">
        <v>2015</v>
      </c>
      <c r="D350" s="188">
        <v>48</v>
      </c>
      <c r="E350" s="135">
        <v>2359</v>
      </c>
      <c r="F350" s="192" t="s">
        <v>665</v>
      </c>
      <c r="G350" s="188">
        <v>1</v>
      </c>
      <c r="H350" s="188">
        <v>1</v>
      </c>
      <c r="I350" s="188">
        <v>1</v>
      </c>
      <c r="J350" s="188">
        <v>1</v>
      </c>
      <c r="K350" s="188">
        <v>1</v>
      </c>
      <c r="L350" s="188">
        <v>1</v>
      </c>
      <c r="M350" s="188">
        <v>1</v>
      </c>
      <c r="N350" s="188">
        <v>1</v>
      </c>
      <c r="O350" s="188">
        <v>1</v>
      </c>
      <c r="P350" s="188">
        <v>0</v>
      </c>
      <c r="Q350" s="188">
        <v>1</v>
      </c>
      <c r="R350" s="188">
        <v>1</v>
      </c>
      <c r="S350" s="188">
        <v>1</v>
      </c>
      <c r="T350" s="188">
        <v>1</v>
      </c>
      <c r="U350" s="188">
        <v>1</v>
      </c>
      <c r="V350" s="188">
        <v>1</v>
      </c>
      <c r="W350" s="188">
        <v>1</v>
      </c>
      <c r="X350" s="188">
        <v>1</v>
      </c>
      <c r="Y350" s="188">
        <v>0</v>
      </c>
      <c r="Z350" s="188">
        <v>1</v>
      </c>
      <c r="AA350" s="188">
        <v>1</v>
      </c>
      <c r="AB350" s="188">
        <v>1</v>
      </c>
      <c r="AC350" s="188">
        <v>1</v>
      </c>
      <c r="AD350" s="188">
        <v>0</v>
      </c>
      <c r="AE350" s="188">
        <v>1</v>
      </c>
      <c r="AF350" s="191">
        <v>0.5</v>
      </c>
      <c r="AG350" s="183">
        <v>22</v>
      </c>
    </row>
    <row r="351" spans="1:41" ht="15" customHeight="1" x14ac:dyDescent="0.2">
      <c r="A351" s="141" t="s">
        <v>313</v>
      </c>
      <c r="B351" s="187" t="s">
        <v>1759</v>
      </c>
      <c r="C351" s="141">
        <v>2015</v>
      </c>
      <c r="D351" s="188">
        <v>48</v>
      </c>
      <c r="E351" s="135">
        <v>2362</v>
      </c>
      <c r="F351" s="189" t="s">
        <v>663</v>
      </c>
      <c r="G351" s="188">
        <v>1</v>
      </c>
      <c r="H351" s="188">
        <v>1</v>
      </c>
      <c r="I351" s="188">
        <v>1</v>
      </c>
      <c r="J351" s="188">
        <v>1</v>
      </c>
      <c r="K351" s="188">
        <v>1</v>
      </c>
      <c r="L351" s="188">
        <v>1</v>
      </c>
      <c r="M351" s="188">
        <v>1</v>
      </c>
      <c r="N351" s="188">
        <v>0</v>
      </c>
      <c r="O351" s="188">
        <v>0</v>
      </c>
      <c r="P351" s="188">
        <v>0</v>
      </c>
      <c r="Q351" s="188">
        <v>1</v>
      </c>
      <c r="R351" s="188">
        <v>0</v>
      </c>
      <c r="S351" s="188">
        <v>0</v>
      </c>
      <c r="T351" s="188">
        <v>1</v>
      </c>
      <c r="U351" s="188">
        <v>1</v>
      </c>
      <c r="V351" s="188">
        <v>1</v>
      </c>
      <c r="W351" s="188">
        <v>1</v>
      </c>
      <c r="X351" s="188">
        <v>1</v>
      </c>
      <c r="Y351" s="188">
        <v>1</v>
      </c>
      <c r="Z351" s="188">
        <v>1</v>
      </c>
      <c r="AA351" s="188">
        <v>1</v>
      </c>
      <c r="AB351" s="188">
        <v>1</v>
      </c>
      <c r="AC351" s="188">
        <v>1</v>
      </c>
      <c r="AD351" s="188">
        <v>1</v>
      </c>
      <c r="AE351" s="188">
        <v>1</v>
      </c>
      <c r="AF351" s="191">
        <v>0.5</v>
      </c>
      <c r="AG351" s="183">
        <v>20</v>
      </c>
    </row>
    <row r="352" spans="1:41" ht="15" customHeight="1" x14ac:dyDescent="0.2">
      <c r="A352" s="141" t="s">
        <v>313</v>
      </c>
      <c r="B352" s="187" t="s">
        <v>1759</v>
      </c>
      <c r="C352" s="141">
        <v>2015</v>
      </c>
      <c r="D352" s="188">
        <v>48</v>
      </c>
      <c r="E352" s="135">
        <v>2366</v>
      </c>
      <c r="F352" s="192" t="s">
        <v>660</v>
      </c>
      <c r="G352" s="188">
        <v>0</v>
      </c>
      <c r="H352" s="188">
        <v>0</v>
      </c>
      <c r="I352" s="188">
        <v>0</v>
      </c>
      <c r="J352" s="188">
        <v>1</v>
      </c>
      <c r="K352" s="188">
        <v>0</v>
      </c>
      <c r="L352" s="188">
        <v>0</v>
      </c>
      <c r="M352" s="188">
        <v>0</v>
      </c>
      <c r="N352" s="188">
        <v>1</v>
      </c>
      <c r="O352" s="188">
        <v>1</v>
      </c>
      <c r="P352" s="188">
        <v>0</v>
      </c>
      <c r="Q352" s="188">
        <v>1</v>
      </c>
      <c r="R352" s="188">
        <v>0</v>
      </c>
      <c r="S352" s="188">
        <v>0</v>
      </c>
      <c r="T352" s="188">
        <v>0</v>
      </c>
      <c r="U352" s="188">
        <v>0</v>
      </c>
      <c r="V352" s="188">
        <v>0</v>
      </c>
      <c r="W352" s="188">
        <v>0</v>
      </c>
      <c r="X352" s="188">
        <v>0</v>
      </c>
      <c r="Y352" s="188">
        <v>0</v>
      </c>
      <c r="Z352" s="188">
        <v>0</v>
      </c>
      <c r="AA352" s="188">
        <v>0</v>
      </c>
      <c r="AB352" s="188">
        <v>0</v>
      </c>
      <c r="AC352" s="188">
        <v>0</v>
      </c>
      <c r="AD352" s="188">
        <v>1</v>
      </c>
      <c r="AE352" s="188">
        <v>0</v>
      </c>
      <c r="AF352" s="190">
        <v>0.1</v>
      </c>
      <c r="AG352" s="183">
        <v>5</v>
      </c>
    </row>
    <row r="353" spans="1:41" ht="15" customHeight="1" x14ac:dyDescent="0.2">
      <c r="A353" s="141" t="s">
        <v>313</v>
      </c>
      <c r="B353" s="187" t="s">
        <v>1759</v>
      </c>
      <c r="C353" s="141">
        <v>2015</v>
      </c>
      <c r="D353" s="188">
        <v>48</v>
      </c>
      <c r="E353" s="135">
        <v>541</v>
      </c>
      <c r="F353" s="192" t="s">
        <v>1313</v>
      </c>
      <c r="G353" s="188">
        <v>0</v>
      </c>
      <c r="H353" s="188">
        <v>0</v>
      </c>
      <c r="I353" s="188">
        <v>0</v>
      </c>
      <c r="J353" s="188">
        <v>1</v>
      </c>
      <c r="K353" s="188">
        <v>0</v>
      </c>
      <c r="L353" s="188">
        <v>0</v>
      </c>
      <c r="M353" s="188">
        <v>0</v>
      </c>
      <c r="N353" s="188">
        <v>0</v>
      </c>
      <c r="O353" s="188">
        <v>1</v>
      </c>
      <c r="P353" s="188">
        <v>0</v>
      </c>
      <c r="Q353" s="188">
        <v>0</v>
      </c>
      <c r="R353" s="188">
        <v>0</v>
      </c>
      <c r="S353" s="188">
        <v>0</v>
      </c>
      <c r="T353" s="188">
        <v>0</v>
      </c>
      <c r="U353" s="188">
        <v>0</v>
      </c>
      <c r="V353" s="188">
        <v>0</v>
      </c>
      <c r="W353" s="188">
        <v>0</v>
      </c>
      <c r="X353" s="188">
        <v>0</v>
      </c>
      <c r="Y353" s="188">
        <v>0</v>
      </c>
      <c r="Z353" s="188">
        <v>0</v>
      </c>
      <c r="AA353" s="188">
        <v>0</v>
      </c>
      <c r="AB353" s="188">
        <v>0</v>
      </c>
      <c r="AC353" s="188">
        <v>0</v>
      </c>
      <c r="AD353" s="188">
        <v>0</v>
      </c>
      <c r="AE353" s="188">
        <v>0</v>
      </c>
      <c r="AF353" s="191">
        <v>0.1</v>
      </c>
      <c r="AG353" s="183">
        <v>2</v>
      </c>
      <c r="AH353" s="4"/>
    </row>
    <row r="354" spans="1:41" ht="15" customHeight="1" x14ac:dyDescent="0.2">
      <c r="A354" s="141" t="s">
        <v>313</v>
      </c>
      <c r="B354" s="187" t="s">
        <v>1759</v>
      </c>
      <c r="C354" s="141">
        <v>2015</v>
      </c>
      <c r="D354" s="188">
        <v>48</v>
      </c>
      <c r="E354" s="135">
        <v>2695</v>
      </c>
      <c r="F354" s="192" t="s">
        <v>569</v>
      </c>
      <c r="G354" s="188">
        <v>0</v>
      </c>
      <c r="H354" s="188">
        <v>0</v>
      </c>
      <c r="I354" s="188">
        <v>0</v>
      </c>
      <c r="J354" s="188">
        <v>0</v>
      </c>
      <c r="K354" s="188">
        <v>0</v>
      </c>
      <c r="L354" s="188">
        <v>0</v>
      </c>
      <c r="M354" s="188">
        <v>0</v>
      </c>
      <c r="N354" s="188">
        <v>0</v>
      </c>
      <c r="O354" s="188">
        <v>0</v>
      </c>
      <c r="P354" s="188">
        <v>0</v>
      </c>
      <c r="Q354" s="188">
        <v>0</v>
      </c>
      <c r="R354" s="188">
        <v>0</v>
      </c>
      <c r="S354" s="188">
        <v>1</v>
      </c>
      <c r="T354" s="188">
        <v>0</v>
      </c>
      <c r="U354" s="188">
        <v>0</v>
      </c>
      <c r="V354" s="188">
        <v>0</v>
      </c>
      <c r="W354" s="188">
        <v>0</v>
      </c>
      <c r="X354" s="188">
        <v>0</v>
      </c>
      <c r="Y354" s="188">
        <v>0</v>
      </c>
      <c r="Z354" s="188">
        <v>0</v>
      </c>
      <c r="AA354" s="188">
        <v>0</v>
      </c>
      <c r="AB354" s="188">
        <v>0</v>
      </c>
      <c r="AC354" s="188">
        <v>0</v>
      </c>
      <c r="AD354" s="188">
        <v>0</v>
      </c>
      <c r="AE354" s="188">
        <v>0</v>
      </c>
      <c r="AF354" s="191">
        <v>0.5</v>
      </c>
      <c r="AG354" s="183">
        <v>1</v>
      </c>
      <c r="AH354" s="4"/>
    </row>
    <row r="355" spans="1:41" ht="15" customHeight="1" x14ac:dyDescent="0.2">
      <c r="A355" s="141" t="s">
        <v>313</v>
      </c>
      <c r="B355" s="187" t="s">
        <v>1759</v>
      </c>
      <c r="C355" s="141">
        <v>2015</v>
      </c>
      <c r="D355" s="188">
        <v>48</v>
      </c>
      <c r="E355" s="135" t="e">
        <v>#N/A</v>
      </c>
      <c r="F355" s="189" t="s">
        <v>1773</v>
      </c>
      <c r="G355" s="188">
        <v>0</v>
      </c>
      <c r="H355" s="188">
        <v>0</v>
      </c>
      <c r="I355" s="188">
        <v>0</v>
      </c>
      <c r="J355" s="188">
        <v>1</v>
      </c>
      <c r="K355" s="188">
        <v>0</v>
      </c>
      <c r="L355" s="188">
        <v>0</v>
      </c>
      <c r="M355" s="188">
        <v>0</v>
      </c>
      <c r="N355" s="188">
        <v>0</v>
      </c>
      <c r="O355" s="188">
        <v>0</v>
      </c>
      <c r="P355" s="188">
        <v>0</v>
      </c>
      <c r="Q355" s="188">
        <v>0</v>
      </c>
      <c r="R355" s="188">
        <v>0</v>
      </c>
      <c r="S355" s="188">
        <v>0</v>
      </c>
      <c r="T355" s="188">
        <v>0</v>
      </c>
      <c r="U355" s="188">
        <v>0</v>
      </c>
      <c r="V355" s="188">
        <v>0</v>
      </c>
      <c r="W355" s="188">
        <v>0</v>
      </c>
      <c r="X355" s="188">
        <v>0</v>
      </c>
      <c r="Y355" s="188">
        <v>0</v>
      </c>
      <c r="Z355" s="188">
        <v>0</v>
      </c>
      <c r="AA355" s="188">
        <v>0</v>
      </c>
      <c r="AB355" s="188">
        <v>0</v>
      </c>
      <c r="AC355" s="188">
        <v>0</v>
      </c>
      <c r="AD355" s="188">
        <v>0</v>
      </c>
      <c r="AE355" s="188">
        <v>0</v>
      </c>
      <c r="AF355" s="190">
        <v>0.1</v>
      </c>
      <c r="AG355" s="183">
        <v>1</v>
      </c>
      <c r="AL355" s="5" t="s">
        <v>1434</v>
      </c>
      <c r="AO355" s="5" t="s">
        <v>1434</v>
      </c>
    </row>
    <row r="356" spans="1:41" ht="15" customHeight="1" x14ac:dyDescent="0.2">
      <c r="A356" s="141" t="s">
        <v>313</v>
      </c>
      <c r="B356" s="187" t="s">
        <v>1759</v>
      </c>
      <c r="C356" s="141">
        <v>2015</v>
      </c>
      <c r="D356" s="188">
        <v>48</v>
      </c>
      <c r="E356" s="135">
        <v>2930</v>
      </c>
      <c r="F356" s="192" t="s">
        <v>483</v>
      </c>
      <c r="G356" s="188">
        <v>0</v>
      </c>
      <c r="H356" s="188">
        <v>0</v>
      </c>
      <c r="I356" s="188">
        <v>0</v>
      </c>
      <c r="J356" s="188">
        <v>0</v>
      </c>
      <c r="K356" s="188">
        <v>0</v>
      </c>
      <c r="L356" s="188">
        <v>0</v>
      </c>
      <c r="M356" s="188">
        <v>0</v>
      </c>
      <c r="N356" s="188">
        <v>0</v>
      </c>
      <c r="O356" s="188">
        <v>0</v>
      </c>
      <c r="P356" s="188">
        <v>0</v>
      </c>
      <c r="Q356" s="188">
        <v>0</v>
      </c>
      <c r="R356" s="188">
        <v>0</v>
      </c>
      <c r="S356" s="188">
        <v>0</v>
      </c>
      <c r="T356" s="188">
        <v>0</v>
      </c>
      <c r="U356" s="188">
        <v>0</v>
      </c>
      <c r="V356" s="188">
        <v>0</v>
      </c>
      <c r="W356" s="188">
        <v>0</v>
      </c>
      <c r="X356" s="188">
        <v>0</v>
      </c>
      <c r="Y356" s="188">
        <v>0</v>
      </c>
      <c r="Z356" s="188">
        <v>1</v>
      </c>
      <c r="AA356" s="188">
        <v>0</v>
      </c>
      <c r="AB356" s="188">
        <v>0</v>
      </c>
      <c r="AC356" s="188">
        <v>0</v>
      </c>
      <c r="AD356" s="188">
        <v>0</v>
      </c>
      <c r="AE356" s="188">
        <v>0</v>
      </c>
      <c r="AF356" s="190">
        <v>0.1</v>
      </c>
      <c r="AG356" s="183">
        <v>1</v>
      </c>
      <c r="AH356" s="5" t="s">
        <v>1976</v>
      </c>
      <c r="AI356" s="5" t="s">
        <v>1657</v>
      </c>
      <c r="AL356" s="5" t="s">
        <v>1675</v>
      </c>
      <c r="AM356" s="5" t="s">
        <v>1672</v>
      </c>
      <c r="AO356" s="5" t="s">
        <v>1675</v>
      </c>
    </row>
    <row r="357" spans="1:41" ht="15" customHeight="1" x14ac:dyDescent="0.2">
      <c r="A357" s="141" t="s">
        <v>313</v>
      </c>
      <c r="B357" s="187" t="s">
        <v>1759</v>
      </c>
      <c r="C357" s="141">
        <v>2015</v>
      </c>
      <c r="D357" s="188">
        <v>48</v>
      </c>
      <c r="E357" s="135" t="e">
        <v>#N/A</v>
      </c>
      <c r="F357" s="189" t="s">
        <v>1772</v>
      </c>
      <c r="G357" s="188">
        <v>0</v>
      </c>
      <c r="H357" s="188">
        <v>0</v>
      </c>
      <c r="I357" s="188">
        <v>1</v>
      </c>
      <c r="J357" s="188">
        <v>0</v>
      </c>
      <c r="K357" s="188">
        <v>0</v>
      </c>
      <c r="L357" s="188">
        <v>0</v>
      </c>
      <c r="M357" s="188">
        <v>0</v>
      </c>
      <c r="N357" s="188">
        <v>0</v>
      </c>
      <c r="O357" s="188">
        <v>1</v>
      </c>
      <c r="P357" s="188">
        <v>0</v>
      </c>
      <c r="Q357" s="188">
        <v>0</v>
      </c>
      <c r="R357" s="188">
        <v>0</v>
      </c>
      <c r="S357" s="188">
        <v>1</v>
      </c>
      <c r="T357" s="188">
        <v>1</v>
      </c>
      <c r="U357" s="188">
        <v>1</v>
      </c>
      <c r="V357" s="188">
        <v>0</v>
      </c>
      <c r="W357" s="188">
        <v>0</v>
      </c>
      <c r="X357" s="188">
        <v>1</v>
      </c>
      <c r="Y357" s="188">
        <v>1</v>
      </c>
      <c r="Z357" s="188">
        <v>1</v>
      </c>
      <c r="AA357" s="188">
        <v>0</v>
      </c>
      <c r="AB357" s="188">
        <v>0</v>
      </c>
      <c r="AC357" s="188">
        <v>0</v>
      </c>
      <c r="AD357" s="188">
        <v>1</v>
      </c>
      <c r="AE357" s="188">
        <v>1</v>
      </c>
      <c r="AF357" s="191">
        <v>12</v>
      </c>
      <c r="AG357" s="183">
        <v>10</v>
      </c>
      <c r="AL357" s="5" t="s">
        <v>1434</v>
      </c>
      <c r="AO357" s="5" t="s">
        <v>1434</v>
      </c>
    </row>
    <row r="358" spans="1:41" ht="15" customHeight="1" x14ac:dyDescent="0.2">
      <c r="A358" s="141" t="s">
        <v>313</v>
      </c>
      <c r="B358" s="187" t="s">
        <v>1759</v>
      </c>
      <c r="C358" s="141">
        <v>2015</v>
      </c>
      <c r="D358" s="188">
        <v>49</v>
      </c>
      <c r="E358" s="135">
        <v>278</v>
      </c>
      <c r="F358" s="192" t="s">
        <v>132</v>
      </c>
      <c r="G358" s="188">
        <v>1</v>
      </c>
      <c r="H358" s="188">
        <v>1</v>
      </c>
      <c r="I358" s="188">
        <v>1</v>
      </c>
      <c r="J358" s="188">
        <v>0</v>
      </c>
      <c r="K358" s="188">
        <v>0</v>
      </c>
      <c r="L358" s="188">
        <v>1</v>
      </c>
      <c r="M358" s="188">
        <v>1</v>
      </c>
      <c r="N358" s="188">
        <v>0</v>
      </c>
      <c r="O358" s="188">
        <v>0</v>
      </c>
      <c r="P358" s="188">
        <v>0</v>
      </c>
      <c r="Q358" s="188">
        <v>0</v>
      </c>
      <c r="R358" s="188">
        <v>0</v>
      </c>
      <c r="S358" s="188">
        <v>0</v>
      </c>
      <c r="T358" s="188">
        <v>0</v>
      </c>
      <c r="U358" s="188">
        <v>0</v>
      </c>
      <c r="V358" s="188">
        <v>0</v>
      </c>
      <c r="W358" s="188">
        <v>0</v>
      </c>
      <c r="X358" s="188">
        <v>0</v>
      </c>
      <c r="Y358" s="188">
        <v>1</v>
      </c>
      <c r="Z358" s="188">
        <v>0</v>
      </c>
      <c r="AA358" s="188">
        <v>0</v>
      </c>
      <c r="AB358" s="188">
        <v>0</v>
      </c>
      <c r="AC358" s="188">
        <v>0</v>
      </c>
      <c r="AD358" s="188">
        <v>1</v>
      </c>
      <c r="AE358" s="188">
        <v>0</v>
      </c>
      <c r="AF358" s="191">
        <v>10</v>
      </c>
      <c r="AG358" s="183">
        <v>7</v>
      </c>
    </row>
    <row r="359" spans="1:41" ht="15" customHeight="1" x14ac:dyDescent="0.2">
      <c r="A359" s="141" t="s">
        <v>313</v>
      </c>
      <c r="B359" s="187" t="s">
        <v>1759</v>
      </c>
      <c r="C359" s="141">
        <v>2015</v>
      </c>
      <c r="D359" s="141">
        <v>49</v>
      </c>
      <c r="E359" s="135">
        <v>1576</v>
      </c>
      <c r="F359" s="189" t="s">
        <v>882</v>
      </c>
      <c r="G359" s="141">
        <v>1</v>
      </c>
      <c r="H359" s="141">
        <v>1</v>
      </c>
      <c r="I359" s="141">
        <v>1</v>
      </c>
      <c r="J359" s="141">
        <v>1</v>
      </c>
      <c r="K359" s="141">
        <v>1</v>
      </c>
      <c r="L359" s="141">
        <v>1</v>
      </c>
      <c r="M359" s="141">
        <v>1</v>
      </c>
      <c r="N359" s="141">
        <v>1</v>
      </c>
      <c r="O359" s="141">
        <v>1</v>
      </c>
      <c r="P359" s="141">
        <v>1</v>
      </c>
      <c r="Q359" s="141">
        <v>1</v>
      </c>
      <c r="R359" s="141">
        <v>1</v>
      </c>
      <c r="S359" s="141">
        <v>1</v>
      </c>
      <c r="T359" s="141">
        <v>1</v>
      </c>
      <c r="U359" s="141">
        <v>1</v>
      </c>
      <c r="V359" s="141">
        <v>1</v>
      </c>
      <c r="W359" s="141">
        <v>1</v>
      </c>
      <c r="X359" s="141">
        <v>1</v>
      </c>
      <c r="Y359" s="141">
        <v>1</v>
      </c>
      <c r="Z359" s="141">
        <v>1</v>
      </c>
      <c r="AA359" s="141">
        <v>1</v>
      </c>
      <c r="AB359" s="141">
        <v>1</v>
      </c>
      <c r="AC359" s="141">
        <v>1</v>
      </c>
      <c r="AD359" s="141">
        <v>1</v>
      </c>
      <c r="AE359" s="141">
        <v>0</v>
      </c>
      <c r="AF359" s="148">
        <v>75</v>
      </c>
      <c r="AG359" s="183">
        <v>24</v>
      </c>
      <c r="AH359" s="4"/>
    </row>
    <row r="360" spans="1:41" ht="15" customHeight="1" x14ac:dyDescent="0.2">
      <c r="A360" s="141" t="s">
        <v>313</v>
      </c>
      <c r="B360" s="187" t="s">
        <v>1759</v>
      </c>
      <c r="C360" s="141">
        <v>2015</v>
      </c>
      <c r="D360" s="188">
        <v>49</v>
      </c>
      <c r="E360" s="135">
        <v>2694</v>
      </c>
      <c r="F360" s="189" t="s">
        <v>570</v>
      </c>
      <c r="G360" s="188">
        <v>0</v>
      </c>
      <c r="H360" s="188">
        <v>1</v>
      </c>
      <c r="I360" s="188">
        <v>1</v>
      </c>
      <c r="J360" s="188">
        <v>0</v>
      </c>
      <c r="K360" s="188">
        <v>0</v>
      </c>
      <c r="L360" s="188">
        <v>1</v>
      </c>
      <c r="M360" s="188">
        <v>1</v>
      </c>
      <c r="N360" s="188">
        <v>1</v>
      </c>
      <c r="O360" s="188">
        <v>0</v>
      </c>
      <c r="P360" s="188">
        <v>1</v>
      </c>
      <c r="Q360" s="188">
        <v>1</v>
      </c>
      <c r="R360" s="188">
        <v>1</v>
      </c>
      <c r="S360" s="188">
        <v>1</v>
      </c>
      <c r="T360" s="188">
        <v>0</v>
      </c>
      <c r="U360" s="188">
        <v>1</v>
      </c>
      <c r="V360" s="188">
        <v>1</v>
      </c>
      <c r="W360" s="188">
        <v>1</v>
      </c>
      <c r="X360" s="188">
        <v>1</v>
      </c>
      <c r="Y360" s="188">
        <v>1</v>
      </c>
      <c r="Z360" s="188">
        <v>1</v>
      </c>
      <c r="AA360" s="188">
        <v>1</v>
      </c>
      <c r="AB360" s="188">
        <v>1</v>
      </c>
      <c r="AC360" s="188">
        <v>1</v>
      </c>
      <c r="AD360" s="188">
        <v>1</v>
      </c>
      <c r="AE360" s="188">
        <v>0</v>
      </c>
      <c r="AF360" s="191">
        <v>0.1</v>
      </c>
      <c r="AG360" s="183">
        <v>19</v>
      </c>
      <c r="AH360" s="5" t="s">
        <v>1857</v>
      </c>
      <c r="AI360" s="5" t="s">
        <v>1658</v>
      </c>
      <c r="AJ360" s="5" t="s">
        <v>1655</v>
      </c>
      <c r="AL360" s="5" t="s">
        <v>1668</v>
      </c>
      <c r="AM360" s="5" t="s">
        <v>1672</v>
      </c>
      <c r="AO360" s="5" t="s">
        <v>1672</v>
      </c>
    </row>
    <row r="361" spans="1:41" ht="15" customHeight="1" x14ac:dyDescent="0.2">
      <c r="A361" s="141" t="s">
        <v>313</v>
      </c>
      <c r="B361" s="187" t="s">
        <v>1759</v>
      </c>
      <c r="C361" s="141">
        <v>2015</v>
      </c>
      <c r="D361" s="188">
        <v>49</v>
      </c>
      <c r="E361" s="135">
        <v>2366</v>
      </c>
      <c r="F361" s="192" t="s">
        <v>660</v>
      </c>
      <c r="G361" s="188">
        <v>0</v>
      </c>
      <c r="H361" s="188">
        <v>0</v>
      </c>
      <c r="I361" s="188">
        <v>0</v>
      </c>
      <c r="J361" s="188">
        <v>0</v>
      </c>
      <c r="K361" s="188">
        <v>0</v>
      </c>
      <c r="L361" s="188">
        <v>0</v>
      </c>
      <c r="M361" s="188">
        <v>0</v>
      </c>
      <c r="N361" s="188">
        <v>0</v>
      </c>
      <c r="O361" s="188">
        <v>0</v>
      </c>
      <c r="P361" s="188">
        <v>0</v>
      </c>
      <c r="Q361" s="188">
        <v>0</v>
      </c>
      <c r="R361" s="188">
        <v>1</v>
      </c>
      <c r="S361" s="188">
        <v>0</v>
      </c>
      <c r="T361" s="188">
        <v>0</v>
      </c>
      <c r="U361" s="188">
        <v>1</v>
      </c>
      <c r="V361" s="188">
        <v>1</v>
      </c>
      <c r="W361" s="188">
        <v>0</v>
      </c>
      <c r="X361" s="188">
        <v>0</v>
      </c>
      <c r="Y361" s="188">
        <v>1</v>
      </c>
      <c r="Z361" s="188">
        <v>0</v>
      </c>
      <c r="AA361" s="188">
        <v>0</v>
      </c>
      <c r="AB361" s="188">
        <v>0</v>
      </c>
      <c r="AC361" s="188">
        <v>1</v>
      </c>
      <c r="AD361" s="188">
        <v>1</v>
      </c>
      <c r="AE361" s="188">
        <v>0</v>
      </c>
      <c r="AF361" s="190">
        <v>0.1</v>
      </c>
      <c r="AG361" s="183">
        <v>6</v>
      </c>
    </row>
    <row r="362" spans="1:41" ht="15" customHeight="1" x14ac:dyDescent="0.2">
      <c r="A362" s="141" t="s">
        <v>313</v>
      </c>
      <c r="B362" s="187" t="s">
        <v>1759</v>
      </c>
      <c r="C362" s="141">
        <v>2015</v>
      </c>
      <c r="D362" s="188">
        <v>49</v>
      </c>
      <c r="E362" s="135">
        <v>541</v>
      </c>
      <c r="F362" s="192" t="s">
        <v>1313</v>
      </c>
      <c r="G362" s="188">
        <v>1</v>
      </c>
      <c r="H362" s="188">
        <v>1</v>
      </c>
      <c r="I362" s="188">
        <v>0</v>
      </c>
      <c r="J362" s="188">
        <v>0</v>
      </c>
      <c r="K362" s="188">
        <v>0</v>
      </c>
      <c r="L362" s="188">
        <v>0</v>
      </c>
      <c r="M362" s="188">
        <v>1</v>
      </c>
      <c r="N362" s="188">
        <v>1</v>
      </c>
      <c r="O362" s="188">
        <v>0</v>
      </c>
      <c r="P362" s="188">
        <v>1</v>
      </c>
      <c r="Q362" s="188">
        <v>0</v>
      </c>
      <c r="R362" s="188">
        <v>1</v>
      </c>
      <c r="S362" s="188">
        <v>1</v>
      </c>
      <c r="T362" s="188">
        <v>0</v>
      </c>
      <c r="U362" s="188">
        <v>1</v>
      </c>
      <c r="V362" s="188">
        <v>0</v>
      </c>
      <c r="W362" s="188">
        <v>0</v>
      </c>
      <c r="X362" s="188">
        <v>0</v>
      </c>
      <c r="Y362" s="188">
        <v>0</v>
      </c>
      <c r="Z362" s="188">
        <v>1</v>
      </c>
      <c r="AA362" s="188">
        <v>0</v>
      </c>
      <c r="AB362" s="188">
        <v>1</v>
      </c>
      <c r="AC362" s="188">
        <v>1</v>
      </c>
      <c r="AD362" s="188">
        <v>1</v>
      </c>
      <c r="AE362" s="188">
        <v>1</v>
      </c>
      <c r="AF362" s="191">
        <v>6</v>
      </c>
      <c r="AG362" s="183">
        <v>13</v>
      </c>
    </row>
    <row r="363" spans="1:41" ht="15" customHeight="1" x14ac:dyDescent="0.2">
      <c r="A363" s="141" t="s">
        <v>313</v>
      </c>
      <c r="B363" s="187" t="s">
        <v>1759</v>
      </c>
      <c r="C363" s="141">
        <v>2015</v>
      </c>
      <c r="D363" s="188">
        <v>49</v>
      </c>
      <c r="E363" s="135">
        <v>1894</v>
      </c>
      <c r="F363" s="192" t="s">
        <v>795</v>
      </c>
      <c r="G363" s="188">
        <v>0</v>
      </c>
      <c r="H363" s="188">
        <v>0</v>
      </c>
      <c r="I363" s="188">
        <v>1</v>
      </c>
      <c r="J363" s="188">
        <v>1</v>
      </c>
      <c r="K363" s="188">
        <v>1</v>
      </c>
      <c r="L363" s="188">
        <v>0</v>
      </c>
      <c r="M363" s="188">
        <v>1</v>
      </c>
      <c r="N363" s="188">
        <v>1</v>
      </c>
      <c r="O363" s="188">
        <v>1</v>
      </c>
      <c r="P363" s="188">
        <v>1</v>
      </c>
      <c r="Q363" s="188">
        <v>1</v>
      </c>
      <c r="R363" s="188">
        <v>1</v>
      </c>
      <c r="S363" s="188">
        <v>1</v>
      </c>
      <c r="T363" s="188">
        <v>1</v>
      </c>
      <c r="U363" s="188">
        <v>1</v>
      </c>
      <c r="V363" s="188">
        <v>1</v>
      </c>
      <c r="W363" s="188">
        <v>1</v>
      </c>
      <c r="X363" s="188">
        <v>1</v>
      </c>
      <c r="Y363" s="188">
        <v>1</v>
      </c>
      <c r="Z363" s="188">
        <v>1</v>
      </c>
      <c r="AA363" s="188">
        <v>1</v>
      </c>
      <c r="AB363" s="188">
        <v>1</v>
      </c>
      <c r="AC363" s="188">
        <v>1</v>
      </c>
      <c r="AD363" s="188">
        <v>1</v>
      </c>
      <c r="AE363" s="188">
        <v>1</v>
      </c>
      <c r="AF363" s="190">
        <v>6</v>
      </c>
      <c r="AG363" s="183">
        <v>22</v>
      </c>
    </row>
    <row r="364" spans="1:41" ht="15" customHeight="1" x14ac:dyDescent="0.2">
      <c r="A364" s="141" t="s">
        <v>313</v>
      </c>
      <c r="B364" s="187" t="s">
        <v>1759</v>
      </c>
      <c r="C364" s="141">
        <v>2015</v>
      </c>
      <c r="D364" s="188">
        <v>49</v>
      </c>
      <c r="E364" s="135">
        <v>2639</v>
      </c>
      <c r="F364" s="192" t="s">
        <v>590</v>
      </c>
      <c r="G364" s="188">
        <v>1</v>
      </c>
      <c r="H364" s="188">
        <v>1</v>
      </c>
      <c r="I364" s="188">
        <v>1</v>
      </c>
      <c r="J364" s="188">
        <v>0</v>
      </c>
      <c r="K364" s="188">
        <v>0</v>
      </c>
      <c r="L364" s="188">
        <v>0</v>
      </c>
      <c r="M364" s="188">
        <v>1</v>
      </c>
      <c r="N364" s="188">
        <v>1</v>
      </c>
      <c r="O364" s="188">
        <v>0</v>
      </c>
      <c r="P364" s="188">
        <v>0</v>
      </c>
      <c r="Q364" s="188">
        <v>0</v>
      </c>
      <c r="R364" s="188">
        <v>0</v>
      </c>
      <c r="S364" s="188">
        <v>0</v>
      </c>
      <c r="T364" s="188">
        <v>0</v>
      </c>
      <c r="U364" s="188">
        <v>0</v>
      </c>
      <c r="V364" s="188">
        <v>0</v>
      </c>
      <c r="W364" s="188">
        <v>0</v>
      </c>
      <c r="X364" s="188">
        <v>0</v>
      </c>
      <c r="Y364" s="188">
        <v>0</v>
      </c>
      <c r="Z364" s="188">
        <v>0</v>
      </c>
      <c r="AA364" s="188">
        <v>0</v>
      </c>
      <c r="AB364" s="188">
        <v>0</v>
      </c>
      <c r="AC364" s="188">
        <v>0</v>
      </c>
      <c r="AD364" s="188">
        <v>0</v>
      </c>
      <c r="AE364" s="188">
        <v>1</v>
      </c>
      <c r="AF364" s="191">
        <v>8</v>
      </c>
      <c r="AG364" s="183">
        <v>6</v>
      </c>
    </row>
    <row r="365" spans="1:41" ht="15" customHeight="1" x14ac:dyDescent="0.2">
      <c r="A365" s="141" t="s">
        <v>313</v>
      </c>
      <c r="B365" s="187" t="s">
        <v>1759</v>
      </c>
      <c r="C365" s="141">
        <v>2015</v>
      </c>
      <c r="D365" s="188">
        <v>49</v>
      </c>
      <c r="E365" s="135" t="e">
        <v>#N/A</v>
      </c>
      <c r="F365" s="189" t="s">
        <v>1772</v>
      </c>
      <c r="G365" s="188">
        <v>0</v>
      </c>
      <c r="H365" s="188">
        <v>0</v>
      </c>
      <c r="I365" s="188">
        <v>1</v>
      </c>
      <c r="J365" s="188">
        <v>1</v>
      </c>
      <c r="K365" s="188">
        <v>0</v>
      </c>
      <c r="L365" s="188">
        <v>0</v>
      </c>
      <c r="M365" s="188">
        <v>0</v>
      </c>
      <c r="N365" s="188">
        <v>0</v>
      </c>
      <c r="O365" s="188">
        <v>0</v>
      </c>
      <c r="P365" s="188">
        <v>0</v>
      </c>
      <c r="Q365" s="188">
        <v>0</v>
      </c>
      <c r="R365" s="188">
        <v>0</v>
      </c>
      <c r="S365" s="188">
        <v>0</v>
      </c>
      <c r="T365" s="188">
        <v>0</v>
      </c>
      <c r="U365" s="188">
        <v>0</v>
      </c>
      <c r="V365" s="188">
        <v>0</v>
      </c>
      <c r="W365" s="188">
        <v>0</v>
      </c>
      <c r="X365" s="188">
        <v>0</v>
      </c>
      <c r="Y365" s="188">
        <v>1</v>
      </c>
      <c r="Z365" s="188">
        <v>1</v>
      </c>
      <c r="AA365" s="188">
        <v>0</v>
      </c>
      <c r="AB365" s="188">
        <v>1</v>
      </c>
      <c r="AC365" s="188">
        <v>1</v>
      </c>
      <c r="AD365" s="188">
        <v>1</v>
      </c>
      <c r="AE365" s="188">
        <v>1</v>
      </c>
      <c r="AF365" s="190">
        <v>9</v>
      </c>
      <c r="AG365" s="183">
        <v>8</v>
      </c>
      <c r="AL365" s="5" t="s">
        <v>1434</v>
      </c>
      <c r="AO365" s="5" t="s">
        <v>1434</v>
      </c>
    </row>
    <row r="366" spans="1:41" ht="15" customHeight="1" x14ac:dyDescent="0.2">
      <c r="A366" s="141" t="s">
        <v>313</v>
      </c>
      <c r="B366" s="187" t="s">
        <v>1759</v>
      </c>
      <c r="C366" s="141">
        <v>2015</v>
      </c>
      <c r="D366" s="188">
        <v>51</v>
      </c>
      <c r="E366" s="135">
        <v>278</v>
      </c>
      <c r="F366" s="192" t="s">
        <v>132</v>
      </c>
      <c r="G366" s="188">
        <v>1</v>
      </c>
      <c r="H366" s="188">
        <v>1</v>
      </c>
      <c r="I366" s="188">
        <v>1</v>
      </c>
      <c r="J366" s="188">
        <v>1</v>
      </c>
      <c r="K366" s="188">
        <v>1</v>
      </c>
      <c r="L366" s="188">
        <v>1</v>
      </c>
      <c r="M366" s="188">
        <v>1</v>
      </c>
      <c r="N366" s="188">
        <v>1</v>
      </c>
      <c r="O366" s="188">
        <v>1</v>
      </c>
      <c r="P366" s="188">
        <v>1</v>
      </c>
      <c r="Q366" s="188">
        <v>1</v>
      </c>
      <c r="R366" s="188">
        <v>1</v>
      </c>
      <c r="S366" s="188">
        <v>1</v>
      </c>
      <c r="T366" s="188">
        <v>1</v>
      </c>
      <c r="U366" s="188">
        <v>1</v>
      </c>
      <c r="V366" s="188">
        <v>1</v>
      </c>
      <c r="W366" s="188">
        <v>1</v>
      </c>
      <c r="X366" s="188">
        <v>1</v>
      </c>
      <c r="Y366" s="188">
        <v>1</v>
      </c>
      <c r="Z366" s="188">
        <v>1</v>
      </c>
      <c r="AA366" s="188">
        <v>1</v>
      </c>
      <c r="AB366" s="188">
        <v>1</v>
      </c>
      <c r="AC366" s="188">
        <v>1</v>
      </c>
      <c r="AD366" s="188">
        <v>1</v>
      </c>
      <c r="AE366" s="188">
        <v>1</v>
      </c>
      <c r="AF366" s="191">
        <v>35</v>
      </c>
      <c r="AG366" s="183">
        <v>25</v>
      </c>
    </row>
    <row r="367" spans="1:41" ht="15" customHeight="1" x14ac:dyDescent="0.2">
      <c r="A367" s="141" t="s">
        <v>313</v>
      </c>
      <c r="B367" s="187" t="s">
        <v>1759</v>
      </c>
      <c r="C367" s="141">
        <v>2015</v>
      </c>
      <c r="D367" s="141">
        <v>51</v>
      </c>
      <c r="E367" s="135">
        <v>1576</v>
      </c>
      <c r="F367" s="192" t="s">
        <v>882</v>
      </c>
      <c r="G367" s="141">
        <v>1</v>
      </c>
      <c r="H367" s="141">
        <v>1</v>
      </c>
      <c r="I367" s="141">
        <v>1</v>
      </c>
      <c r="J367" s="141">
        <v>1</v>
      </c>
      <c r="K367" s="141">
        <v>1</v>
      </c>
      <c r="L367" s="141">
        <v>1</v>
      </c>
      <c r="M367" s="141">
        <v>0</v>
      </c>
      <c r="N367" s="141">
        <v>1</v>
      </c>
      <c r="O367" s="141">
        <v>1</v>
      </c>
      <c r="P367" s="141">
        <v>1</v>
      </c>
      <c r="Q367" s="141">
        <v>1</v>
      </c>
      <c r="R367" s="141">
        <v>1</v>
      </c>
      <c r="S367" s="141">
        <v>1</v>
      </c>
      <c r="T367" s="141">
        <v>1</v>
      </c>
      <c r="U367" s="141">
        <v>1</v>
      </c>
      <c r="V367" s="141">
        <v>1</v>
      </c>
      <c r="W367" s="141">
        <v>1</v>
      </c>
      <c r="X367" s="141">
        <v>1</v>
      </c>
      <c r="Y367" s="141">
        <v>1</v>
      </c>
      <c r="Z367" s="141">
        <v>1</v>
      </c>
      <c r="AA367" s="141">
        <v>1</v>
      </c>
      <c r="AB367" s="141">
        <v>1</v>
      </c>
      <c r="AC367" s="141">
        <v>1</v>
      </c>
      <c r="AD367" s="141">
        <v>1</v>
      </c>
      <c r="AE367" s="141">
        <v>1</v>
      </c>
      <c r="AF367" s="148">
        <v>70</v>
      </c>
      <c r="AG367" s="183">
        <v>24</v>
      </c>
      <c r="AH367" s="4"/>
    </row>
    <row r="368" spans="1:41" ht="15" customHeight="1" x14ac:dyDescent="0.2">
      <c r="A368" s="141" t="s">
        <v>313</v>
      </c>
      <c r="B368" s="187" t="s">
        <v>1759</v>
      </c>
      <c r="C368" s="141">
        <v>2015</v>
      </c>
      <c r="D368" s="188">
        <v>51</v>
      </c>
      <c r="E368" s="135">
        <v>2359</v>
      </c>
      <c r="F368" s="189" t="s">
        <v>665</v>
      </c>
      <c r="G368" s="188">
        <v>0</v>
      </c>
      <c r="H368" s="188">
        <v>0</v>
      </c>
      <c r="I368" s="188">
        <v>0</v>
      </c>
      <c r="J368" s="188">
        <v>0</v>
      </c>
      <c r="K368" s="188">
        <v>0</v>
      </c>
      <c r="L368" s="188">
        <v>0</v>
      </c>
      <c r="M368" s="188">
        <v>0</v>
      </c>
      <c r="N368" s="188">
        <v>0</v>
      </c>
      <c r="O368" s="188">
        <v>0</v>
      </c>
      <c r="P368" s="188">
        <v>0</v>
      </c>
      <c r="Q368" s="188">
        <v>0</v>
      </c>
      <c r="R368" s="188">
        <v>0</v>
      </c>
      <c r="S368" s="188">
        <v>1</v>
      </c>
      <c r="T368" s="188">
        <v>0</v>
      </c>
      <c r="U368" s="188">
        <v>0</v>
      </c>
      <c r="V368" s="188">
        <v>0</v>
      </c>
      <c r="W368" s="188">
        <v>0</v>
      </c>
      <c r="X368" s="188">
        <v>0</v>
      </c>
      <c r="Y368" s="188">
        <v>0</v>
      </c>
      <c r="Z368" s="188">
        <v>0</v>
      </c>
      <c r="AA368" s="188">
        <v>0</v>
      </c>
      <c r="AB368" s="188">
        <v>0</v>
      </c>
      <c r="AC368" s="188">
        <v>0</v>
      </c>
      <c r="AD368" s="188">
        <v>0</v>
      </c>
      <c r="AE368" s="188">
        <v>0</v>
      </c>
      <c r="AF368" s="191">
        <v>0.1</v>
      </c>
      <c r="AG368" s="183">
        <v>1</v>
      </c>
      <c r="AH368" s="4"/>
      <c r="AI368" s="5" t="s">
        <v>1655</v>
      </c>
      <c r="AL368" s="5" t="s">
        <v>1668</v>
      </c>
      <c r="AO368" s="5" t="s">
        <v>1668</v>
      </c>
    </row>
    <row r="369" spans="1:41" ht="15" customHeight="1" x14ac:dyDescent="0.2">
      <c r="A369" s="141" t="s">
        <v>313</v>
      </c>
      <c r="B369" s="187" t="s">
        <v>1759</v>
      </c>
      <c r="C369" s="141">
        <v>2015</v>
      </c>
      <c r="D369" s="188">
        <v>51</v>
      </c>
      <c r="E369" s="135">
        <v>2360</v>
      </c>
      <c r="F369" s="192" t="s">
        <v>664</v>
      </c>
      <c r="G369" s="188">
        <v>0</v>
      </c>
      <c r="H369" s="188">
        <v>0</v>
      </c>
      <c r="I369" s="188">
        <v>0</v>
      </c>
      <c r="J369" s="188">
        <v>0</v>
      </c>
      <c r="K369" s="188">
        <v>0</v>
      </c>
      <c r="L369" s="188">
        <v>0</v>
      </c>
      <c r="M369" s="188">
        <v>0</v>
      </c>
      <c r="N369" s="188">
        <v>0</v>
      </c>
      <c r="O369" s="188">
        <v>0</v>
      </c>
      <c r="P369" s="188">
        <v>0</v>
      </c>
      <c r="Q369" s="188">
        <v>0</v>
      </c>
      <c r="R369" s="188">
        <v>0</v>
      </c>
      <c r="S369" s="188">
        <v>0</v>
      </c>
      <c r="T369" s="188">
        <v>0</v>
      </c>
      <c r="U369" s="188">
        <v>0</v>
      </c>
      <c r="V369" s="188">
        <v>0</v>
      </c>
      <c r="W369" s="188">
        <v>0</v>
      </c>
      <c r="X369" s="188">
        <v>1</v>
      </c>
      <c r="Y369" s="188">
        <v>0</v>
      </c>
      <c r="Z369" s="188">
        <v>0</v>
      </c>
      <c r="AA369" s="188">
        <v>0</v>
      </c>
      <c r="AB369" s="188">
        <v>0</v>
      </c>
      <c r="AC369" s="188">
        <v>0</v>
      </c>
      <c r="AD369" s="188">
        <v>0</v>
      </c>
      <c r="AE369" s="188">
        <v>0</v>
      </c>
      <c r="AF369" s="191">
        <v>0.1</v>
      </c>
      <c r="AG369" s="183">
        <v>1</v>
      </c>
      <c r="AI369" s="5" t="s">
        <v>1655</v>
      </c>
      <c r="AL369" s="5" t="s">
        <v>1668</v>
      </c>
      <c r="AO369" s="5" t="s">
        <v>1668</v>
      </c>
    </row>
    <row r="370" spans="1:41" ht="15" customHeight="1" x14ac:dyDescent="0.2">
      <c r="A370" s="141" t="s">
        <v>313</v>
      </c>
      <c r="B370" s="187" t="s">
        <v>1759</v>
      </c>
      <c r="C370" s="141">
        <v>2015</v>
      </c>
      <c r="D370" s="188">
        <v>51</v>
      </c>
      <c r="E370" s="135">
        <v>2362</v>
      </c>
      <c r="F370" s="192" t="s">
        <v>663</v>
      </c>
      <c r="G370" s="188">
        <v>0</v>
      </c>
      <c r="H370" s="188">
        <v>0</v>
      </c>
      <c r="I370" s="188">
        <v>1</v>
      </c>
      <c r="J370" s="188">
        <v>0</v>
      </c>
      <c r="K370" s="188">
        <v>0</v>
      </c>
      <c r="L370" s="188">
        <v>0</v>
      </c>
      <c r="M370" s="188">
        <v>1</v>
      </c>
      <c r="N370" s="188">
        <v>1</v>
      </c>
      <c r="O370" s="188">
        <v>0</v>
      </c>
      <c r="P370" s="188">
        <v>1</v>
      </c>
      <c r="Q370" s="188">
        <v>1</v>
      </c>
      <c r="R370" s="188">
        <v>1</v>
      </c>
      <c r="S370" s="188">
        <v>1</v>
      </c>
      <c r="T370" s="188">
        <v>1</v>
      </c>
      <c r="U370" s="188">
        <v>0</v>
      </c>
      <c r="V370" s="188">
        <v>0</v>
      </c>
      <c r="W370" s="188">
        <v>0</v>
      </c>
      <c r="X370" s="188">
        <v>1</v>
      </c>
      <c r="Y370" s="188">
        <v>1</v>
      </c>
      <c r="Z370" s="188">
        <v>0</v>
      </c>
      <c r="AA370" s="188">
        <v>0</v>
      </c>
      <c r="AB370" s="188">
        <v>1</v>
      </c>
      <c r="AC370" s="188">
        <v>1</v>
      </c>
      <c r="AD370" s="188">
        <v>0</v>
      </c>
      <c r="AE370" s="188">
        <v>0</v>
      </c>
      <c r="AF370" s="191">
        <v>0.1</v>
      </c>
      <c r="AG370" s="183">
        <v>12</v>
      </c>
      <c r="AI370" s="5" t="s">
        <v>1655</v>
      </c>
      <c r="AL370" s="5" t="s">
        <v>1668</v>
      </c>
      <c r="AO370" s="5" t="s">
        <v>1668</v>
      </c>
    </row>
    <row r="371" spans="1:41" ht="15" customHeight="1" x14ac:dyDescent="0.2">
      <c r="A371" s="141" t="s">
        <v>313</v>
      </c>
      <c r="B371" s="187" t="s">
        <v>1759</v>
      </c>
      <c r="C371" s="141">
        <v>2015</v>
      </c>
      <c r="D371" s="188">
        <v>51</v>
      </c>
      <c r="E371" s="135">
        <v>2366</v>
      </c>
      <c r="F371" s="192" t="s">
        <v>660</v>
      </c>
      <c r="G371" s="188">
        <v>0</v>
      </c>
      <c r="H371" s="188">
        <v>0</v>
      </c>
      <c r="I371" s="188">
        <v>0</v>
      </c>
      <c r="J371" s="188">
        <v>0</v>
      </c>
      <c r="K371" s="188">
        <v>0</v>
      </c>
      <c r="L371" s="188">
        <v>0</v>
      </c>
      <c r="M371" s="188">
        <v>0</v>
      </c>
      <c r="N371" s="188">
        <v>0</v>
      </c>
      <c r="O371" s="188">
        <v>0</v>
      </c>
      <c r="P371" s="188">
        <v>0</v>
      </c>
      <c r="Q371" s="188">
        <v>0</v>
      </c>
      <c r="R371" s="188">
        <v>0</v>
      </c>
      <c r="S371" s="188">
        <v>0</v>
      </c>
      <c r="T371" s="188">
        <v>0</v>
      </c>
      <c r="U371" s="188">
        <v>0</v>
      </c>
      <c r="V371" s="188">
        <v>1</v>
      </c>
      <c r="W371" s="188">
        <v>0</v>
      </c>
      <c r="X371" s="188">
        <v>0</v>
      </c>
      <c r="Y371" s="188">
        <v>0</v>
      </c>
      <c r="Z371" s="188">
        <v>0</v>
      </c>
      <c r="AA371" s="188">
        <v>0</v>
      </c>
      <c r="AB371" s="188">
        <v>1</v>
      </c>
      <c r="AC371" s="188">
        <v>1</v>
      </c>
      <c r="AD371" s="188">
        <v>0</v>
      </c>
      <c r="AE371" s="188">
        <v>0</v>
      </c>
      <c r="AF371" s="191">
        <v>0.1</v>
      </c>
      <c r="AG371" s="183">
        <v>3</v>
      </c>
      <c r="AH371" s="4"/>
      <c r="AI371" s="5" t="s">
        <v>1655</v>
      </c>
      <c r="AL371" s="5" t="s">
        <v>1668</v>
      </c>
      <c r="AO371" s="5" t="s">
        <v>1668</v>
      </c>
    </row>
    <row r="372" spans="1:41" ht="15" customHeight="1" x14ac:dyDescent="0.2">
      <c r="A372" s="141" t="s">
        <v>313</v>
      </c>
      <c r="B372" s="187" t="s">
        <v>1759</v>
      </c>
      <c r="C372" s="141">
        <v>2015</v>
      </c>
      <c r="D372" s="188">
        <v>51</v>
      </c>
      <c r="E372" s="135">
        <v>2831</v>
      </c>
      <c r="F372" s="192" t="s">
        <v>511</v>
      </c>
      <c r="G372" s="188">
        <v>1</v>
      </c>
      <c r="H372" s="188">
        <v>1</v>
      </c>
      <c r="I372" s="188">
        <v>0</v>
      </c>
      <c r="J372" s="188">
        <v>0</v>
      </c>
      <c r="K372" s="188">
        <v>0</v>
      </c>
      <c r="L372" s="188">
        <v>1</v>
      </c>
      <c r="M372" s="188">
        <v>0</v>
      </c>
      <c r="N372" s="188">
        <v>0</v>
      </c>
      <c r="O372" s="188">
        <v>0</v>
      </c>
      <c r="P372" s="188">
        <v>0</v>
      </c>
      <c r="Q372" s="188">
        <v>1</v>
      </c>
      <c r="R372" s="188">
        <v>0</v>
      </c>
      <c r="S372" s="188">
        <v>0</v>
      </c>
      <c r="T372" s="188">
        <v>0</v>
      </c>
      <c r="U372" s="188">
        <v>0</v>
      </c>
      <c r="V372" s="188">
        <v>0</v>
      </c>
      <c r="W372" s="188">
        <v>0</v>
      </c>
      <c r="X372" s="188">
        <v>0</v>
      </c>
      <c r="Y372" s="188">
        <v>0</v>
      </c>
      <c r="Z372" s="188">
        <v>0</v>
      </c>
      <c r="AA372" s="188">
        <v>0</v>
      </c>
      <c r="AB372" s="188">
        <v>0</v>
      </c>
      <c r="AC372" s="188">
        <v>0</v>
      </c>
      <c r="AD372" s="188">
        <v>0</v>
      </c>
      <c r="AE372" s="188">
        <v>0</v>
      </c>
      <c r="AF372" s="191">
        <v>0.1</v>
      </c>
      <c r="AG372" s="183">
        <v>4</v>
      </c>
      <c r="AH372" s="4" t="s">
        <v>1854</v>
      </c>
      <c r="AL372" s="5" t="s">
        <v>1672</v>
      </c>
      <c r="AN372" s="22"/>
      <c r="AO372" s="5" t="s">
        <v>1672</v>
      </c>
    </row>
    <row r="373" spans="1:41" ht="15" customHeight="1" x14ac:dyDescent="0.2">
      <c r="A373" s="141" t="s">
        <v>313</v>
      </c>
      <c r="B373" s="187" t="s">
        <v>1759</v>
      </c>
      <c r="C373" s="141">
        <v>2015</v>
      </c>
      <c r="D373" s="188">
        <v>51</v>
      </c>
      <c r="E373" s="135">
        <v>542</v>
      </c>
      <c r="F373" s="192" t="s">
        <v>1312</v>
      </c>
      <c r="G373" s="188">
        <v>1</v>
      </c>
      <c r="H373" s="188">
        <v>1</v>
      </c>
      <c r="I373" s="188">
        <v>1</v>
      </c>
      <c r="J373" s="188">
        <v>1</v>
      </c>
      <c r="K373" s="188">
        <v>1</v>
      </c>
      <c r="L373" s="188">
        <v>1</v>
      </c>
      <c r="M373" s="188">
        <v>1</v>
      </c>
      <c r="N373" s="188">
        <v>1</v>
      </c>
      <c r="O373" s="188">
        <v>1</v>
      </c>
      <c r="P373" s="188">
        <v>1</v>
      </c>
      <c r="Q373" s="188">
        <v>1</v>
      </c>
      <c r="R373" s="188">
        <v>1</v>
      </c>
      <c r="S373" s="188">
        <v>1</v>
      </c>
      <c r="T373" s="188">
        <v>1</v>
      </c>
      <c r="U373" s="188">
        <v>1</v>
      </c>
      <c r="V373" s="188">
        <v>1</v>
      </c>
      <c r="W373" s="188">
        <v>1</v>
      </c>
      <c r="X373" s="188">
        <v>1</v>
      </c>
      <c r="Y373" s="188">
        <v>1</v>
      </c>
      <c r="Z373" s="188">
        <v>1</v>
      </c>
      <c r="AA373" s="188">
        <v>1</v>
      </c>
      <c r="AB373" s="188">
        <v>1</v>
      </c>
      <c r="AC373" s="188">
        <v>1</v>
      </c>
      <c r="AD373" s="188">
        <v>1</v>
      </c>
      <c r="AE373" s="188">
        <v>1</v>
      </c>
      <c r="AF373" s="191">
        <v>40</v>
      </c>
      <c r="AG373" s="183">
        <v>25</v>
      </c>
    </row>
    <row r="374" spans="1:41" ht="15" customHeight="1" x14ac:dyDescent="0.2">
      <c r="A374" s="141" t="s">
        <v>313</v>
      </c>
      <c r="B374" s="187" t="s">
        <v>1759</v>
      </c>
      <c r="C374" s="141">
        <v>2015</v>
      </c>
      <c r="D374" s="188">
        <v>51</v>
      </c>
      <c r="E374" s="135">
        <v>546</v>
      </c>
      <c r="F374" s="192" t="s">
        <v>1310</v>
      </c>
      <c r="G374" s="188">
        <v>1</v>
      </c>
      <c r="H374" s="188">
        <v>1</v>
      </c>
      <c r="I374" s="188">
        <v>1</v>
      </c>
      <c r="J374" s="188">
        <v>1</v>
      </c>
      <c r="K374" s="188">
        <v>1</v>
      </c>
      <c r="L374" s="188">
        <v>0</v>
      </c>
      <c r="M374" s="188">
        <v>1</v>
      </c>
      <c r="N374" s="188">
        <v>1</v>
      </c>
      <c r="O374" s="188">
        <v>1</v>
      </c>
      <c r="P374" s="188">
        <v>1</v>
      </c>
      <c r="Q374" s="188">
        <v>1</v>
      </c>
      <c r="R374" s="188">
        <v>0</v>
      </c>
      <c r="S374" s="188">
        <v>1</v>
      </c>
      <c r="T374" s="188">
        <v>1</v>
      </c>
      <c r="U374" s="188">
        <v>1</v>
      </c>
      <c r="V374" s="188">
        <v>1</v>
      </c>
      <c r="W374" s="188">
        <v>1</v>
      </c>
      <c r="X374" s="188">
        <v>1</v>
      </c>
      <c r="Y374" s="188">
        <v>1</v>
      </c>
      <c r="Z374" s="188">
        <v>1</v>
      </c>
      <c r="AA374" s="188">
        <v>1</v>
      </c>
      <c r="AB374" s="188">
        <v>1</v>
      </c>
      <c r="AC374" s="188">
        <v>1</v>
      </c>
      <c r="AD374" s="188">
        <v>1</v>
      </c>
      <c r="AE374" s="188">
        <v>1</v>
      </c>
      <c r="AF374" s="190">
        <v>10</v>
      </c>
      <c r="AG374" s="183">
        <v>23</v>
      </c>
    </row>
    <row r="375" spans="1:41" ht="15" customHeight="1" x14ac:dyDescent="0.2">
      <c r="A375" s="141" t="s">
        <v>313</v>
      </c>
      <c r="B375" s="187" t="s">
        <v>1759</v>
      </c>
      <c r="C375" s="141">
        <v>2015</v>
      </c>
      <c r="D375" s="188">
        <v>51</v>
      </c>
      <c r="E375" s="135">
        <v>876</v>
      </c>
      <c r="F375" s="192" t="s">
        <v>1163</v>
      </c>
      <c r="G375" s="188">
        <v>0</v>
      </c>
      <c r="H375" s="188">
        <v>0</v>
      </c>
      <c r="I375" s="188">
        <v>0</v>
      </c>
      <c r="J375" s="188">
        <v>0</v>
      </c>
      <c r="K375" s="188">
        <v>0</v>
      </c>
      <c r="L375" s="188">
        <v>0</v>
      </c>
      <c r="M375" s="188">
        <v>0</v>
      </c>
      <c r="N375" s="188">
        <v>0</v>
      </c>
      <c r="O375" s="188">
        <v>0</v>
      </c>
      <c r="P375" s="188">
        <v>0</v>
      </c>
      <c r="Q375" s="188">
        <v>0</v>
      </c>
      <c r="R375" s="188">
        <v>0</v>
      </c>
      <c r="S375" s="188">
        <v>0</v>
      </c>
      <c r="T375" s="188">
        <v>0</v>
      </c>
      <c r="U375" s="188">
        <v>0</v>
      </c>
      <c r="V375" s="188">
        <v>1</v>
      </c>
      <c r="W375" s="188">
        <v>0</v>
      </c>
      <c r="X375" s="188">
        <v>0</v>
      </c>
      <c r="Y375" s="188">
        <v>0</v>
      </c>
      <c r="Z375" s="188">
        <v>1</v>
      </c>
      <c r="AA375" s="188">
        <v>0</v>
      </c>
      <c r="AB375" s="188">
        <v>1</v>
      </c>
      <c r="AC375" s="188">
        <v>1</v>
      </c>
      <c r="AD375" s="188">
        <v>0</v>
      </c>
      <c r="AE375" s="188">
        <v>0</v>
      </c>
      <c r="AF375" s="191">
        <v>1</v>
      </c>
      <c r="AG375" s="183">
        <v>4</v>
      </c>
      <c r="AH375" s="4"/>
    </row>
    <row r="376" spans="1:41" ht="15" customHeight="1" x14ac:dyDescent="0.2">
      <c r="A376" s="141" t="s">
        <v>313</v>
      </c>
      <c r="B376" s="187" t="s">
        <v>1759</v>
      </c>
      <c r="C376" s="141">
        <v>2015</v>
      </c>
      <c r="D376" s="188">
        <v>51</v>
      </c>
      <c r="E376" s="135">
        <v>4292</v>
      </c>
      <c r="F376" s="192" t="s">
        <v>1859</v>
      </c>
      <c r="G376" s="188">
        <v>0</v>
      </c>
      <c r="H376" s="188">
        <v>1</v>
      </c>
      <c r="I376" s="188">
        <v>0</v>
      </c>
      <c r="J376" s="188">
        <v>1</v>
      </c>
      <c r="K376" s="188">
        <v>0</v>
      </c>
      <c r="L376" s="188">
        <v>0</v>
      </c>
      <c r="M376" s="188">
        <v>1</v>
      </c>
      <c r="N376" s="188">
        <v>1</v>
      </c>
      <c r="O376" s="188">
        <v>1</v>
      </c>
      <c r="P376" s="188">
        <v>0</v>
      </c>
      <c r="Q376" s="188">
        <v>1</v>
      </c>
      <c r="R376" s="188">
        <v>1</v>
      </c>
      <c r="S376" s="188">
        <v>0</v>
      </c>
      <c r="T376" s="188">
        <v>1</v>
      </c>
      <c r="U376" s="188">
        <v>1</v>
      </c>
      <c r="V376" s="188">
        <v>1</v>
      </c>
      <c r="W376" s="188">
        <v>1</v>
      </c>
      <c r="X376" s="188">
        <v>0</v>
      </c>
      <c r="Y376" s="188">
        <v>1</v>
      </c>
      <c r="Z376" s="188">
        <v>1</v>
      </c>
      <c r="AA376" s="188">
        <v>0</v>
      </c>
      <c r="AB376" s="188">
        <v>1</v>
      </c>
      <c r="AC376" s="188">
        <v>0</v>
      </c>
      <c r="AD376" s="188">
        <v>1</v>
      </c>
      <c r="AE376" s="188">
        <v>0</v>
      </c>
      <c r="AF376" s="191">
        <v>1</v>
      </c>
      <c r="AG376" s="183">
        <v>15</v>
      </c>
      <c r="AH376" s="4" t="s">
        <v>1858</v>
      </c>
      <c r="AI376" s="5" t="s">
        <v>1661</v>
      </c>
      <c r="AL376" s="5" t="s">
        <v>1672</v>
      </c>
      <c r="AO376" s="5" t="s">
        <v>1672</v>
      </c>
    </row>
    <row r="377" spans="1:41" ht="15" customHeight="1" x14ac:dyDescent="0.2">
      <c r="A377" s="141" t="s">
        <v>313</v>
      </c>
      <c r="B377" s="187" t="s">
        <v>1759</v>
      </c>
      <c r="C377" s="141">
        <v>2015</v>
      </c>
      <c r="D377" s="188">
        <v>51</v>
      </c>
      <c r="E377" s="135">
        <v>1961</v>
      </c>
      <c r="F377" s="192" t="s">
        <v>774</v>
      </c>
      <c r="G377" s="188">
        <v>0</v>
      </c>
      <c r="H377" s="188">
        <v>0</v>
      </c>
      <c r="I377" s="188">
        <v>0</v>
      </c>
      <c r="J377" s="188">
        <v>0</v>
      </c>
      <c r="K377" s="188">
        <v>0</v>
      </c>
      <c r="L377" s="188">
        <v>0</v>
      </c>
      <c r="M377" s="188">
        <v>0</v>
      </c>
      <c r="N377" s="188">
        <v>0</v>
      </c>
      <c r="O377" s="188">
        <v>0</v>
      </c>
      <c r="P377" s="188">
        <v>0</v>
      </c>
      <c r="Q377" s="188">
        <v>0</v>
      </c>
      <c r="R377" s="188">
        <v>0</v>
      </c>
      <c r="S377" s="188">
        <v>0</v>
      </c>
      <c r="T377" s="188">
        <v>0</v>
      </c>
      <c r="U377" s="188">
        <v>0</v>
      </c>
      <c r="V377" s="188">
        <v>0</v>
      </c>
      <c r="W377" s="188">
        <v>1</v>
      </c>
      <c r="X377" s="188">
        <v>1</v>
      </c>
      <c r="Y377" s="188">
        <v>1</v>
      </c>
      <c r="Z377" s="188">
        <v>0</v>
      </c>
      <c r="AA377" s="188">
        <v>1</v>
      </c>
      <c r="AB377" s="188">
        <v>0</v>
      </c>
      <c r="AC377" s="188">
        <v>1</v>
      </c>
      <c r="AD377" s="188">
        <v>1</v>
      </c>
      <c r="AE377" s="188">
        <v>1</v>
      </c>
      <c r="AF377" s="190">
        <v>0.1</v>
      </c>
      <c r="AG377" s="183">
        <v>7</v>
      </c>
      <c r="AI377" s="5" t="s">
        <v>1655</v>
      </c>
      <c r="AL377" s="5" t="s">
        <v>1668</v>
      </c>
      <c r="AO377" s="5" t="s">
        <v>1668</v>
      </c>
    </row>
    <row r="378" spans="1:41" ht="15" customHeight="1" x14ac:dyDescent="0.2">
      <c r="A378" s="141" t="s">
        <v>313</v>
      </c>
      <c r="B378" s="187" t="s">
        <v>1759</v>
      </c>
      <c r="C378" s="141">
        <v>2015</v>
      </c>
      <c r="D378" s="188">
        <v>52</v>
      </c>
      <c r="E378" s="135">
        <v>2607</v>
      </c>
      <c r="F378" s="189" t="s">
        <v>616</v>
      </c>
      <c r="G378" s="188">
        <v>0</v>
      </c>
      <c r="H378" s="188">
        <v>0</v>
      </c>
      <c r="I378" s="188">
        <v>0</v>
      </c>
      <c r="J378" s="188">
        <v>0</v>
      </c>
      <c r="K378" s="188">
        <v>0</v>
      </c>
      <c r="L378" s="188">
        <v>0</v>
      </c>
      <c r="M378" s="188">
        <v>0</v>
      </c>
      <c r="N378" s="188">
        <v>0</v>
      </c>
      <c r="O378" s="188">
        <v>1</v>
      </c>
      <c r="P378" s="188">
        <v>1</v>
      </c>
      <c r="Q378" s="188">
        <v>0</v>
      </c>
      <c r="R378" s="188">
        <v>0</v>
      </c>
      <c r="S378" s="188">
        <v>0</v>
      </c>
      <c r="T378" s="188">
        <v>0</v>
      </c>
      <c r="U378" s="188">
        <v>1</v>
      </c>
      <c r="V378" s="188">
        <v>0</v>
      </c>
      <c r="W378" s="188">
        <v>0</v>
      </c>
      <c r="X378" s="188">
        <v>0</v>
      </c>
      <c r="Y378" s="188">
        <v>0</v>
      </c>
      <c r="Z378" s="188">
        <v>1</v>
      </c>
      <c r="AA378" s="188">
        <v>0</v>
      </c>
      <c r="AB378" s="188">
        <v>0</v>
      </c>
      <c r="AC378" s="188">
        <v>0</v>
      </c>
      <c r="AD378" s="188">
        <v>0</v>
      </c>
      <c r="AE378" s="188">
        <v>0</v>
      </c>
      <c r="AF378" s="191">
        <v>10</v>
      </c>
      <c r="AG378" s="183">
        <v>4</v>
      </c>
    </row>
    <row r="379" spans="1:41" ht="15" customHeight="1" x14ac:dyDescent="0.2">
      <c r="A379" s="141" t="s">
        <v>313</v>
      </c>
      <c r="B379" s="187" t="s">
        <v>1759</v>
      </c>
      <c r="C379" s="141">
        <v>2015</v>
      </c>
      <c r="D379" s="188">
        <v>52</v>
      </c>
      <c r="E379" s="135">
        <v>278</v>
      </c>
      <c r="F379" s="192" t="s">
        <v>132</v>
      </c>
      <c r="G379" s="188">
        <v>1</v>
      </c>
      <c r="H379" s="188">
        <v>1</v>
      </c>
      <c r="I379" s="188">
        <v>1</v>
      </c>
      <c r="J379" s="188">
        <v>1</v>
      </c>
      <c r="K379" s="188">
        <v>0</v>
      </c>
      <c r="L379" s="188">
        <v>1</v>
      </c>
      <c r="M379" s="188">
        <v>1</v>
      </c>
      <c r="N379" s="188">
        <v>1</v>
      </c>
      <c r="O379" s="188">
        <v>1</v>
      </c>
      <c r="P379" s="188">
        <v>1</v>
      </c>
      <c r="Q379" s="188">
        <v>1</v>
      </c>
      <c r="R379" s="188">
        <v>0</v>
      </c>
      <c r="S379" s="188">
        <v>0</v>
      </c>
      <c r="T379" s="188">
        <v>1</v>
      </c>
      <c r="U379" s="188">
        <v>1</v>
      </c>
      <c r="V379" s="188">
        <v>0</v>
      </c>
      <c r="W379" s="188">
        <v>0</v>
      </c>
      <c r="X379" s="188">
        <v>0</v>
      </c>
      <c r="Y379" s="188">
        <v>0</v>
      </c>
      <c r="Z379" s="188">
        <v>1</v>
      </c>
      <c r="AA379" s="188">
        <v>0</v>
      </c>
      <c r="AB379" s="188">
        <v>0</v>
      </c>
      <c r="AC379" s="188">
        <v>0</v>
      </c>
      <c r="AD379" s="188">
        <v>1</v>
      </c>
      <c r="AE379" s="188">
        <v>1</v>
      </c>
      <c r="AF379" s="191">
        <v>20</v>
      </c>
      <c r="AG379" s="183">
        <v>15</v>
      </c>
    </row>
    <row r="380" spans="1:41" ht="15" customHeight="1" x14ac:dyDescent="0.2">
      <c r="A380" s="141" t="s">
        <v>313</v>
      </c>
      <c r="B380" s="187" t="s">
        <v>1759</v>
      </c>
      <c r="C380" s="141">
        <v>2015</v>
      </c>
      <c r="D380" s="141">
        <v>52</v>
      </c>
      <c r="E380" s="135">
        <v>1576</v>
      </c>
      <c r="F380" s="192" t="s">
        <v>882</v>
      </c>
      <c r="G380" s="141">
        <v>0</v>
      </c>
      <c r="H380" s="141">
        <v>1</v>
      </c>
      <c r="I380" s="141">
        <v>0</v>
      </c>
      <c r="J380" s="141">
        <v>1</v>
      </c>
      <c r="K380" s="141">
        <v>1</v>
      </c>
      <c r="L380" s="141">
        <v>0</v>
      </c>
      <c r="M380" s="141">
        <v>0</v>
      </c>
      <c r="N380" s="141">
        <v>0</v>
      </c>
      <c r="O380" s="141">
        <v>1</v>
      </c>
      <c r="P380" s="141">
        <v>1</v>
      </c>
      <c r="Q380" s="141">
        <v>0</v>
      </c>
      <c r="R380" s="141">
        <v>0</v>
      </c>
      <c r="S380" s="141">
        <v>0</v>
      </c>
      <c r="T380" s="141">
        <v>0</v>
      </c>
      <c r="U380" s="141">
        <v>0</v>
      </c>
      <c r="V380" s="141">
        <v>0</v>
      </c>
      <c r="W380" s="141">
        <v>0</v>
      </c>
      <c r="X380" s="141">
        <v>0</v>
      </c>
      <c r="Y380" s="141">
        <v>0</v>
      </c>
      <c r="Z380" s="141">
        <v>0</v>
      </c>
      <c r="AA380" s="141">
        <v>1</v>
      </c>
      <c r="AB380" s="141">
        <v>0</v>
      </c>
      <c r="AC380" s="141">
        <v>1</v>
      </c>
      <c r="AD380" s="141">
        <v>1</v>
      </c>
      <c r="AE380" s="141">
        <v>0</v>
      </c>
      <c r="AF380" s="148">
        <v>2</v>
      </c>
      <c r="AG380" s="183">
        <v>8</v>
      </c>
      <c r="AH380" s="4"/>
    </row>
    <row r="381" spans="1:41" ht="15" customHeight="1" x14ac:dyDescent="0.2">
      <c r="A381" s="141" t="s">
        <v>313</v>
      </c>
      <c r="B381" s="187" t="s">
        <v>1759</v>
      </c>
      <c r="C381" s="141">
        <v>2015</v>
      </c>
      <c r="D381" s="188">
        <v>52</v>
      </c>
      <c r="E381" s="135">
        <v>2714</v>
      </c>
      <c r="F381" s="192" t="s">
        <v>556</v>
      </c>
      <c r="G381" s="188">
        <v>0</v>
      </c>
      <c r="H381" s="188">
        <v>0</v>
      </c>
      <c r="I381" s="188">
        <v>0</v>
      </c>
      <c r="J381" s="188">
        <v>0</v>
      </c>
      <c r="K381" s="188">
        <v>0</v>
      </c>
      <c r="L381" s="188">
        <v>0</v>
      </c>
      <c r="M381" s="188">
        <v>0</v>
      </c>
      <c r="N381" s="188">
        <v>0</v>
      </c>
      <c r="O381" s="188">
        <v>0</v>
      </c>
      <c r="P381" s="188">
        <v>0</v>
      </c>
      <c r="Q381" s="188">
        <v>0</v>
      </c>
      <c r="R381" s="188">
        <v>0</v>
      </c>
      <c r="S381" s="188">
        <v>1</v>
      </c>
      <c r="T381" s="188">
        <v>0</v>
      </c>
      <c r="U381" s="188">
        <v>0</v>
      </c>
      <c r="V381" s="188">
        <v>0</v>
      </c>
      <c r="W381" s="188">
        <v>0</v>
      </c>
      <c r="X381" s="188">
        <v>0</v>
      </c>
      <c r="Y381" s="188">
        <v>0</v>
      </c>
      <c r="Z381" s="188">
        <v>0</v>
      </c>
      <c r="AA381" s="188">
        <v>0</v>
      </c>
      <c r="AB381" s="188">
        <v>0</v>
      </c>
      <c r="AC381" s="188">
        <v>0</v>
      </c>
      <c r="AD381" s="188">
        <v>0</v>
      </c>
      <c r="AE381" s="188">
        <v>0</v>
      </c>
      <c r="AF381" s="191">
        <v>0.1</v>
      </c>
      <c r="AG381" s="183">
        <v>1</v>
      </c>
    </row>
    <row r="382" spans="1:41" ht="15" customHeight="1" x14ac:dyDescent="0.2">
      <c r="A382" s="141" t="s">
        <v>313</v>
      </c>
      <c r="B382" s="187" t="s">
        <v>1759</v>
      </c>
      <c r="C382" s="141">
        <v>2015</v>
      </c>
      <c r="D382" s="188">
        <v>52</v>
      </c>
      <c r="E382" s="135">
        <v>2694</v>
      </c>
      <c r="F382" s="192" t="s">
        <v>570</v>
      </c>
      <c r="G382" s="188">
        <v>0</v>
      </c>
      <c r="H382" s="188">
        <v>0</v>
      </c>
      <c r="I382" s="188">
        <v>1</v>
      </c>
      <c r="J382" s="188">
        <v>1</v>
      </c>
      <c r="K382" s="188">
        <v>1</v>
      </c>
      <c r="L382" s="188">
        <v>1</v>
      </c>
      <c r="M382" s="188">
        <v>0</v>
      </c>
      <c r="N382" s="188">
        <v>1</v>
      </c>
      <c r="O382" s="188">
        <v>1</v>
      </c>
      <c r="P382" s="188">
        <v>1</v>
      </c>
      <c r="Q382" s="188">
        <v>1</v>
      </c>
      <c r="R382" s="188">
        <v>0</v>
      </c>
      <c r="S382" s="188">
        <v>0</v>
      </c>
      <c r="T382" s="188">
        <v>0</v>
      </c>
      <c r="U382" s="188">
        <v>0</v>
      </c>
      <c r="V382" s="188">
        <v>0</v>
      </c>
      <c r="W382" s="188">
        <v>1</v>
      </c>
      <c r="X382" s="188">
        <v>1</v>
      </c>
      <c r="Y382" s="188">
        <v>1</v>
      </c>
      <c r="Z382" s="188">
        <v>1</v>
      </c>
      <c r="AA382" s="188">
        <v>1</v>
      </c>
      <c r="AB382" s="188">
        <v>1</v>
      </c>
      <c r="AC382" s="188">
        <v>1</v>
      </c>
      <c r="AD382" s="188">
        <v>1</v>
      </c>
      <c r="AE382" s="188">
        <v>1</v>
      </c>
      <c r="AF382" s="191">
        <v>1</v>
      </c>
      <c r="AG382" s="183">
        <v>17</v>
      </c>
      <c r="AH382" s="5" t="s">
        <v>1854</v>
      </c>
      <c r="AL382" s="5" t="s">
        <v>1672</v>
      </c>
      <c r="AO382" s="5" t="s">
        <v>1672</v>
      </c>
    </row>
    <row r="383" spans="1:41" ht="15" customHeight="1" x14ac:dyDescent="0.2">
      <c r="A383" s="141" t="s">
        <v>313</v>
      </c>
      <c r="B383" s="187" t="s">
        <v>1759</v>
      </c>
      <c r="C383" s="141">
        <v>2015</v>
      </c>
      <c r="D383" s="188">
        <v>52</v>
      </c>
      <c r="E383" s="135" t="e">
        <v>#N/A</v>
      </c>
      <c r="F383" s="192" t="s">
        <v>1769</v>
      </c>
      <c r="G383" s="188">
        <v>0</v>
      </c>
      <c r="H383" s="188">
        <v>0</v>
      </c>
      <c r="I383" s="188">
        <v>0</v>
      </c>
      <c r="J383" s="188">
        <v>0</v>
      </c>
      <c r="K383" s="188">
        <v>1</v>
      </c>
      <c r="L383" s="188">
        <v>0</v>
      </c>
      <c r="M383" s="188">
        <v>0</v>
      </c>
      <c r="N383" s="188">
        <v>0</v>
      </c>
      <c r="O383" s="188">
        <v>1</v>
      </c>
      <c r="P383" s="188">
        <v>0</v>
      </c>
      <c r="Q383" s="188">
        <v>0</v>
      </c>
      <c r="R383" s="188">
        <v>0</v>
      </c>
      <c r="S383" s="188">
        <v>0</v>
      </c>
      <c r="T383" s="188">
        <v>0</v>
      </c>
      <c r="U383" s="188">
        <v>0</v>
      </c>
      <c r="V383" s="188">
        <v>1</v>
      </c>
      <c r="W383" s="188">
        <v>1</v>
      </c>
      <c r="X383" s="188">
        <v>1</v>
      </c>
      <c r="Y383" s="188">
        <v>1</v>
      </c>
      <c r="Z383" s="188">
        <v>0</v>
      </c>
      <c r="AA383" s="188">
        <v>0</v>
      </c>
      <c r="AB383" s="188">
        <v>0</v>
      </c>
      <c r="AC383" s="188">
        <v>1</v>
      </c>
      <c r="AD383" s="188">
        <v>0</v>
      </c>
      <c r="AE383" s="188">
        <v>1</v>
      </c>
      <c r="AF383" s="191">
        <v>0.1</v>
      </c>
      <c r="AG383" s="183">
        <v>8</v>
      </c>
      <c r="AH383" s="4" t="s">
        <v>1800</v>
      </c>
      <c r="AI383" s="5" t="s">
        <v>1655</v>
      </c>
      <c r="AL383" s="5" t="s">
        <v>1668</v>
      </c>
      <c r="AM383" s="5" t="s">
        <v>1671</v>
      </c>
      <c r="AO383" s="5" t="s">
        <v>1668</v>
      </c>
    </row>
    <row r="384" spans="1:41" ht="15" customHeight="1" x14ac:dyDescent="0.2">
      <c r="A384" s="141" t="s">
        <v>313</v>
      </c>
      <c r="B384" s="187" t="s">
        <v>1759</v>
      </c>
      <c r="C384" s="141">
        <v>2015</v>
      </c>
      <c r="D384" s="188">
        <v>52</v>
      </c>
      <c r="E384" s="135">
        <v>541</v>
      </c>
      <c r="F384" s="192" t="s">
        <v>1313</v>
      </c>
      <c r="G384" s="188">
        <v>1</v>
      </c>
      <c r="H384" s="188">
        <v>1</v>
      </c>
      <c r="I384" s="188">
        <v>1</v>
      </c>
      <c r="J384" s="188">
        <v>1</v>
      </c>
      <c r="K384" s="188">
        <v>1</v>
      </c>
      <c r="L384" s="188">
        <v>1</v>
      </c>
      <c r="M384" s="188">
        <v>1</v>
      </c>
      <c r="N384" s="188">
        <v>1</v>
      </c>
      <c r="O384" s="188">
        <v>1</v>
      </c>
      <c r="P384" s="188">
        <v>1</v>
      </c>
      <c r="Q384" s="188">
        <v>1</v>
      </c>
      <c r="R384" s="188">
        <v>1</v>
      </c>
      <c r="S384" s="188">
        <v>1</v>
      </c>
      <c r="T384" s="188">
        <v>1</v>
      </c>
      <c r="U384" s="188">
        <v>1</v>
      </c>
      <c r="V384" s="188">
        <v>1</v>
      </c>
      <c r="W384" s="188">
        <v>1</v>
      </c>
      <c r="X384" s="188">
        <v>1</v>
      </c>
      <c r="Y384" s="188">
        <v>1</v>
      </c>
      <c r="Z384" s="188">
        <v>1</v>
      </c>
      <c r="AA384" s="188">
        <v>1</v>
      </c>
      <c r="AB384" s="188">
        <v>1</v>
      </c>
      <c r="AC384" s="188">
        <v>1</v>
      </c>
      <c r="AD384" s="188">
        <v>1</v>
      </c>
      <c r="AE384" s="188">
        <v>1</v>
      </c>
      <c r="AF384" s="191">
        <v>30</v>
      </c>
      <c r="AG384" s="183">
        <v>25</v>
      </c>
    </row>
    <row r="385" spans="1:41" ht="15" customHeight="1" x14ac:dyDescent="0.2">
      <c r="A385" s="141" t="s">
        <v>313</v>
      </c>
      <c r="B385" s="187" t="s">
        <v>1759</v>
      </c>
      <c r="C385" s="141">
        <v>2015</v>
      </c>
      <c r="D385" s="188">
        <v>52</v>
      </c>
      <c r="E385" s="135">
        <v>574</v>
      </c>
      <c r="F385" s="192" t="s">
        <v>1300</v>
      </c>
      <c r="G385" s="188">
        <v>1</v>
      </c>
      <c r="H385" s="188">
        <v>0</v>
      </c>
      <c r="I385" s="188">
        <v>0</v>
      </c>
      <c r="J385" s="188">
        <v>0</v>
      </c>
      <c r="K385" s="188">
        <v>0</v>
      </c>
      <c r="L385" s="188">
        <v>0</v>
      </c>
      <c r="M385" s="188">
        <v>0</v>
      </c>
      <c r="N385" s="188">
        <v>1</v>
      </c>
      <c r="O385" s="188">
        <v>1</v>
      </c>
      <c r="P385" s="188">
        <v>0</v>
      </c>
      <c r="Q385" s="188">
        <v>0</v>
      </c>
      <c r="R385" s="188">
        <v>0</v>
      </c>
      <c r="S385" s="188">
        <v>0</v>
      </c>
      <c r="T385" s="188">
        <v>0</v>
      </c>
      <c r="U385" s="188">
        <v>0</v>
      </c>
      <c r="V385" s="188">
        <v>0</v>
      </c>
      <c r="W385" s="188">
        <v>0</v>
      </c>
      <c r="X385" s="188">
        <v>1</v>
      </c>
      <c r="Y385" s="188">
        <v>0</v>
      </c>
      <c r="Z385" s="188">
        <v>0</v>
      </c>
      <c r="AA385" s="188">
        <v>1</v>
      </c>
      <c r="AB385" s="188">
        <v>1</v>
      </c>
      <c r="AC385" s="188">
        <v>0</v>
      </c>
      <c r="AD385" s="188">
        <v>0</v>
      </c>
      <c r="AE385" s="188">
        <v>0</v>
      </c>
      <c r="AF385" s="191">
        <v>0.1</v>
      </c>
      <c r="AG385" s="183">
        <v>6</v>
      </c>
      <c r="AH385" s="4"/>
      <c r="AI385" s="5" t="s">
        <v>1655</v>
      </c>
      <c r="AL385" s="5" t="s">
        <v>1668</v>
      </c>
      <c r="AO385" s="5" t="s">
        <v>1668</v>
      </c>
    </row>
    <row r="386" spans="1:41" ht="15" customHeight="1" x14ac:dyDescent="0.2">
      <c r="A386" s="141" t="s">
        <v>313</v>
      </c>
      <c r="B386" s="187" t="s">
        <v>1759</v>
      </c>
      <c r="C386" s="141">
        <v>2015</v>
      </c>
      <c r="D386" s="188">
        <v>52</v>
      </c>
      <c r="E386" s="135">
        <v>736</v>
      </c>
      <c r="F386" s="192" t="s">
        <v>1223</v>
      </c>
      <c r="G386" s="188">
        <v>0</v>
      </c>
      <c r="H386" s="188">
        <v>0</v>
      </c>
      <c r="I386" s="188">
        <v>0</v>
      </c>
      <c r="J386" s="188">
        <v>0</v>
      </c>
      <c r="K386" s="188">
        <v>0</v>
      </c>
      <c r="L386" s="188">
        <v>1</v>
      </c>
      <c r="M386" s="188">
        <v>1</v>
      </c>
      <c r="N386" s="188">
        <v>0</v>
      </c>
      <c r="O386" s="188">
        <v>0</v>
      </c>
      <c r="P386" s="188">
        <v>0</v>
      </c>
      <c r="Q386" s="188">
        <v>1</v>
      </c>
      <c r="R386" s="188">
        <v>1</v>
      </c>
      <c r="S386" s="188">
        <v>0</v>
      </c>
      <c r="T386" s="188">
        <v>0</v>
      </c>
      <c r="U386" s="188">
        <v>0</v>
      </c>
      <c r="V386" s="188">
        <v>0</v>
      </c>
      <c r="W386" s="188">
        <v>0</v>
      </c>
      <c r="X386" s="188">
        <v>0</v>
      </c>
      <c r="Y386" s="188">
        <v>0</v>
      </c>
      <c r="Z386" s="188">
        <v>0</v>
      </c>
      <c r="AA386" s="188">
        <v>0</v>
      </c>
      <c r="AB386" s="188">
        <v>0</v>
      </c>
      <c r="AC386" s="188">
        <v>1</v>
      </c>
      <c r="AD386" s="188">
        <v>1</v>
      </c>
      <c r="AE386" s="188">
        <v>0</v>
      </c>
      <c r="AF386" s="191">
        <v>2</v>
      </c>
      <c r="AG386" s="183">
        <v>6</v>
      </c>
      <c r="AH386" s="4"/>
    </row>
    <row r="387" spans="1:41" ht="15" customHeight="1" x14ac:dyDescent="0.2">
      <c r="A387" s="141" t="s">
        <v>313</v>
      </c>
      <c r="B387" s="187" t="s">
        <v>1759</v>
      </c>
      <c r="C387" s="141">
        <v>2015</v>
      </c>
      <c r="D387" s="188">
        <v>52</v>
      </c>
      <c r="E387" s="135">
        <v>876</v>
      </c>
      <c r="F387" s="192" t="s">
        <v>1163</v>
      </c>
      <c r="G387" s="188">
        <v>0</v>
      </c>
      <c r="H387" s="188">
        <v>0</v>
      </c>
      <c r="I387" s="188">
        <v>0</v>
      </c>
      <c r="J387" s="188">
        <v>1</v>
      </c>
      <c r="K387" s="188">
        <v>0</v>
      </c>
      <c r="L387" s="188">
        <v>0</v>
      </c>
      <c r="M387" s="188">
        <v>1</v>
      </c>
      <c r="N387" s="188">
        <v>0</v>
      </c>
      <c r="O387" s="188">
        <v>0</v>
      </c>
      <c r="P387" s="188">
        <v>0</v>
      </c>
      <c r="Q387" s="188">
        <v>1</v>
      </c>
      <c r="R387" s="188">
        <v>1</v>
      </c>
      <c r="S387" s="188">
        <v>1</v>
      </c>
      <c r="T387" s="188">
        <v>0</v>
      </c>
      <c r="U387" s="188">
        <v>0</v>
      </c>
      <c r="V387" s="188">
        <v>1</v>
      </c>
      <c r="W387" s="188">
        <v>0</v>
      </c>
      <c r="X387" s="188">
        <v>0</v>
      </c>
      <c r="Y387" s="188">
        <v>0</v>
      </c>
      <c r="Z387" s="188">
        <v>0</v>
      </c>
      <c r="AA387" s="188">
        <v>1</v>
      </c>
      <c r="AB387" s="188">
        <v>1</v>
      </c>
      <c r="AC387" s="188">
        <v>1</v>
      </c>
      <c r="AD387" s="188">
        <v>0</v>
      </c>
      <c r="AE387" s="188">
        <v>0</v>
      </c>
      <c r="AF387" s="191">
        <v>7</v>
      </c>
      <c r="AG387" s="183">
        <v>9</v>
      </c>
    </row>
    <row r="388" spans="1:41" ht="15" customHeight="1" x14ac:dyDescent="0.2">
      <c r="A388" s="141" t="s">
        <v>313</v>
      </c>
      <c r="B388" s="187" t="s">
        <v>1759</v>
      </c>
      <c r="C388" s="141">
        <v>2015</v>
      </c>
      <c r="D388" s="188">
        <v>52</v>
      </c>
      <c r="E388" s="135">
        <v>1894</v>
      </c>
      <c r="F388" s="192" t="s">
        <v>795</v>
      </c>
      <c r="G388" s="188">
        <v>1</v>
      </c>
      <c r="H388" s="188">
        <v>0</v>
      </c>
      <c r="I388" s="188">
        <v>0</v>
      </c>
      <c r="J388" s="188">
        <v>1</v>
      </c>
      <c r="K388" s="188">
        <v>1</v>
      </c>
      <c r="L388" s="188">
        <v>0</v>
      </c>
      <c r="M388" s="188">
        <v>1</v>
      </c>
      <c r="N388" s="188">
        <v>0</v>
      </c>
      <c r="O388" s="188">
        <v>1</v>
      </c>
      <c r="P388" s="188">
        <v>1</v>
      </c>
      <c r="Q388" s="188">
        <v>1</v>
      </c>
      <c r="R388" s="188">
        <v>1</v>
      </c>
      <c r="S388" s="188">
        <v>0</v>
      </c>
      <c r="T388" s="188">
        <v>0</v>
      </c>
      <c r="U388" s="188">
        <v>1</v>
      </c>
      <c r="V388" s="188">
        <v>1</v>
      </c>
      <c r="W388" s="188">
        <v>1</v>
      </c>
      <c r="X388" s="188">
        <v>1</v>
      </c>
      <c r="Y388" s="188">
        <v>1</v>
      </c>
      <c r="Z388" s="188">
        <v>0</v>
      </c>
      <c r="AA388" s="188">
        <v>1</v>
      </c>
      <c r="AB388" s="188">
        <v>1</v>
      </c>
      <c r="AC388" s="188">
        <v>1</v>
      </c>
      <c r="AD388" s="188">
        <v>1</v>
      </c>
      <c r="AE388" s="188">
        <v>0</v>
      </c>
      <c r="AF388" s="191">
        <v>20</v>
      </c>
      <c r="AG388" s="183">
        <v>17</v>
      </c>
    </row>
    <row r="389" spans="1:41" ht="15" customHeight="1" x14ac:dyDescent="0.2">
      <c r="A389" s="141" t="s">
        <v>313</v>
      </c>
      <c r="B389" s="187" t="s">
        <v>1759</v>
      </c>
      <c r="C389" s="141">
        <v>2015</v>
      </c>
      <c r="D389" s="188">
        <v>52</v>
      </c>
      <c r="E389" s="135">
        <v>1914</v>
      </c>
      <c r="F389" s="192" t="s">
        <v>791</v>
      </c>
      <c r="G389" s="188">
        <v>0</v>
      </c>
      <c r="H389" s="188">
        <v>0</v>
      </c>
      <c r="I389" s="188">
        <v>0</v>
      </c>
      <c r="J389" s="188">
        <v>0</v>
      </c>
      <c r="K389" s="188">
        <v>0</v>
      </c>
      <c r="L389" s="188">
        <v>0</v>
      </c>
      <c r="M389" s="188">
        <v>1</v>
      </c>
      <c r="N389" s="188">
        <v>0</v>
      </c>
      <c r="O389" s="188">
        <v>0</v>
      </c>
      <c r="P389" s="188">
        <v>0</v>
      </c>
      <c r="Q389" s="188">
        <v>0</v>
      </c>
      <c r="R389" s="188">
        <v>0</v>
      </c>
      <c r="S389" s="188">
        <v>0</v>
      </c>
      <c r="T389" s="188">
        <v>0</v>
      </c>
      <c r="U389" s="188">
        <v>1</v>
      </c>
      <c r="V389" s="188">
        <v>0</v>
      </c>
      <c r="W389" s="188">
        <v>0</v>
      </c>
      <c r="X389" s="188">
        <v>0</v>
      </c>
      <c r="Y389" s="188">
        <v>0</v>
      </c>
      <c r="Z389" s="188">
        <v>0</v>
      </c>
      <c r="AA389" s="188">
        <v>0</v>
      </c>
      <c r="AB389" s="188">
        <v>0</v>
      </c>
      <c r="AC389" s="188">
        <v>0</v>
      </c>
      <c r="AD389" s="188">
        <v>0</v>
      </c>
      <c r="AE389" s="188">
        <v>1</v>
      </c>
      <c r="AF389" s="191">
        <v>0.1</v>
      </c>
      <c r="AG389" s="183">
        <v>3</v>
      </c>
      <c r="AI389" s="5" t="s">
        <v>1655</v>
      </c>
      <c r="AL389" s="5" t="s">
        <v>1668</v>
      </c>
      <c r="AO389" s="5" t="s">
        <v>1668</v>
      </c>
    </row>
    <row r="390" spans="1:41" ht="15" customHeight="1" x14ac:dyDescent="0.2">
      <c r="A390" s="141" t="s">
        <v>313</v>
      </c>
      <c r="B390" s="187" t="s">
        <v>1759</v>
      </c>
      <c r="C390" s="141">
        <v>2015</v>
      </c>
      <c r="D390" s="141">
        <v>52</v>
      </c>
      <c r="E390" s="135" t="e">
        <v>#N/A</v>
      </c>
      <c r="F390" s="192" t="s">
        <v>1772</v>
      </c>
      <c r="G390" s="141">
        <v>0</v>
      </c>
      <c r="H390" s="141">
        <v>0</v>
      </c>
      <c r="I390" s="141">
        <v>0</v>
      </c>
      <c r="J390" s="141">
        <v>0</v>
      </c>
      <c r="K390" s="141">
        <v>0</v>
      </c>
      <c r="L390" s="141">
        <v>1</v>
      </c>
      <c r="M390" s="141">
        <v>0</v>
      </c>
      <c r="N390" s="141">
        <v>0</v>
      </c>
      <c r="O390" s="141">
        <v>0</v>
      </c>
      <c r="P390" s="141">
        <v>0</v>
      </c>
      <c r="Q390" s="141">
        <v>1</v>
      </c>
      <c r="R390" s="141">
        <v>1</v>
      </c>
      <c r="S390" s="141">
        <v>0</v>
      </c>
      <c r="T390" s="141">
        <v>0</v>
      </c>
      <c r="U390" s="141">
        <v>1</v>
      </c>
      <c r="V390" s="141">
        <v>0</v>
      </c>
      <c r="W390" s="141">
        <v>0</v>
      </c>
      <c r="X390" s="141">
        <v>0</v>
      </c>
      <c r="Y390" s="141">
        <v>1</v>
      </c>
      <c r="Z390" s="141">
        <v>0</v>
      </c>
      <c r="AA390" s="141">
        <v>0</v>
      </c>
      <c r="AB390" s="141">
        <v>1</v>
      </c>
      <c r="AC390" s="141">
        <v>0</v>
      </c>
      <c r="AD390" s="141">
        <v>0</v>
      </c>
      <c r="AE390" s="141">
        <v>0</v>
      </c>
      <c r="AF390" s="148">
        <v>1</v>
      </c>
      <c r="AG390" s="183">
        <v>6</v>
      </c>
      <c r="AH390" s="4"/>
      <c r="AL390" s="5" t="s">
        <v>1434</v>
      </c>
      <c r="AO390" s="5" t="s">
        <v>1434</v>
      </c>
    </row>
    <row r="391" spans="1:41" ht="15" customHeight="1" x14ac:dyDescent="0.2">
      <c r="A391" s="141" t="s">
        <v>313</v>
      </c>
      <c r="B391" s="187" t="s">
        <v>1759</v>
      </c>
      <c r="C391" s="141">
        <v>2015</v>
      </c>
      <c r="D391" s="188">
        <v>53</v>
      </c>
      <c r="E391" s="135">
        <v>278</v>
      </c>
      <c r="F391" s="192" t="s">
        <v>132</v>
      </c>
      <c r="G391" s="188">
        <v>0</v>
      </c>
      <c r="H391" s="188">
        <v>1</v>
      </c>
      <c r="I391" s="188">
        <v>0</v>
      </c>
      <c r="J391" s="188">
        <v>0</v>
      </c>
      <c r="K391" s="188">
        <v>0</v>
      </c>
      <c r="L391" s="188">
        <v>0</v>
      </c>
      <c r="M391" s="188">
        <v>0</v>
      </c>
      <c r="N391" s="188">
        <v>0</v>
      </c>
      <c r="O391" s="188">
        <v>0</v>
      </c>
      <c r="P391" s="188">
        <v>0</v>
      </c>
      <c r="Q391" s="188">
        <v>0</v>
      </c>
      <c r="R391" s="188">
        <v>0</v>
      </c>
      <c r="S391" s="188">
        <v>0</v>
      </c>
      <c r="T391" s="188">
        <v>0</v>
      </c>
      <c r="U391" s="188">
        <v>0</v>
      </c>
      <c r="V391" s="188">
        <v>0</v>
      </c>
      <c r="W391" s="188">
        <v>0</v>
      </c>
      <c r="X391" s="188">
        <v>0</v>
      </c>
      <c r="Y391" s="188">
        <v>0</v>
      </c>
      <c r="Z391" s="188">
        <v>0</v>
      </c>
      <c r="AA391" s="188">
        <v>0</v>
      </c>
      <c r="AB391" s="188">
        <v>0</v>
      </c>
      <c r="AC391" s="188">
        <v>0</v>
      </c>
      <c r="AD391" s="188">
        <v>0</v>
      </c>
      <c r="AE391" s="188">
        <v>0</v>
      </c>
      <c r="AF391" s="191">
        <v>0.1</v>
      </c>
      <c r="AG391" s="183">
        <v>1</v>
      </c>
    </row>
    <row r="392" spans="1:41" ht="15" customHeight="1" x14ac:dyDescent="0.2">
      <c r="A392" s="141" t="s">
        <v>313</v>
      </c>
      <c r="B392" s="187" t="s">
        <v>1759</v>
      </c>
      <c r="C392" s="141">
        <v>2015</v>
      </c>
      <c r="D392" s="188">
        <v>53</v>
      </c>
      <c r="E392" s="135">
        <v>478</v>
      </c>
      <c r="F392" s="192" t="s">
        <v>24</v>
      </c>
      <c r="G392" s="188">
        <v>1</v>
      </c>
      <c r="H392" s="188">
        <v>1</v>
      </c>
      <c r="I392" s="188">
        <v>1</v>
      </c>
      <c r="J392" s="188">
        <v>1</v>
      </c>
      <c r="K392" s="188">
        <v>1</v>
      </c>
      <c r="L392" s="188">
        <v>1</v>
      </c>
      <c r="M392" s="188">
        <v>1</v>
      </c>
      <c r="N392" s="188">
        <v>1</v>
      </c>
      <c r="O392" s="188">
        <v>1</v>
      </c>
      <c r="P392" s="188">
        <v>1</v>
      </c>
      <c r="Q392" s="188">
        <v>1</v>
      </c>
      <c r="R392" s="188">
        <v>1</v>
      </c>
      <c r="S392" s="188">
        <v>1</v>
      </c>
      <c r="T392" s="188">
        <v>1</v>
      </c>
      <c r="U392" s="188">
        <v>1</v>
      </c>
      <c r="V392" s="188">
        <v>1</v>
      </c>
      <c r="W392" s="188">
        <v>1</v>
      </c>
      <c r="X392" s="188">
        <v>1</v>
      </c>
      <c r="Y392" s="188">
        <v>1</v>
      </c>
      <c r="Z392" s="188">
        <v>1</v>
      </c>
      <c r="AA392" s="188">
        <v>1</v>
      </c>
      <c r="AB392" s="188">
        <v>1</v>
      </c>
      <c r="AC392" s="188">
        <v>1</v>
      </c>
      <c r="AD392" s="188">
        <v>1</v>
      </c>
      <c r="AE392" s="188">
        <v>1</v>
      </c>
      <c r="AF392" s="191">
        <v>65</v>
      </c>
      <c r="AG392" s="183">
        <v>25</v>
      </c>
      <c r="AH392" s="4"/>
    </row>
    <row r="393" spans="1:41" ht="15" customHeight="1" x14ac:dyDescent="0.2">
      <c r="A393" s="141" t="s">
        <v>313</v>
      </c>
      <c r="B393" s="187" t="s">
        <v>1759</v>
      </c>
      <c r="C393" s="141">
        <v>2015</v>
      </c>
      <c r="D393" s="188">
        <v>53</v>
      </c>
      <c r="E393" s="135">
        <v>1638</v>
      </c>
      <c r="F393" s="192" t="s">
        <v>861</v>
      </c>
      <c r="G393" s="188">
        <v>0</v>
      </c>
      <c r="H393" s="188">
        <v>0</v>
      </c>
      <c r="I393" s="188">
        <v>0</v>
      </c>
      <c r="J393" s="188">
        <v>0</v>
      </c>
      <c r="K393" s="188">
        <v>0</v>
      </c>
      <c r="L393" s="188">
        <v>1</v>
      </c>
      <c r="M393" s="188">
        <v>1</v>
      </c>
      <c r="N393" s="188">
        <v>0</v>
      </c>
      <c r="O393" s="188">
        <v>0</v>
      </c>
      <c r="P393" s="188">
        <v>1</v>
      </c>
      <c r="Q393" s="188">
        <v>1</v>
      </c>
      <c r="R393" s="188">
        <v>0</v>
      </c>
      <c r="S393" s="188">
        <v>0</v>
      </c>
      <c r="T393" s="188">
        <v>0</v>
      </c>
      <c r="U393" s="188">
        <v>0</v>
      </c>
      <c r="V393" s="188">
        <v>0</v>
      </c>
      <c r="W393" s="188">
        <v>0</v>
      </c>
      <c r="X393" s="188">
        <v>0</v>
      </c>
      <c r="Y393" s="188">
        <v>0</v>
      </c>
      <c r="Z393" s="188">
        <v>0</v>
      </c>
      <c r="AA393" s="188">
        <v>0</v>
      </c>
      <c r="AB393" s="188">
        <v>0</v>
      </c>
      <c r="AC393" s="188">
        <v>1</v>
      </c>
      <c r="AD393" s="188">
        <v>0</v>
      </c>
      <c r="AE393" s="188">
        <v>0</v>
      </c>
      <c r="AF393" s="191">
        <v>0.5</v>
      </c>
      <c r="AG393" s="183">
        <v>5</v>
      </c>
    </row>
    <row r="394" spans="1:41" ht="15" customHeight="1" x14ac:dyDescent="0.2">
      <c r="A394" s="141" t="s">
        <v>313</v>
      </c>
      <c r="B394" s="187" t="s">
        <v>1759</v>
      </c>
      <c r="C394" s="141">
        <v>2015</v>
      </c>
      <c r="D394" s="188">
        <v>53</v>
      </c>
      <c r="E394" s="135">
        <v>541</v>
      </c>
      <c r="F394" s="192" t="s">
        <v>1313</v>
      </c>
      <c r="G394" s="188">
        <v>1</v>
      </c>
      <c r="H394" s="188">
        <v>1</v>
      </c>
      <c r="I394" s="188">
        <v>1</v>
      </c>
      <c r="J394" s="188">
        <v>1</v>
      </c>
      <c r="K394" s="188">
        <v>1</v>
      </c>
      <c r="L394" s="188">
        <v>1</v>
      </c>
      <c r="M394" s="188">
        <v>1</v>
      </c>
      <c r="N394" s="188">
        <v>1</v>
      </c>
      <c r="O394" s="188">
        <v>1</v>
      </c>
      <c r="P394" s="188">
        <v>1</v>
      </c>
      <c r="Q394" s="188">
        <v>1</v>
      </c>
      <c r="R394" s="188">
        <v>1</v>
      </c>
      <c r="S394" s="188">
        <v>1</v>
      </c>
      <c r="T394" s="188">
        <v>1</v>
      </c>
      <c r="U394" s="188">
        <v>1</v>
      </c>
      <c r="V394" s="188">
        <v>1</v>
      </c>
      <c r="W394" s="188">
        <v>1</v>
      </c>
      <c r="X394" s="188">
        <v>1</v>
      </c>
      <c r="Y394" s="188">
        <v>1</v>
      </c>
      <c r="Z394" s="188">
        <v>1</v>
      </c>
      <c r="AA394" s="188">
        <v>1</v>
      </c>
      <c r="AB394" s="188">
        <v>1</v>
      </c>
      <c r="AC394" s="188">
        <v>1</v>
      </c>
      <c r="AD394" s="188">
        <v>1</v>
      </c>
      <c r="AE394" s="188">
        <v>1</v>
      </c>
      <c r="AF394" s="191">
        <v>35</v>
      </c>
      <c r="AG394" s="183">
        <v>25</v>
      </c>
    </row>
    <row r="395" spans="1:41" ht="15" customHeight="1" x14ac:dyDescent="0.2">
      <c r="A395" s="141" t="s">
        <v>313</v>
      </c>
      <c r="B395" s="187" t="s">
        <v>1759</v>
      </c>
      <c r="C395" s="141">
        <v>2015</v>
      </c>
      <c r="D395" s="188">
        <v>53</v>
      </c>
      <c r="E395" s="135">
        <v>2695</v>
      </c>
      <c r="F395" s="189" t="s">
        <v>569</v>
      </c>
      <c r="G395" s="188">
        <v>0</v>
      </c>
      <c r="H395" s="188">
        <v>0</v>
      </c>
      <c r="I395" s="188">
        <v>0</v>
      </c>
      <c r="J395" s="188">
        <v>0</v>
      </c>
      <c r="K395" s="188">
        <v>0</v>
      </c>
      <c r="L395" s="188">
        <v>0</v>
      </c>
      <c r="M395" s="188">
        <v>0</v>
      </c>
      <c r="N395" s="188">
        <v>0</v>
      </c>
      <c r="O395" s="188">
        <v>0</v>
      </c>
      <c r="P395" s="188">
        <v>0</v>
      </c>
      <c r="Q395" s="188">
        <v>0</v>
      </c>
      <c r="R395" s="188">
        <v>0</v>
      </c>
      <c r="S395" s="188">
        <v>0</v>
      </c>
      <c r="T395" s="188">
        <v>0</v>
      </c>
      <c r="U395" s="188">
        <v>1</v>
      </c>
      <c r="V395" s="188">
        <v>0</v>
      </c>
      <c r="W395" s="188">
        <v>0</v>
      </c>
      <c r="X395" s="188">
        <v>0</v>
      </c>
      <c r="Y395" s="188">
        <v>0</v>
      </c>
      <c r="Z395" s="188">
        <v>1</v>
      </c>
      <c r="AA395" s="188">
        <v>0</v>
      </c>
      <c r="AB395" s="188">
        <v>0</v>
      </c>
      <c r="AC395" s="188">
        <v>1</v>
      </c>
      <c r="AD395" s="188">
        <v>0</v>
      </c>
      <c r="AE395" s="188">
        <v>0</v>
      </c>
      <c r="AF395" s="191">
        <v>0.1</v>
      </c>
      <c r="AG395" s="183">
        <v>3</v>
      </c>
      <c r="AL395" s="5" t="s">
        <v>1671</v>
      </c>
      <c r="AO395" s="5" t="s">
        <v>1671</v>
      </c>
    </row>
    <row r="396" spans="1:41" ht="15" customHeight="1" x14ac:dyDescent="0.2">
      <c r="A396" s="141" t="s">
        <v>313</v>
      </c>
      <c r="B396" s="187" t="s">
        <v>1759</v>
      </c>
      <c r="C396" s="141">
        <v>2015</v>
      </c>
      <c r="D396" s="188">
        <v>53</v>
      </c>
      <c r="E396" s="135">
        <v>2620</v>
      </c>
      <c r="F396" s="192" t="s">
        <v>605</v>
      </c>
      <c r="G396" s="188">
        <v>0</v>
      </c>
      <c r="H396" s="188">
        <v>0</v>
      </c>
      <c r="I396" s="188">
        <v>0</v>
      </c>
      <c r="J396" s="188">
        <v>0</v>
      </c>
      <c r="K396" s="188">
        <v>0</v>
      </c>
      <c r="L396" s="188">
        <v>0</v>
      </c>
      <c r="M396" s="188">
        <v>0</v>
      </c>
      <c r="N396" s="188">
        <v>0</v>
      </c>
      <c r="O396" s="188">
        <v>0</v>
      </c>
      <c r="P396" s="188">
        <v>0</v>
      </c>
      <c r="Q396" s="188">
        <v>0</v>
      </c>
      <c r="R396" s="188">
        <v>0</v>
      </c>
      <c r="S396" s="188">
        <v>0</v>
      </c>
      <c r="T396" s="188">
        <v>0</v>
      </c>
      <c r="U396" s="188">
        <v>0</v>
      </c>
      <c r="V396" s="188">
        <v>0</v>
      </c>
      <c r="W396" s="188">
        <v>0</v>
      </c>
      <c r="X396" s="188">
        <v>1</v>
      </c>
      <c r="Y396" s="188">
        <v>0</v>
      </c>
      <c r="Z396" s="188">
        <v>0</v>
      </c>
      <c r="AA396" s="188">
        <v>0</v>
      </c>
      <c r="AB396" s="188">
        <v>0</v>
      </c>
      <c r="AC396" s="188">
        <v>0</v>
      </c>
      <c r="AD396" s="188">
        <v>0</v>
      </c>
      <c r="AE396" s="188">
        <v>0</v>
      </c>
      <c r="AF396" s="191">
        <v>4</v>
      </c>
      <c r="AG396" s="183">
        <v>1</v>
      </c>
    </row>
    <row r="397" spans="1:41" ht="15" customHeight="1" x14ac:dyDescent="0.2">
      <c r="A397" s="141" t="s">
        <v>313</v>
      </c>
      <c r="B397" s="187" t="s">
        <v>1759</v>
      </c>
      <c r="C397" s="141">
        <v>2015</v>
      </c>
      <c r="D397" s="188">
        <v>53</v>
      </c>
      <c r="E397" s="135">
        <v>1914</v>
      </c>
      <c r="F397" s="192" t="s">
        <v>791</v>
      </c>
      <c r="G397" s="188">
        <v>1</v>
      </c>
      <c r="H397" s="188">
        <v>1</v>
      </c>
      <c r="I397" s="188">
        <v>1</v>
      </c>
      <c r="J397" s="188">
        <v>1</v>
      </c>
      <c r="K397" s="188">
        <v>1</v>
      </c>
      <c r="L397" s="188">
        <v>1</v>
      </c>
      <c r="M397" s="188">
        <v>1</v>
      </c>
      <c r="N397" s="188">
        <v>1</v>
      </c>
      <c r="O397" s="188">
        <v>1</v>
      </c>
      <c r="P397" s="188">
        <v>1</v>
      </c>
      <c r="Q397" s="188">
        <v>1</v>
      </c>
      <c r="R397" s="188">
        <v>1</v>
      </c>
      <c r="S397" s="188">
        <v>1</v>
      </c>
      <c r="T397" s="188">
        <v>1</v>
      </c>
      <c r="U397" s="188">
        <v>1</v>
      </c>
      <c r="V397" s="188">
        <v>1</v>
      </c>
      <c r="W397" s="188">
        <v>1</v>
      </c>
      <c r="X397" s="188">
        <v>1</v>
      </c>
      <c r="Y397" s="188">
        <v>1</v>
      </c>
      <c r="Z397" s="188">
        <v>1</v>
      </c>
      <c r="AA397" s="188">
        <v>1</v>
      </c>
      <c r="AB397" s="188">
        <v>1</v>
      </c>
      <c r="AC397" s="188">
        <v>1</v>
      </c>
      <c r="AD397" s="188">
        <v>1</v>
      </c>
      <c r="AE397" s="188">
        <v>1</v>
      </c>
      <c r="AF397" s="191">
        <v>95</v>
      </c>
      <c r="AG397" s="183">
        <v>25</v>
      </c>
    </row>
    <row r="398" spans="1:41" ht="15" customHeight="1" x14ac:dyDescent="0.2">
      <c r="A398" s="141" t="s">
        <v>313</v>
      </c>
      <c r="B398" s="187" t="s">
        <v>1759</v>
      </c>
      <c r="C398" s="141">
        <v>2015</v>
      </c>
      <c r="D398" s="188">
        <v>53</v>
      </c>
      <c r="E398" s="135">
        <v>2626</v>
      </c>
      <c r="F398" s="189" t="s">
        <v>599</v>
      </c>
      <c r="G398" s="188">
        <v>0</v>
      </c>
      <c r="H398" s="188">
        <v>0</v>
      </c>
      <c r="I398" s="188">
        <v>0</v>
      </c>
      <c r="J398" s="188">
        <v>0</v>
      </c>
      <c r="K398" s="188">
        <v>0</v>
      </c>
      <c r="L398" s="188">
        <v>0</v>
      </c>
      <c r="M398" s="188">
        <v>0</v>
      </c>
      <c r="N398" s="188">
        <v>0</v>
      </c>
      <c r="O398" s="188">
        <v>0</v>
      </c>
      <c r="P398" s="188">
        <v>0</v>
      </c>
      <c r="Q398" s="188">
        <v>0</v>
      </c>
      <c r="R398" s="188">
        <v>0</v>
      </c>
      <c r="S398" s="188">
        <v>0</v>
      </c>
      <c r="T398" s="188">
        <v>0</v>
      </c>
      <c r="U398" s="188">
        <v>0</v>
      </c>
      <c r="V398" s="188">
        <v>0</v>
      </c>
      <c r="W398" s="188">
        <v>0</v>
      </c>
      <c r="X398" s="188">
        <v>0</v>
      </c>
      <c r="Y398" s="188">
        <v>0</v>
      </c>
      <c r="Z398" s="188">
        <v>0</v>
      </c>
      <c r="AA398" s="188">
        <v>0</v>
      </c>
      <c r="AB398" s="188">
        <v>1</v>
      </c>
      <c r="AC398" s="188">
        <v>1</v>
      </c>
      <c r="AD398" s="188">
        <v>0</v>
      </c>
      <c r="AE398" s="188">
        <v>0</v>
      </c>
      <c r="AF398" s="191">
        <v>0.1</v>
      </c>
      <c r="AG398" s="183">
        <v>2</v>
      </c>
    </row>
    <row r="399" spans="1:41" ht="15" customHeight="1" x14ac:dyDescent="0.2">
      <c r="A399" s="141" t="s">
        <v>313</v>
      </c>
      <c r="B399" s="187" t="s">
        <v>1759</v>
      </c>
      <c r="C399" s="141">
        <v>2015</v>
      </c>
      <c r="D399" s="141">
        <v>53</v>
      </c>
      <c r="E399" s="135">
        <v>2939</v>
      </c>
      <c r="F399" s="192" t="s">
        <v>479</v>
      </c>
      <c r="G399" s="141">
        <v>0</v>
      </c>
      <c r="H399" s="141">
        <v>0</v>
      </c>
      <c r="I399" s="141">
        <v>0</v>
      </c>
      <c r="J399" s="141">
        <v>0</v>
      </c>
      <c r="K399" s="141">
        <v>0</v>
      </c>
      <c r="L399" s="141">
        <v>0</v>
      </c>
      <c r="M399" s="141">
        <v>0</v>
      </c>
      <c r="N399" s="141">
        <v>0</v>
      </c>
      <c r="O399" s="141">
        <v>0</v>
      </c>
      <c r="P399" s="141">
        <v>0</v>
      </c>
      <c r="Q399" s="141">
        <v>0</v>
      </c>
      <c r="R399" s="141">
        <v>0</v>
      </c>
      <c r="S399" s="141">
        <v>0</v>
      </c>
      <c r="T399" s="141">
        <v>0</v>
      </c>
      <c r="U399" s="141">
        <v>0</v>
      </c>
      <c r="V399" s="141">
        <v>0</v>
      </c>
      <c r="W399" s="141">
        <v>0</v>
      </c>
      <c r="X399" s="141">
        <v>0</v>
      </c>
      <c r="Y399" s="141">
        <v>0</v>
      </c>
      <c r="Z399" s="141">
        <v>1</v>
      </c>
      <c r="AA399" s="141">
        <v>0</v>
      </c>
      <c r="AB399" s="141">
        <v>0</v>
      </c>
      <c r="AC399" s="141">
        <v>0</v>
      </c>
      <c r="AD399" s="141">
        <v>0</v>
      </c>
      <c r="AE399" s="141">
        <v>0</v>
      </c>
      <c r="AF399" s="148">
        <v>0.2</v>
      </c>
      <c r="AG399" s="183">
        <v>1</v>
      </c>
      <c r="AH399" s="4" t="s">
        <v>1817</v>
      </c>
      <c r="AI399" s="5" t="s">
        <v>1662</v>
      </c>
      <c r="AL399" s="5" t="s">
        <v>1672</v>
      </c>
      <c r="AO399" s="5" t="s">
        <v>1672</v>
      </c>
    </row>
    <row r="400" spans="1:41" ht="15" customHeight="1" x14ac:dyDescent="0.2">
      <c r="A400" s="141" t="s">
        <v>313</v>
      </c>
      <c r="B400" s="187" t="s">
        <v>1759</v>
      </c>
      <c r="C400" s="141">
        <v>2015</v>
      </c>
      <c r="D400" s="188">
        <v>57</v>
      </c>
      <c r="E400" s="135">
        <v>278</v>
      </c>
      <c r="F400" s="192" t="s">
        <v>132</v>
      </c>
      <c r="G400" s="188">
        <v>0</v>
      </c>
      <c r="H400" s="188">
        <v>1</v>
      </c>
      <c r="I400" s="188">
        <v>0</v>
      </c>
      <c r="J400" s="188">
        <v>0</v>
      </c>
      <c r="K400" s="188">
        <v>1</v>
      </c>
      <c r="L400" s="188">
        <v>0</v>
      </c>
      <c r="M400" s="188">
        <v>0</v>
      </c>
      <c r="N400" s="188">
        <v>1</v>
      </c>
      <c r="O400" s="188">
        <v>1</v>
      </c>
      <c r="P400" s="188">
        <v>0</v>
      </c>
      <c r="Q400" s="188">
        <v>0</v>
      </c>
      <c r="R400" s="188">
        <v>0</v>
      </c>
      <c r="S400" s="188">
        <v>0</v>
      </c>
      <c r="T400" s="188">
        <v>1</v>
      </c>
      <c r="U400" s="188">
        <v>1</v>
      </c>
      <c r="V400" s="188">
        <v>0</v>
      </c>
      <c r="W400" s="188">
        <v>1</v>
      </c>
      <c r="X400" s="188">
        <v>1</v>
      </c>
      <c r="Y400" s="188">
        <v>1</v>
      </c>
      <c r="Z400" s="188">
        <v>1</v>
      </c>
      <c r="AA400" s="188">
        <v>0</v>
      </c>
      <c r="AB400" s="188">
        <v>0</v>
      </c>
      <c r="AC400" s="188">
        <v>0</v>
      </c>
      <c r="AD400" s="188">
        <v>1</v>
      </c>
      <c r="AE400" s="188">
        <v>1</v>
      </c>
      <c r="AF400" s="190">
        <v>2</v>
      </c>
      <c r="AG400" s="183">
        <v>12</v>
      </c>
    </row>
    <row r="401" spans="1:41" ht="15" customHeight="1" x14ac:dyDescent="0.2">
      <c r="A401" s="141" t="s">
        <v>313</v>
      </c>
      <c r="B401" s="187" t="s">
        <v>1759</v>
      </c>
      <c r="C401" s="141">
        <v>2015</v>
      </c>
      <c r="D401" s="141">
        <v>57</v>
      </c>
      <c r="E401" s="135">
        <v>1576</v>
      </c>
      <c r="F401" s="192" t="s">
        <v>882</v>
      </c>
      <c r="G401" s="141">
        <v>0</v>
      </c>
      <c r="H401" s="141">
        <v>1</v>
      </c>
      <c r="I401" s="141">
        <v>0</v>
      </c>
      <c r="J401" s="141">
        <v>1</v>
      </c>
      <c r="K401" s="141">
        <v>1</v>
      </c>
      <c r="L401" s="141">
        <v>1</v>
      </c>
      <c r="M401" s="141">
        <v>0</v>
      </c>
      <c r="N401" s="141">
        <v>0</v>
      </c>
      <c r="O401" s="141">
        <v>0</v>
      </c>
      <c r="P401" s="141">
        <v>1</v>
      </c>
      <c r="Q401" s="141">
        <v>0</v>
      </c>
      <c r="R401" s="141">
        <v>0</v>
      </c>
      <c r="S401" s="141">
        <v>0</v>
      </c>
      <c r="T401" s="141">
        <v>0</v>
      </c>
      <c r="U401" s="141">
        <v>0</v>
      </c>
      <c r="V401" s="141">
        <v>1</v>
      </c>
      <c r="W401" s="141">
        <v>1</v>
      </c>
      <c r="X401" s="141">
        <v>0</v>
      </c>
      <c r="Y401" s="141">
        <v>1</v>
      </c>
      <c r="Z401" s="141">
        <v>0</v>
      </c>
      <c r="AA401" s="141">
        <v>1</v>
      </c>
      <c r="AB401" s="141">
        <v>0</v>
      </c>
      <c r="AC401" s="141">
        <v>0</v>
      </c>
      <c r="AD401" s="141">
        <v>0</v>
      </c>
      <c r="AE401" s="141">
        <v>1</v>
      </c>
      <c r="AF401" s="148">
        <v>0.1</v>
      </c>
      <c r="AG401" s="183">
        <v>10</v>
      </c>
      <c r="AH401" s="4"/>
      <c r="AI401" s="5" t="s">
        <v>1655</v>
      </c>
      <c r="AL401" s="5" t="s">
        <v>1668</v>
      </c>
      <c r="AO401" s="5" t="s">
        <v>1668</v>
      </c>
    </row>
    <row r="402" spans="1:41" ht="15" customHeight="1" x14ac:dyDescent="0.2">
      <c r="A402" s="141" t="s">
        <v>313</v>
      </c>
      <c r="B402" s="187" t="s">
        <v>1759</v>
      </c>
      <c r="C402" s="141">
        <v>2015</v>
      </c>
      <c r="D402" s="188">
        <v>57</v>
      </c>
      <c r="E402" s="135">
        <v>319</v>
      </c>
      <c r="F402" s="192" t="s">
        <v>111</v>
      </c>
      <c r="G402" s="188">
        <v>1</v>
      </c>
      <c r="H402" s="188">
        <v>0</v>
      </c>
      <c r="I402" s="188">
        <v>1</v>
      </c>
      <c r="J402" s="188">
        <v>0</v>
      </c>
      <c r="K402" s="188">
        <v>1</v>
      </c>
      <c r="L402" s="188">
        <v>1</v>
      </c>
      <c r="M402" s="188">
        <v>1</v>
      </c>
      <c r="N402" s="188">
        <v>1</v>
      </c>
      <c r="O402" s="188">
        <v>1</v>
      </c>
      <c r="P402" s="188">
        <v>1</v>
      </c>
      <c r="Q402" s="188">
        <v>1</v>
      </c>
      <c r="R402" s="188">
        <v>1</v>
      </c>
      <c r="S402" s="188">
        <v>0</v>
      </c>
      <c r="T402" s="188">
        <v>1</v>
      </c>
      <c r="U402" s="188">
        <v>1</v>
      </c>
      <c r="V402" s="188">
        <v>1</v>
      </c>
      <c r="W402" s="188">
        <v>1</v>
      </c>
      <c r="X402" s="188">
        <v>1</v>
      </c>
      <c r="Y402" s="188">
        <v>0</v>
      </c>
      <c r="Z402" s="188">
        <v>1</v>
      </c>
      <c r="AA402" s="188">
        <v>0</v>
      </c>
      <c r="AB402" s="188">
        <v>1</v>
      </c>
      <c r="AC402" s="188">
        <v>1</v>
      </c>
      <c r="AD402" s="188">
        <v>0</v>
      </c>
      <c r="AE402" s="188">
        <v>1</v>
      </c>
      <c r="AF402" s="191">
        <v>5</v>
      </c>
      <c r="AG402" s="183">
        <v>19</v>
      </c>
    </row>
    <row r="403" spans="1:41" ht="15" customHeight="1" x14ac:dyDescent="0.2">
      <c r="A403" s="141" t="s">
        <v>313</v>
      </c>
      <c r="B403" s="187" t="s">
        <v>1759</v>
      </c>
      <c r="C403" s="141">
        <v>2015</v>
      </c>
      <c r="D403" s="188">
        <v>57</v>
      </c>
      <c r="E403" s="135">
        <v>339</v>
      </c>
      <c r="F403" s="192" t="s">
        <v>98</v>
      </c>
      <c r="G403" s="188">
        <v>0</v>
      </c>
      <c r="H403" s="188">
        <v>1</v>
      </c>
      <c r="I403" s="188">
        <v>1</v>
      </c>
      <c r="J403" s="188">
        <v>1</v>
      </c>
      <c r="K403" s="188">
        <v>1</v>
      </c>
      <c r="L403" s="188">
        <v>1</v>
      </c>
      <c r="M403" s="188">
        <v>1</v>
      </c>
      <c r="N403" s="188">
        <v>1</v>
      </c>
      <c r="O403" s="188">
        <v>1</v>
      </c>
      <c r="P403" s="188">
        <v>1</v>
      </c>
      <c r="Q403" s="188">
        <v>1</v>
      </c>
      <c r="R403" s="188">
        <v>1</v>
      </c>
      <c r="S403" s="188">
        <v>1</v>
      </c>
      <c r="T403" s="188">
        <v>1</v>
      </c>
      <c r="U403" s="188">
        <v>0</v>
      </c>
      <c r="V403" s="188">
        <v>0</v>
      </c>
      <c r="W403" s="188">
        <v>1</v>
      </c>
      <c r="X403" s="188">
        <v>0</v>
      </c>
      <c r="Y403" s="188">
        <v>0</v>
      </c>
      <c r="Z403" s="188">
        <v>0</v>
      </c>
      <c r="AA403" s="188">
        <v>1</v>
      </c>
      <c r="AB403" s="188">
        <v>1</v>
      </c>
      <c r="AC403" s="188">
        <v>1</v>
      </c>
      <c r="AD403" s="188">
        <v>0</v>
      </c>
      <c r="AE403" s="188">
        <v>0</v>
      </c>
      <c r="AF403" s="191">
        <v>2</v>
      </c>
      <c r="AG403" s="183">
        <v>17</v>
      </c>
    </row>
    <row r="404" spans="1:41" ht="15" customHeight="1" x14ac:dyDescent="0.2">
      <c r="A404" s="141" t="s">
        <v>313</v>
      </c>
      <c r="B404" s="187" t="s">
        <v>1759</v>
      </c>
      <c r="C404" s="141">
        <v>2015</v>
      </c>
      <c r="D404" s="188">
        <v>57</v>
      </c>
      <c r="E404" s="135">
        <v>2088</v>
      </c>
      <c r="F404" s="192" t="s">
        <v>737</v>
      </c>
      <c r="G404" s="188">
        <v>0</v>
      </c>
      <c r="H404" s="188">
        <v>0</v>
      </c>
      <c r="I404" s="188">
        <v>0</v>
      </c>
      <c r="J404" s="188">
        <v>0</v>
      </c>
      <c r="K404" s="188">
        <v>0</v>
      </c>
      <c r="L404" s="188">
        <v>0</v>
      </c>
      <c r="M404" s="188">
        <v>0</v>
      </c>
      <c r="N404" s="188">
        <v>0</v>
      </c>
      <c r="O404" s="188">
        <v>0</v>
      </c>
      <c r="P404" s="188">
        <v>0</v>
      </c>
      <c r="Q404" s="188">
        <v>0</v>
      </c>
      <c r="R404" s="188">
        <v>0</v>
      </c>
      <c r="S404" s="188">
        <v>0</v>
      </c>
      <c r="T404" s="188">
        <v>0</v>
      </c>
      <c r="U404" s="188">
        <v>0</v>
      </c>
      <c r="V404" s="188">
        <v>0</v>
      </c>
      <c r="W404" s="188">
        <v>0</v>
      </c>
      <c r="X404" s="188">
        <v>0</v>
      </c>
      <c r="Y404" s="188">
        <v>1</v>
      </c>
      <c r="Z404" s="188">
        <v>0</v>
      </c>
      <c r="AA404" s="188">
        <v>0</v>
      </c>
      <c r="AB404" s="188">
        <v>0</v>
      </c>
      <c r="AC404" s="188">
        <v>0</v>
      </c>
      <c r="AD404" s="188">
        <v>0</v>
      </c>
      <c r="AE404" s="188">
        <v>0</v>
      </c>
      <c r="AF404" s="191">
        <v>0.1</v>
      </c>
      <c r="AG404" s="183">
        <v>1</v>
      </c>
      <c r="AH404" s="5" t="s">
        <v>1801</v>
      </c>
      <c r="AI404" s="5" t="s">
        <v>1655</v>
      </c>
      <c r="AL404" s="5" t="s">
        <v>1668</v>
      </c>
      <c r="AM404" s="5" t="s">
        <v>1671</v>
      </c>
      <c r="AN404" s="5" t="s">
        <v>1672</v>
      </c>
      <c r="AO404" s="5" t="s">
        <v>1672</v>
      </c>
    </row>
    <row r="405" spans="1:41" ht="15" customHeight="1" x14ac:dyDescent="0.2">
      <c r="A405" s="141" t="s">
        <v>313</v>
      </c>
      <c r="B405" s="187" t="s">
        <v>1759</v>
      </c>
      <c r="C405" s="141">
        <v>2015</v>
      </c>
      <c r="D405" s="188">
        <v>57</v>
      </c>
      <c r="E405" s="135">
        <v>494</v>
      </c>
      <c r="F405" s="192" t="s">
        <v>22</v>
      </c>
      <c r="G405" s="188">
        <v>1</v>
      </c>
      <c r="H405" s="188">
        <v>1</v>
      </c>
      <c r="I405" s="188">
        <v>1</v>
      </c>
      <c r="J405" s="188">
        <v>1</v>
      </c>
      <c r="K405" s="188">
        <v>1</v>
      </c>
      <c r="L405" s="188">
        <v>1</v>
      </c>
      <c r="M405" s="188">
        <v>1</v>
      </c>
      <c r="N405" s="188">
        <v>1</v>
      </c>
      <c r="O405" s="188">
        <v>1</v>
      </c>
      <c r="P405" s="188">
        <v>1</v>
      </c>
      <c r="Q405" s="188">
        <v>1</v>
      </c>
      <c r="R405" s="188">
        <v>1</v>
      </c>
      <c r="S405" s="188">
        <v>1</v>
      </c>
      <c r="T405" s="188">
        <v>1</v>
      </c>
      <c r="U405" s="188">
        <v>1</v>
      </c>
      <c r="V405" s="188">
        <v>1</v>
      </c>
      <c r="W405" s="188">
        <v>1</v>
      </c>
      <c r="X405" s="188">
        <v>1</v>
      </c>
      <c r="Y405" s="188">
        <v>1</v>
      </c>
      <c r="Z405" s="188">
        <v>1</v>
      </c>
      <c r="AA405" s="188">
        <v>1</v>
      </c>
      <c r="AB405" s="188">
        <v>1</v>
      </c>
      <c r="AC405" s="188">
        <v>1</v>
      </c>
      <c r="AD405" s="188">
        <v>0</v>
      </c>
      <c r="AE405" s="188">
        <v>1</v>
      </c>
      <c r="AF405" s="191">
        <v>2</v>
      </c>
      <c r="AG405" s="183">
        <v>24</v>
      </c>
      <c r="AH405" s="4"/>
    </row>
    <row r="406" spans="1:41" ht="15" customHeight="1" x14ac:dyDescent="0.2">
      <c r="A406" s="141" t="s">
        <v>313</v>
      </c>
      <c r="B406" s="187" t="s">
        <v>1759</v>
      </c>
      <c r="C406" s="141">
        <v>2015</v>
      </c>
      <c r="D406" s="188">
        <v>57</v>
      </c>
      <c r="E406" s="135">
        <v>542</v>
      </c>
      <c r="F406" s="192" t="s">
        <v>1312</v>
      </c>
      <c r="G406" s="188">
        <v>1</v>
      </c>
      <c r="H406" s="188">
        <v>1</v>
      </c>
      <c r="I406" s="188">
        <v>1</v>
      </c>
      <c r="J406" s="188">
        <v>1</v>
      </c>
      <c r="K406" s="188">
        <v>1</v>
      </c>
      <c r="L406" s="188">
        <v>1</v>
      </c>
      <c r="M406" s="188">
        <v>1</v>
      </c>
      <c r="N406" s="188">
        <v>1</v>
      </c>
      <c r="O406" s="188">
        <v>1</v>
      </c>
      <c r="P406" s="188">
        <v>1</v>
      </c>
      <c r="Q406" s="188">
        <v>1</v>
      </c>
      <c r="R406" s="188">
        <v>1</v>
      </c>
      <c r="S406" s="188">
        <v>1</v>
      </c>
      <c r="T406" s="188">
        <v>1</v>
      </c>
      <c r="U406" s="188">
        <v>1</v>
      </c>
      <c r="V406" s="188">
        <v>1</v>
      </c>
      <c r="W406" s="188">
        <v>1</v>
      </c>
      <c r="X406" s="188">
        <v>1</v>
      </c>
      <c r="Y406" s="188">
        <v>1</v>
      </c>
      <c r="Z406" s="188">
        <v>1</v>
      </c>
      <c r="AA406" s="188">
        <v>1</v>
      </c>
      <c r="AB406" s="188">
        <v>1</v>
      </c>
      <c r="AC406" s="188">
        <v>1</v>
      </c>
      <c r="AD406" s="188">
        <v>1</v>
      </c>
      <c r="AE406" s="188">
        <v>1</v>
      </c>
      <c r="AF406" s="191">
        <v>35</v>
      </c>
      <c r="AG406" s="183">
        <v>25</v>
      </c>
    </row>
    <row r="407" spans="1:41" ht="15" customHeight="1" x14ac:dyDescent="0.2">
      <c r="A407" s="141" t="s">
        <v>313</v>
      </c>
      <c r="B407" s="187" t="s">
        <v>1759</v>
      </c>
      <c r="C407" s="141">
        <v>2015</v>
      </c>
      <c r="D407" s="188">
        <v>57</v>
      </c>
      <c r="E407" s="135">
        <v>546</v>
      </c>
      <c r="F407" s="192" t="s">
        <v>1310</v>
      </c>
      <c r="G407" s="188">
        <v>1</v>
      </c>
      <c r="H407" s="188">
        <v>1</v>
      </c>
      <c r="I407" s="188">
        <v>1</v>
      </c>
      <c r="J407" s="188">
        <v>0</v>
      </c>
      <c r="K407" s="188">
        <v>1</v>
      </c>
      <c r="L407" s="188">
        <v>1</v>
      </c>
      <c r="M407" s="188">
        <v>1</v>
      </c>
      <c r="N407" s="188">
        <v>1</v>
      </c>
      <c r="O407" s="188">
        <v>1</v>
      </c>
      <c r="P407" s="188">
        <v>1</v>
      </c>
      <c r="Q407" s="188">
        <v>1</v>
      </c>
      <c r="R407" s="188">
        <v>1</v>
      </c>
      <c r="S407" s="188">
        <v>1</v>
      </c>
      <c r="T407" s="188">
        <v>1</v>
      </c>
      <c r="U407" s="188">
        <v>0</v>
      </c>
      <c r="V407" s="188">
        <v>1</v>
      </c>
      <c r="W407" s="188">
        <v>1</v>
      </c>
      <c r="X407" s="188">
        <v>1</v>
      </c>
      <c r="Y407" s="188">
        <v>1</v>
      </c>
      <c r="Z407" s="188">
        <v>1</v>
      </c>
      <c r="AA407" s="188">
        <v>1</v>
      </c>
      <c r="AB407" s="188">
        <v>1</v>
      </c>
      <c r="AC407" s="188">
        <v>1</v>
      </c>
      <c r="AD407" s="188">
        <v>1</v>
      </c>
      <c r="AE407" s="188">
        <v>1</v>
      </c>
      <c r="AF407" s="190">
        <v>10</v>
      </c>
      <c r="AG407" s="183">
        <v>23</v>
      </c>
    </row>
    <row r="408" spans="1:41" ht="15" customHeight="1" x14ac:dyDescent="0.2">
      <c r="A408" s="141" t="s">
        <v>313</v>
      </c>
      <c r="B408" s="187" t="s">
        <v>1759</v>
      </c>
      <c r="C408" s="141">
        <v>2015</v>
      </c>
      <c r="D408" s="188">
        <v>57</v>
      </c>
      <c r="E408" s="135">
        <v>876</v>
      </c>
      <c r="F408" s="192" t="s">
        <v>1163</v>
      </c>
      <c r="G408" s="188">
        <v>1</v>
      </c>
      <c r="H408" s="188">
        <v>1</v>
      </c>
      <c r="I408" s="188">
        <v>1</v>
      </c>
      <c r="J408" s="188">
        <v>1</v>
      </c>
      <c r="K408" s="188">
        <v>1</v>
      </c>
      <c r="L408" s="188">
        <v>1</v>
      </c>
      <c r="M408" s="188">
        <v>1</v>
      </c>
      <c r="N408" s="188">
        <v>1</v>
      </c>
      <c r="O408" s="188">
        <v>1</v>
      </c>
      <c r="P408" s="188">
        <v>1</v>
      </c>
      <c r="Q408" s="188">
        <v>1</v>
      </c>
      <c r="R408" s="188">
        <v>1</v>
      </c>
      <c r="S408" s="188">
        <v>1</v>
      </c>
      <c r="T408" s="188">
        <v>0</v>
      </c>
      <c r="U408" s="188">
        <v>0</v>
      </c>
      <c r="V408" s="188">
        <v>1</v>
      </c>
      <c r="W408" s="188">
        <v>1</v>
      </c>
      <c r="X408" s="188">
        <v>1</v>
      </c>
      <c r="Y408" s="188">
        <v>1</v>
      </c>
      <c r="Z408" s="188">
        <v>1</v>
      </c>
      <c r="AA408" s="188">
        <v>1</v>
      </c>
      <c r="AB408" s="188">
        <v>1</v>
      </c>
      <c r="AC408" s="188">
        <v>1</v>
      </c>
      <c r="AD408" s="188">
        <v>1</v>
      </c>
      <c r="AE408" s="188">
        <v>1</v>
      </c>
      <c r="AF408" s="190">
        <v>50</v>
      </c>
      <c r="AG408" s="183">
        <v>23</v>
      </c>
    </row>
    <row r="409" spans="1:41" ht="15" customHeight="1" x14ac:dyDescent="0.2">
      <c r="A409" s="141" t="s">
        <v>313</v>
      </c>
      <c r="B409" s="187" t="s">
        <v>1759</v>
      </c>
      <c r="C409" s="141">
        <v>2015</v>
      </c>
      <c r="D409" s="188">
        <v>57</v>
      </c>
      <c r="E409" s="135">
        <v>901</v>
      </c>
      <c r="F409" s="192" t="s">
        <v>1149</v>
      </c>
      <c r="G409" s="188">
        <v>0</v>
      </c>
      <c r="H409" s="188">
        <v>0</v>
      </c>
      <c r="I409" s="188">
        <v>0</v>
      </c>
      <c r="J409" s="188">
        <v>1</v>
      </c>
      <c r="K409" s="188">
        <v>1</v>
      </c>
      <c r="L409" s="188">
        <v>1</v>
      </c>
      <c r="M409" s="188">
        <v>1</v>
      </c>
      <c r="N409" s="188">
        <v>0</v>
      </c>
      <c r="O409" s="188">
        <v>1</v>
      </c>
      <c r="P409" s="188">
        <v>1</v>
      </c>
      <c r="Q409" s="188">
        <v>1</v>
      </c>
      <c r="R409" s="188">
        <v>1</v>
      </c>
      <c r="S409" s="188">
        <v>0</v>
      </c>
      <c r="T409" s="188">
        <v>0</v>
      </c>
      <c r="U409" s="188">
        <v>0</v>
      </c>
      <c r="V409" s="188">
        <v>1</v>
      </c>
      <c r="W409" s="188">
        <v>1</v>
      </c>
      <c r="X409" s="188">
        <v>1</v>
      </c>
      <c r="Y409" s="188">
        <v>0</v>
      </c>
      <c r="Z409" s="188">
        <v>0</v>
      </c>
      <c r="AA409" s="188">
        <v>1</v>
      </c>
      <c r="AB409" s="188">
        <v>1</v>
      </c>
      <c r="AC409" s="188">
        <v>0</v>
      </c>
      <c r="AD409" s="188">
        <v>1</v>
      </c>
      <c r="AE409" s="188">
        <v>0</v>
      </c>
      <c r="AF409" s="190">
        <v>1</v>
      </c>
      <c r="AG409" s="183">
        <v>14</v>
      </c>
    </row>
    <row r="410" spans="1:41" ht="15" customHeight="1" x14ac:dyDescent="0.2">
      <c r="A410" s="141" t="s">
        <v>313</v>
      </c>
      <c r="B410" s="187" t="s">
        <v>1759</v>
      </c>
      <c r="C410" s="141">
        <v>2015</v>
      </c>
      <c r="D410" s="188">
        <v>57</v>
      </c>
      <c r="E410" s="135">
        <v>2620</v>
      </c>
      <c r="F410" s="192" t="s">
        <v>605</v>
      </c>
      <c r="G410" s="188">
        <v>1</v>
      </c>
      <c r="H410" s="188">
        <v>1</v>
      </c>
      <c r="I410" s="188">
        <v>1</v>
      </c>
      <c r="J410" s="188">
        <v>0</v>
      </c>
      <c r="K410" s="188">
        <v>1</v>
      </c>
      <c r="L410" s="188">
        <v>0</v>
      </c>
      <c r="M410" s="188">
        <v>0</v>
      </c>
      <c r="N410" s="188">
        <v>1</v>
      </c>
      <c r="O410" s="188">
        <v>0</v>
      </c>
      <c r="P410" s="188">
        <v>0</v>
      </c>
      <c r="Q410" s="188">
        <v>0</v>
      </c>
      <c r="R410" s="188">
        <v>0</v>
      </c>
      <c r="S410" s="188">
        <v>0</v>
      </c>
      <c r="T410" s="188">
        <v>0</v>
      </c>
      <c r="U410" s="188">
        <v>0</v>
      </c>
      <c r="V410" s="188">
        <v>0</v>
      </c>
      <c r="W410" s="188">
        <v>0</v>
      </c>
      <c r="X410" s="188">
        <v>0</v>
      </c>
      <c r="Y410" s="188">
        <v>0</v>
      </c>
      <c r="Z410" s="188">
        <v>0</v>
      </c>
      <c r="AA410" s="188">
        <v>1</v>
      </c>
      <c r="AB410" s="188">
        <v>0</v>
      </c>
      <c r="AC410" s="188">
        <v>1</v>
      </c>
      <c r="AD410" s="188">
        <v>0</v>
      </c>
      <c r="AE410" s="188">
        <v>0</v>
      </c>
      <c r="AF410" s="190">
        <v>1</v>
      </c>
      <c r="AG410" s="183">
        <v>7</v>
      </c>
    </row>
    <row r="411" spans="1:41" ht="15" customHeight="1" x14ac:dyDescent="0.2">
      <c r="A411" s="141" t="s">
        <v>313</v>
      </c>
      <c r="B411" s="187" t="s">
        <v>1759</v>
      </c>
      <c r="C411" s="141">
        <v>2015</v>
      </c>
      <c r="D411" s="188">
        <v>57</v>
      </c>
      <c r="E411" s="135">
        <v>1046</v>
      </c>
      <c r="F411" s="192" t="s">
        <v>1095</v>
      </c>
      <c r="G411" s="188">
        <v>0</v>
      </c>
      <c r="H411" s="188">
        <v>0</v>
      </c>
      <c r="I411" s="188">
        <v>1</v>
      </c>
      <c r="J411" s="188">
        <v>1</v>
      </c>
      <c r="K411" s="188">
        <v>1</v>
      </c>
      <c r="L411" s="188">
        <v>0</v>
      </c>
      <c r="M411" s="188">
        <v>1</v>
      </c>
      <c r="N411" s="188">
        <v>0</v>
      </c>
      <c r="O411" s="188">
        <v>1</v>
      </c>
      <c r="P411" s="188">
        <v>1</v>
      </c>
      <c r="Q411" s="188">
        <v>0</v>
      </c>
      <c r="R411" s="188">
        <v>0</v>
      </c>
      <c r="S411" s="188">
        <v>0</v>
      </c>
      <c r="T411" s="188">
        <v>0</v>
      </c>
      <c r="U411" s="188">
        <v>1</v>
      </c>
      <c r="V411" s="188">
        <v>0</v>
      </c>
      <c r="W411" s="188">
        <v>0</v>
      </c>
      <c r="X411" s="188">
        <v>1</v>
      </c>
      <c r="Y411" s="188">
        <v>1</v>
      </c>
      <c r="Z411" s="188">
        <v>0</v>
      </c>
      <c r="AA411" s="188">
        <v>1</v>
      </c>
      <c r="AB411" s="188">
        <v>1</v>
      </c>
      <c r="AC411" s="188">
        <v>0</v>
      </c>
      <c r="AD411" s="188">
        <v>1</v>
      </c>
      <c r="AE411" s="188">
        <v>0</v>
      </c>
      <c r="AF411" s="190">
        <v>0.1</v>
      </c>
      <c r="AG411" s="183">
        <v>12</v>
      </c>
      <c r="AI411" s="5" t="s">
        <v>1655</v>
      </c>
      <c r="AL411" s="5" t="s">
        <v>1668</v>
      </c>
      <c r="AO411" s="5" t="s">
        <v>1668</v>
      </c>
    </row>
    <row r="412" spans="1:41" ht="15" customHeight="1" x14ac:dyDescent="0.2">
      <c r="A412" s="141" t="s">
        <v>313</v>
      </c>
      <c r="B412" s="187" t="s">
        <v>1759</v>
      </c>
      <c r="C412" s="141">
        <v>2015</v>
      </c>
      <c r="D412" s="188">
        <v>57</v>
      </c>
      <c r="E412" s="135">
        <v>2700</v>
      </c>
      <c r="F412" s="192" t="s">
        <v>565</v>
      </c>
      <c r="G412" s="188">
        <v>1</v>
      </c>
      <c r="H412" s="188">
        <v>1</v>
      </c>
      <c r="I412" s="188">
        <v>1</v>
      </c>
      <c r="J412" s="188">
        <v>0</v>
      </c>
      <c r="K412" s="188">
        <v>0</v>
      </c>
      <c r="L412" s="188">
        <v>0</v>
      </c>
      <c r="M412" s="188">
        <v>0</v>
      </c>
      <c r="N412" s="188">
        <v>1</v>
      </c>
      <c r="O412" s="188">
        <v>1</v>
      </c>
      <c r="P412" s="188">
        <v>0</v>
      </c>
      <c r="Q412" s="188">
        <v>1</v>
      </c>
      <c r="R412" s="188">
        <v>1</v>
      </c>
      <c r="S412" s="188">
        <v>0</v>
      </c>
      <c r="T412" s="188">
        <v>1</v>
      </c>
      <c r="U412" s="188">
        <v>0</v>
      </c>
      <c r="V412" s="188">
        <v>0</v>
      </c>
      <c r="W412" s="188">
        <v>0</v>
      </c>
      <c r="X412" s="188">
        <v>0</v>
      </c>
      <c r="Y412" s="188">
        <v>0</v>
      </c>
      <c r="Z412" s="188">
        <v>1</v>
      </c>
      <c r="AA412" s="188">
        <v>0</v>
      </c>
      <c r="AB412" s="188">
        <v>1</v>
      </c>
      <c r="AC412" s="188">
        <v>1</v>
      </c>
      <c r="AD412" s="188">
        <v>0</v>
      </c>
      <c r="AE412" s="188">
        <v>0</v>
      </c>
      <c r="AF412" s="191">
        <v>5</v>
      </c>
      <c r="AG412" s="183">
        <v>11</v>
      </c>
    </row>
    <row r="413" spans="1:41" ht="15" customHeight="1" x14ac:dyDescent="0.2">
      <c r="A413" s="141" t="s">
        <v>313</v>
      </c>
      <c r="B413" s="187" t="s">
        <v>1759</v>
      </c>
      <c r="C413" s="141">
        <v>2015</v>
      </c>
      <c r="D413" s="188">
        <v>57</v>
      </c>
      <c r="E413" s="135">
        <v>1971</v>
      </c>
      <c r="F413" s="189" t="s">
        <v>769</v>
      </c>
      <c r="G413" s="188">
        <v>1</v>
      </c>
      <c r="H413" s="188">
        <v>0</v>
      </c>
      <c r="I413" s="188">
        <v>1</v>
      </c>
      <c r="J413" s="188">
        <v>1</v>
      </c>
      <c r="K413" s="188">
        <v>1</v>
      </c>
      <c r="L413" s="188">
        <v>1</v>
      </c>
      <c r="M413" s="188">
        <v>1</v>
      </c>
      <c r="N413" s="188">
        <v>1</v>
      </c>
      <c r="O413" s="188">
        <v>1</v>
      </c>
      <c r="P413" s="188">
        <v>1</v>
      </c>
      <c r="Q413" s="188">
        <v>0</v>
      </c>
      <c r="R413" s="188">
        <v>1</v>
      </c>
      <c r="S413" s="188">
        <v>1</v>
      </c>
      <c r="T413" s="188">
        <v>1</v>
      </c>
      <c r="U413" s="188">
        <v>1</v>
      </c>
      <c r="V413" s="188">
        <v>0</v>
      </c>
      <c r="W413" s="188">
        <v>0</v>
      </c>
      <c r="X413" s="188">
        <v>0</v>
      </c>
      <c r="Y413" s="188">
        <v>1</v>
      </c>
      <c r="Z413" s="188">
        <v>1</v>
      </c>
      <c r="AA413" s="188">
        <v>1</v>
      </c>
      <c r="AB413" s="188">
        <v>1</v>
      </c>
      <c r="AC413" s="188">
        <v>0</v>
      </c>
      <c r="AD413" s="188">
        <v>1</v>
      </c>
      <c r="AE413" s="188">
        <v>1</v>
      </c>
      <c r="AF413" s="190">
        <v>35</v>
      </c>
      <c r="AG413" s="183">
        <v>19</v>
      </c>
    </row>
    <row r="414" spans="1:41" ht="15" customHeight="1" x14ac:dyDescent="0.2">
      <c r="A414" s="141" t="s">
        <v>313</v>
      </c>
      <c r="B414" s="187" t="s">
        <v>1759</v>
      </c>
      <c r="C414" s="141">
        <v>2015</v>
      </c>
      <c r="D414" s="188">
        <v>57</v>
      </c>
      <c r="E414" s="135">
        <v>1984</v>
      </c>
      <c r="F414" s="192" t="s">
        <v>762</v>
      </c>
      <c r="G414" s="188">
        <v>0</v>
      </c>
      <c r="H414" s="188">
        <v>0</v>
      </c>
      <c r="I414" s="188">
        <v>0</v>
      </c>
      <c r="J414" s="188">
        <v>0</v>
      </c>
      <c r="K414" s="188">
        <v>0</v>
      </c>
      <c r="L414" s="188">
        <v>0</v>
      </c>
      <c r="M414" s="188">
        <v>0</v>
      </c>
      <c r="N414" s="188">
        <v>0</v>
      </c>
      <c r="O414" s="188">
        <v>0</v>
      </c>
      <c r="P414" s="188">
        <v>0</v>
      </c>
      <c r="Q414" s="188">
        <v>0</v>
      </c>
      <c r="R414" s="188">
        <v>0</v>
      </c>
      <c r="S414" s="188">
        <v>1</v>
      </c>
      <c r="T414" s="188">
        <v>0</v>
      </c>
      <c r="U414" s="188">
        <v>0</v>
      </c>
      <c r="V414" s="188">
        <v>0</v>
      </c>
      <c r="W414" s="188">
        <v>0</v>
      </c>
      <c r="X414" s="188">
        <v>0</v>
      </c>
      <c r="Y414" s="188">
        <v>0</v>
      </c>
      <c r="Z414" s="188">
        <v>0</v>
      </c>
      <c r="AA414" s="188">
        <v>0</v>
      </c>
      <c r="AB414" s="188">
        <v>0</v>
      </c>
      <c r="AC414" s="188">
        <v>0</v>
      </c>
      <c r="AD414" s="188">
        <v>0</v>
      </c>
      <c r="AE414" s="188">
        <v>0</v>
      </c>
      <c r="AF414" s="191">
        <v>0.1</v>
      </c>
      <c r="AG414" s="183">
        <v>1</v>
      </c>
      <c r="AI414" s="5" t="s">
        <v>1655</v>
      </c>
      <c r="AL414" s="5" t="s">
        <v>1668</v>
      </c>
      <c r="AO414" s="5" t="s">
        <v>1668</v>
      </c>
    </row>
    <row r="415" spans="1:41" ht="15" customHeight="1" x14ac:dyDescent="0.2">
      <c r="A415" s="141" t="s">
        <v>313</v>
      </c>
      <c r="B415" s="187" t="s">
        <v>1759</v>
      </c>
      <c r="C415" s="141">
        <v>2015</v>
      </c>
      <c r="D415" s="188">
        <v>58</v>
      </c>
      <c r="E415" s="135">
        <v>278</v>
      </c>
      <c r="F415" s="192" t="s">
        <v>132</v>
      </c>
      <c r="G415" s="188">
        <v>1</v>
      </c>
      <c r="H415" s="188">
        <v>1</v>
      </c>
      <c r="I415" s="188">
        <v>1</v>
      </c>
      <c r="J415" s="188">
        <v>1</v>
      </c>
      <c r="K415" s="188">
        <v>1</v>
      </c>
      <c r="L415" s="188">
        <v>1</v>
      </c>
      <c r="M415" s="188">
        <v>1</v>
      </c>
      <c r="N415" s="188">
        <v>0</v>
      </c>
      <c r="O415" s="188">
        <v>0</v>
      </c>
      <c r="P415" s="188">
        <v>1</v>
      </c>
      <c r="Q415" s="188">
        <v>1</v>
      </c>
      <c r="R415" s="188">
        <v>1</v>
      </c>
      <c r="S415" s="188">
        <v>0</v>
      </c>
      <c r="T415" s="188">
        <v>0</v>
      </c>
      <c r="U415" s="188">
        <v>1</v>
      </c>
      <c r="V415" s="188">
        <v>0</v>
      </c>
      <c r="W415" s="188">
        <v>0</v>
      </c>
      <c r="X415" s="188">
        <v>1</v>
      </c>
      <c r="Y415" s="188">
        <v>1</v>
      </c>
      <c r="Z415" s="188">
        <v>1</v>
      </c>
      <c r="AA415" s="188">
        <v>0</v>
      </c>
      <c r="AB415" s="188">
        <v>0</v>
      </c>
      <c r="AC415" s="188">
        <v>0</v>
      </c>
      <c r="AD415" s="188">
        <v>1</v>
      </c>
      <c r="AE415" s="188">
        <v>0</v>
      </c>
      <c r="AF415" s="190">
        <v>10</v>
      </c>
      <c r="AG415" s="183">
        <v>15</v>
      </c>
    </row>
    <row r="416" spans="1:41" ht="15" customHeight="1" x14ac:dyDescent="0.2">
      <c r="A416" s="141" t="s">
        <v>313</v>
      </c>
      <c r="B416" s="187" t="s">
        <v>1759</v>
      </c>
      <c r="C416" s="141">
        <v>2015</v>
      </c>
      <c r="D416" s="141">
        <v>58</v>
      </c>
      <c r="E416" s="135">
        <v>1576</v>
      </c>
      <c r="F416" s="192" t="s">
        <v>882</v>
      </c>
      <c r="G416" s="141">
        <v>0</v>
      </c>
      <c r="H416" s="141">
        <v>0</v>
      </c>
      <c r="I416" s="141">
        <v>0</v>
      </c>
      <c r="J416" s="141">
        <v>0</v>
      </c>
      <c r="K416" s="141">
        <v>0</v>
      </c>
      <c r="L416" s="141">
        <v>1</v>
      </c>
      <c r="M416" s="141">
        <v>1</v>
      </c>
      <c r="N416" s="141">
        <v>0</v>
      </c>
      <c r="O416" s="141">
        <v>0</v>
      </c>
      <c r="P416" s="141">
        <v>1</v>
      </c>
      <c r="Q416" s="141">
        <v>1</v>
      </c>
      <c r="R416" s="141">
        <v>1</v>
      </c>
      <c r="S416" s="141">
        <v>1</v>
      </c>
      <c r="T416" s="141">
        <v>1</v>
      </c>
      <c r="U416" s="141">
        <v>1</v>
      </c>
      <c r="V416" s="141">
        <v>1</v>
      </c>
      <c r="W416" s="141">
        <v>1</v>
      </c>
      <c r="X416" s="141">
        <v>1</v>
      </c>
      <c r="Y416" s="141">
        <v>1</v>
      </c>
      <c r="Z416" s="141">
        <v>1</v>
      </c>
      <c r="AA416" s="141">
        <v>1</v>
      </c>
      <c r="AB416" s="141">
        <v>1</v>
      </c>
      <c r="AC416" s="141">
        <v>1</v>
      </c>
      <c r="AD416" s="141">
        <v>1</v>
      </c>
      <c r="AE416" s="141">
        <v>1</v>
      </c>
      <c r="AF416" s="148">
        <v>60</v>
      </c>
      <c r="AG416" s="183">
        <v>18</v>
      </c>
      <c r="AH416" s="4"/>
    </row>
    <row r="417" spans="1:41" ht="15" customHeight="1" x14ac:dyDescent="0.2">
      <c r="A417" s="141" t="s">
        <v>313</v>
      </c>
      <c r="B417" s="187" t="s">
        <v>1759</v>
      </c>
      <c r="C417" s="141">
        <v>2015</v>
      </c>
      <c r="D417" s="141">
        <v>58</v>
      </c>
      <c r="E417" s="135">
        <v>2824</v>
      </c>
      <c r="F417" s="189" t="s">
        <v>1977</v>
      </c>
      <c r="G417" s="141">
        <v>0</v>
      </c>
      <c r="H417" s="141">
        <v>0</v>
      </c>
      <c r="I417" s="141">
        <v>0</v>
      </c>
      <c r="J417" s="141">
        <v>0</v>
      </c>
      <c r="K417" s="141">
        <v>0</v>
      </c>
      <c r="L417" s="141">
        <v>0</v>
      </c>
      <c r="M417" s="141">
        <v>1</v>
      </c>
      <c r="N417" s="141">
        <v>0</v>
      </c>
      <c r="O417" s="141">
        <v>0</v>
      </c>
      <c r="P417" s="141">
        <v>0</v>
      </c>
      <c r="Q417" s="141">
        <v>0</v>
      </c>
      <c r="R417" s="141">
        <v>0</v>
      </c>
      <c r="S417" s="141">
        <v>0</v>
      </c>
      <c r="T417" s="141">
        <v>1</v>
      </c>
      <c r="U417" s="141">
        <v>0</v>
      </c>
      <c r="V417" s="141">
        <v>0</v>
      </c>
      <c r="W417" s="141">
        <v>0</v>
      </c>
      <c r="X417" s="141">
        <v>0</v>
      </c>
      <c r="Y417" s="141">
        <v>0</v>
      </c>
      <c r="Z417" s="141">
        <v>0</v>
      </c>
      <c r="AA417" s="141">
        <v>1</v>
      </c>
      <c r="AB417" s="141">
        <v>1</v>
      </c>
      <c r="AC417" s="141">
        <v>0</v>
      </c>
      <c r="AD417" s="141">
        <v>0</v>
      </c>
      <c r="AE417" s="141">
        <v>0</v>
      </c>
      <c r="AF417" s="148">
        <v>0.1</v>
      </c>
      <c r="AG417" s="183">
        <v>4</v>
      </c>
      <c r="AH417" s="4"/>
    </row>
    <row r="418" spans="1:41" ht="15" customHeight="1" x14ac:dyDescent="0.2">
      <c r="A418" s="141" t="s">
        <v>313</v>
      </c>
      <c r="B418" s="187" t="s">
        <v>1759</v>
      </c>
      <c r="C418" s="141">
        <v>2015</v>
      </c>
      <c r="D418" s="188">
        <v>58</v>
      </c>
      <c r="E418" s="135">
        <v>2359</v>
      </c>
      <c r="F418" s="192" t="s">
        <v>665</v>
      </c>
      <c r="G418" s="188">
        <v>0</v>
      </c>
      <c r="H418" s="188">
        <v>1</v>
      </c>
      <c r="I418" s="188">
        <v>1</v>
      </c>
      <c r="J418" s="188">
        <v>1</v>
      </c>
      <c r="K418" s="188">
        <v>0</v>
      </c>
      <c r="L418" s="188">
        <v>1</v>
      </c>
      <c r="M418" s="188">
        <v>0</v>
      </c>
      <c r="N418" s="188">
        <v>1</v>
      </c>
      <c r="O418" s="188">
        <v>1</v>
      </c>
      <c r="P418" s="188">
        <v>1</v>
      </c>
      <c r="Q418" s="188">
        <v>1</v>
      </c>
      <c r="R418" s="188">
        <v>1</v>
      </c>
      <c r="S418" s="188">
        <v>1</v>
      </c>
      <c r="T418" s="188">
        <v>1</v>
      </c>
      <c r="U418" s="188">
        <v>1</v>
      </c>
      <c r="V418" s="188">
        <v>0</v>
      </c>
      <c r="W418" s="188">
        <v>0</v>
      </c>
      <c r="X418" s="188">
        <v>0</v>
      </c>
      <c r="Y418" s="188">
        <v>0</v>
      </c>
      <c r="Z418" s="188">
        <v>0</v>
      </c>
      <c r="AA418" s="188">
        <v>1</v>
      </c>
      <c r="AB418" s="188">
        <v>1</v>
      </c>
      <c r="AC418" s="188">
        <v>1</v>
      </c>
      <c r="AD418" s="188">
        <v>1</v>
      </c>
      <c r="AE418" s="188">
        <v>1</v>
      </c>
      <c r="AF418" s="190">
        <v>6</v>
      </c>
      <c r="AG418" s="183">
        <v>17</v>
      </c>
    </row>
    <row r="419" spans="1:41" ht="15" customHeight="1" x14ac:dyDescent="0.2">
      <c r="A419" s="141" t="s">
        <v>313</v>
      </c>
      <c r="B419" s="187" t="s">
        <v>1759</v>
      </c>
      <c r="C419" s="141">
        <v>2015</v>
      </c>
      <c r="D419" s="188">
        <v>58</v>
      </c>
      <c r="E419" s="135">
        <v>2360</v>
      </c>
      <c r="F419" s="189" t="s">
        <v>664</v>
      </c>
      <c r="G419" s="188">
        <v>1</v>
      </c>
      <c r="H419" s="188">
        <v>0</v>
      </c>
      <c r="I419" s="188">
        <v>0</v>
      </c>
      <c r="J419" s="188">
        <v>0</v>
      </c>
      <c r="K419" s="188">
        <v>0</v>
      </c>
      <c r="L419" s="188">
        <v>0</v>
      </c>
      <c r="M419" s="188">
        <v>0</v>
      </c>
      <c r="N419" s="188">
        <v>0</v>
      </c>
      <c r="O419" s="188">
        <v>0</v>
      </c>
      <c r="P419" s="188">
        <v>0</v>
      </c>
      <c r="Q419" s="188">
        <v>0</v>
      </c>
      <c r="R419" s="188">
        <v>0</v>
      </c>
      <c r="S419" s="188">
        <v>0</v>
      </c>
      <c r="T419" s="188">
        <v>0</v>
      </c>
      <c r="U419" s="188">
        <v>0</v>
      </c>
      <c r="V419" s="188">
        <v>0</v>
      </c>
      <c r="W419" s="188">
        <v>0</v>
      </c>
      <c r="X419" s="188">
        <v>0</v>
      </c>
      <c r="Y419" s="188">
        <v>0</v>
      </c>
      <c r="Z419" s="188">
        <v>0</v>
      </c>
      <c r="AA419" s="188">
        <v>0</v>
      </c>
      <c r="AB419" s="188">
        <v>0</v>
      </c>
      <c r="AC419" s="188">
        <v>0</v>
      </c>
      <c r="AD419" s="188">
        <v>0</v>
      </c>
      <c r="AE419" s="188">
        <v>1</v>
      </c>
      <c r="AF419" s="190">
        <v>0.1</v>
      </c>
      <c r="AG419" s="183">
        <v>2</v>
      </c>
    </row>
    <row r="420" spans="1:41" ht="15" customHeight="1" x14ac:dyDescent="0.2">
      <c r="A420" s="141" t="s">
        <v>313</v>
      </c>
      <c r="B420" s="187" t="s">
        <v>1759</v>
      </c>
      <c r="C420" s="141">
        <v>2015</v>
      </c>
      <c r="D420" s="188">
        <v>58</v>
      </c>
      <c r="E420" s="135">
        <v>2362</v>
      </c>
      <c r="F420" s="189" t="s">
        <v>663</v>
      </c>
      <c r="G420" s="188">
        <v>0</v>
      </c>
      <c r="H420" s="188">
        <v>0</v>
      </c>
      <c r="I420" s="188">
        <v>0</v>
      </c>
      <c r="J420" s="188">
        <v>0</v>
      </c>
      <c r="K420" s="188">
        <v>0</v>
      </c>
      <c r="L420" s="188">
        <v>0</v>
      </c>
      <c r="M420" s="188">
        <v>0</v>
      </c>
      <c r="N420" s="188">
        <v>0</v>
      </c>
      <c r="O420" s="188">
        <v>0</v>
      </c>
      <c r="P420" s="188">
        <v>0</v>
      </c>
      <c r="Q420" s="188">
        <v>0</v>
      </c>
      <c r="R420" s="188">
        <v>1</v>
      </c>
      <c r="S420" s="188">
        <v>0</v>
      </c>
      <c r="T420" s="188">
        <v>0</v>
      </c>
      <c r="U420" s="188">
        <v>0</v>
      </c>
      <c r="V420" s="188">
        <v>1</v>
      </c>
      <c r="W420" s="188">
        <v>0</v>
      </c>
      <c r="X420" s="188">
        <v>0</v>
      </c>
      <c r="Y420" s="188">
        <v>1</v>
      </c>
      <c r="Z420" s="188">
        <v>0</v>
      </c>
      <c r="AA420" s="188">
        <v>0</v>
      </c>
      <c r="AB420" s="188">
        <v>0</v>
      </c>
      <c r="AC420" s="188">
        <v>1</v>
      </c>
      <c r="AD420" s="188">
        <v>0</v>
      </c>
      <c r="AE420" s="188">
        <v>0</v>
      </c>
      <c r="AF420" s="190">
        <v>0.1</v>
      </c>
      <c r="AG420" s="183">
        <v>4</v>
      </c>
    </row>
    <row r="421" spans="1:41" ht="15" customHeight="1" x14ac:dyDescent="0.2">
      <c r="A421" s="141" t="s">
        <v>313</v>
      </c>
      <c r="B421" s="187" t="s">
        <v>1759</v>
      </c>
      <c r="C421" s="141">
        <v>2015</v>
      </c>
      <c r="D421" s="188">
        <v>58</v>
      </c>
      <c r="E421" s="135">
        <v>2366</v>
      </c>
      <c r="F421" s="189" t="s">
        <v>660</v>
      </c>
      <c r="G421" s="188">
        <v>1</v>
      </c>
      <c r="H421" s="188">
        <v>0</v>
      </c>
      <c r="I421" s="188">
        <v>0</v>
      </c>
      <c r="J421" s="188">
        <v>0</v>
      </c>
      <c r="K421" s="188">
        <v>0</v>
      </c>
      <c r="L421" s="188">
        <v>0</v>
      </c>
      <c r="M421" s="188">
        <v>0</v>
      </c>
      <c r="N421" s="188">
        <v>0</v>
      </c>
      <c r="O421" s="188">
        <v>0</v>
      </c>
      <c r="P421" s="188">
        <v>0</v>
      </c>
      <c r="Q421" s="188">
        <v>1</v>
      </c>
      <c r="R421" s="188">
        <v>0</v>
      </c>
      <c r="S421" s="188">
        <v>0</v>
      </c>
      <c r="T421" s="188">
        <v>1</v>
      </c>
      <c r="U421" s="188">
        <v>0</v>
      </c>
      <c r="V421" s="188">
        <v>0</v>
      </c>
      <c r="W421" s="188">
        <v>0</v>
      </c>
      <c r="X421" s="188">
        <v>0</v>
      </c>
      <c r="Y421" s="188">
        <v>0</v>
      </c>
      <c r="Z421" s="188">
        <v>0</v>
      </c>
      <c r="AA421" s="188">
        <v>0</v>
      </c>
      <c r="AB421" s="188">
        <v>0</v>
      </c>
      <c r="AC421" s="188">
        <v>0</v>
      </c>
      <c r="AD421" s="188">
        <v>0</v>
      </c>
      <c r="AE421" s="188">
        <v>0</v>
      </c>
      <c r="AF421" s="190">
        <v>0.1</v>
      </c>
      <c r="AG421" s="183">
        <v>3</v>
      </c>
    </row>
    <row r="422" spans="1:41" ht="15" customHeight="1" x14ac:dyDescent="0.2">
      <c r="A422" s="141" t="s">
        <v>313</v>
      </c>
      <c r="B422" s="187" t="s">
        <v>1759</v>
      </c>
      <c r="C422" s="141">
        <v>2015</v>
      </c>
      <c r="D422" s="141">
        <v>58</v>
      </c>
      <c r="E422" s="135" t="e">
        <v>#N/A</v>
      </c>
      <c r="F422" s="192" t="s">
        <v>1767</v>
      </c>
      <c r="G422" s="141">
        <v>1</v>
      </c>
      <c r="H422" s="141">
        <v>1</v>
      </c>
      <c r="I422" s="141">
        <v>0</v>
      </c>
      <c r="J422" s="141">
        <v>0</v>
      </c>
      <c r="K422" s="141">
        <v>0</v>
      </c>
      <c r="L422" s="141">
        <v>0</v>
      </c>
      <c r="M422" s="141">
        <v>1</v>
      </c>
      <c r="N422" s="141">
        <v>0</v>
      </c>
      <c r="O422" s="141">
        <v>0</v>
      </c>
      <c r="P422" s="141">
        <v>1</v>
      </c>
      <c r="Q422" s="141">
        <v>1</v>
      </c>
      <c r="R422" s="141">
        <v>1</v>
      </c>
      <c r="S422" s="141">
        <v>1</v>
      </c>
      <c r="T422" s="141">
        <v>1</v>
      </c>
      <c r="U422" s="141">
        <v>1</v>
      </c>
      <c r="V422" s="141">
        <v>1</v>
      </c>
      <c r="W422" s="141">
        <v>1</v>
      </c>
      <c r="X422" s="141">
        <v>1</v>
      </c>
      <c r="Y422" s="141">
        <v>1</v>
      </c>
      <c r="Z422" s="141">
        <v>1</v>
      </c>
      <c r="AA422" s="141">
        <v>1</v>
      </c>
      <c r="AB422" s="141">
        <v>1</v>
      </c>
      <c r="AC422" s="141">
        <v>0</v>
      </c>
      <c r="AD422" s="141">
        <v>1</v>
      </c>
      <c r="AE422" s="141">
        <v>1</v>
      </c>
      <c r="AF422" s="148">
        <v>2</v>
      </c>
      <c r="AG422" s="183">
        <v>18</v>
      </c>
      <c r="AH422" s="4"/>
      <c r="AL422" s="5" t="s">
        <v>1434</v>
      </c>
      <c r="AO422" s="5" t="s">
        <v>1434</v>
      </c>
    </row>
    <row r="423" spans="1:41" ht="15" customHeight="1" x14ac:dyDescent="0.2">
      <c r="A423" s="141" t="s">
        <v>313</v>
      </c>
      <c r="B423" s="187" t="s">
        <v>1759</v>
      </c>
      <c r="C423" s="141">
        <v>2015</v>
      </c>
      <c r="D423" s="188">
        <v>58</v>
      </c>
      <c r="E423" s="135">
        <v>2383</v>
      </c>
      <c r="F423" s="192" t="s">
        <v>649</v>
      </c>
      <c r="G423" s="188">
        <v>0</v>
      </c>
      <c r="H423" s="188">
        <v>0</v>
      </c>
      <c r="I423" s="188">
        <v>0</v>
      </c>
      <c r="J423" s="188">
        <v>0</v>
      </c>
      <c r="K423" s="188">
        <v>0</v>
      </c>
      <c r="L423" s="188">
        <v>0</v>
      </c>
      <c r="M423" s="188">
        <v>1</v>
      </c>
      <c r="N423" s="188">
        <v>0</v>
      </c>
      <c r="O423" s="188">
        <v>0</v>
      </c>
      <c r="P423" s="188">
        <v>1</v>
      </c>
      <c r="Q423" s="188">
        <v>1</v>
      </c>
      <c r="R423" s="188">
        <v>1</v>
      </c>
      <c r="S423" s="188">
        <v>0</v>
      </c>
      <c r="T423" s="188">
        <v>1</v>
      </c>
      <c r="U423" s="188">
        <v>1</v>
      </c>
      <c r="V423" s="188">
        <v>1</v>
      </c>
      <c r="W423" s="188">
        <v>1</v>
      </c>
      <c r="X423" s="188">
        <v>1</v>
      </c>
      <c r="Y423" s="188">
        <v>1</v>
      </c>
      <c r="Z423" s="188">
        <v>1</v>
      </c>
      <c r="AA423" s="188">
        <v>1</v>
      </c>
      <c r="AB423" s="188">
        <v>1</v>
      </c>
      <c r="AC423" s="188">
        <v>1</v>
      </c>
      <c r="AD423" s="188">
        <v>1</v>
      </c>
      <c r="AE423" s="188">
        <v>1</v>
      </c>
      <c r="AF423" s="191">
        <v>6</v>
      </c>
      <c r="AG423" s="183">
        <v>16</v>
      </c>
    </row>
    <row r="424" spans="1:41" ht="15" customHeight="1" x14ac:dyDescent="0.2">
      <c r="A424" s="141" t="s">
        <v>313</v>
      </c>
      <c r="B424" s="187" t="s">
        <v>1759</v>
      </c>
      <c r="C424" s="141">
        <v>2015</v>
      </c>
      <c r="D424" s="188">
        <v>58</v>
      </c>
      <c r="E424" s="135">
        <v>541</v>
      </c>
      <c r="F424" s="192" t="s">
        <v>1313</v>
      </c>
      <c r="G424" s="188">
        <v>1</v>
      </c>
      <c r="H424" s="188">
        <v>1</v>
      </c>
      <c r="I424" s="188">
        <v>1</v>
      </c>
      <c r="J424" s="188">
        <v>1</v>
      </c>
      <c r="K424" s="188">
        <v>1</v>
      </c>
      <c r="L424" s="188">
        <v>1</v>
      </c>
      <c r="M424" s="188">
        <v>1</v>
      </c>
      <c r="N424" s="188">
        <v>1</v>
      </c>
      <c r="O424" s="188">
        <v>1</v>
      </c>
      <c r="P424" s="188">
        <v>1</v>
      </c>
      <c r="Q424" s="188">
        <v>1</v>
      </c>
      <c r="R424" s="188">
        <v>0</v>
      </c>
      <c r="S424" s="188">
        <v>1</v>
      </c>
      <c r="T424" s="188">
        <v>1</v>
      </c>
      <c r="U424" s="188">
        <v>1</v>
      </c>
      <c r="V424" s="188">
        <v>1</v>
      </c>
      <c r="W424" s="188">
        <v>1</v>
      </c>
      <c r="X424" s="188">
        <v>0</v>
      </c>
      <c r="Y424" s="188">
        <v>0</v>
      </c>
      <c r="Z424" s="188">
        <v>0</v>
      </c>
      <c r="AA424" s="188">
        <v>1</v>
      </c>
      <c r="AB424" s="188">
        <v>0</v>
      </c>
      <c r="AC424" s="188">
        <v>1</v>
      </c>
      <c r="AD424" s="188">
        <v>0</v>
      </c>
      <c r="AE424" s="188">
        <v>0</v>
      </c>
      <c r="AF424" s="190">
        <v>15</v>
      </c>
      <c r="AG424" s="183">
        <v>18</v>
      </c>
    </row>
    <row r="425" spans="1:41" ht="15" customHeight="1" x14ac:dyDescent="0.2">
      <c r="A425" s="141" t="s">
        <v>313</v>
      </c>
      <c r="B425" s="187" t="s">
        <v>1759</v>
      </c>
      <c r="C425" s="141">
        <v>2015</v>
      </c>
      <c r="D425" s="188">
        <v>58</v>
      </c>
      <c r="E425" s="135">
        <v>2695</v>
      </c>
      <c r="F425" s="192" t="s">
        <v>569</v>
      </c>
      <c r="G425" s="188">
        <v>0</v>
      </c>
      <c r="H425" s="188">
        <v>0</v>
      </c>
      <c r="I425" s="188">
        <v>0</v>
      </c>
      <c r="J425" s="188">
        <v>0</v>
      </c>
      <c r="K425" s="188">
        <v>0</v>
      </c>
      <c r="L425" s="188">
        <v>0</v>
      </c>
      <c r="M425" s="188">
        <v>0</v>
      </c>
      <c r="N425" s="188">
        <v>0</v>
      </c>
      <c r="O425" s="188">
        <v>1</v>
      </c>
      <c r="P425" s="188">
        <v>0</v>
      </c>
      <c r="Q425" s="188">
        <v>0</v>
      </c>
      <c r="R425" s="188">
        <v>0</v>
      </c>
      <c r="S425" s="188">
        <v>0</v>
      </c>
      <c r="T425" s="188">
        <v>0</v>
      </c>
      <c r="U425" s="188">
        <v>0</v>
      </c>
      <c r="V425" s="188">
        <v>0</v>
      </c>
      <c r="W425" s="188">
        <v>0</v>
      </c>
      <c r="X425" s="188">
        <v>0</v>
      </c>
      <c r="Y425" s="188">
        <v>0</v>
      </c>
      <c r="Z425" s="188">
        <v>0</v>
      </c>
      <c r="AA425" s="188">
        <v>0</v>
      </c>
      <c r="AB425" s="188">
        <v>0</v>
      </c>
      <c r="AC425" s="188">
        <v>0</v>
      </c>
      <c r="AD425" s="188">
        <v>0</v>
      </c>
      <c r="AE425" s="188">
        <v>0</v>
      </c>
      <c r="AF425" s="190">
        <v>0.1</v>
      </c>
      <c r="AG425" s="183">
        <v>1</v>
      </c>
      <c r="AH425" s="5" t="s">
        <v>1802</v>
      </c>
      <c r="AI425" s="5" t="s">
        <v>1658</v>
      </c>
      <c r="AL425" s="5" t="s">
        <v>1673</v>
      </c>
      <c r="AM425" s="5" t="s">
        <v>1676</v>
      </c>
      <c r="AO425" s="5" t="s">
        <v>1676</v>
      </c>
    </row>
    <row r="426" spans="1:41" ht="15" customHeight="1" x14ac:dyDescent="0.2">
      <c r="A426" s="141" t="s">
        <v>313</v>
      </c>
      <c r="B426" s="187" t="s">
        <v>1759</v>
      </c>
      <c r="C426" s="141">
        <v>2015</v>
      </c>
      <c r="D426" s="141">
        <v>58</v>
      </c>
      <c r="E426" s="135" t="e">
        <v>#N/A</v>
      </c>
      <c r="F426" s="192" t="s">
        <v>1773</v>
      </c>
      <c r="G426" s="141">
        <v>1</v>
      </c>
      <c r="H426" s="141">
        <v>1</v>
      </c>
      <c r="I426" s="141">
        <v>1</v>
      </c>
      <c r="J426" s="141">
        <v>1</v>
      </c>
      <c r="K426" s="141">
        <v>0</v>
      </c>
      <c r="L426" s="141">
        <v>0</v>
      </c>
      <c r="M426" s="141">
        <v>0</v>
      </c>
      <c r="N426" s="141">
        <v>0</v>
      </c>
      <c r="O426" s="141">
        <v>0</v>
      </c>
      <c r="P426" s="141">
        <v>0</v>
      </c>
      <c r="Q426" s="141">
        <v>0</v>
      </c>
      <c r="R426" s="141">
        <v>0</v>
      </c>
      <c r="S426" s="141">
        <v>0</v>
      </c>
      <c r="T426" s="141">
        <v>1</v>
      </c>
      <c r="U426" s="141">
        <v>0</v>
      </c>
      <c r="V426" s="141">
        <v>1</v>
      </c>
      <c r="W426" s="141">
        <v>0</v>
      </c>
      <c r="X426" s="141">
        <v>0</v>
      </c>
      <c r="Y426" s="141">
        <v>0</v>
      </c>
      <c r="Z426" s="141">
        <v>0</v>
      </c>
      <c r="AA426" s="141">
        <v>1</v>
      </c>
      <c r="AB426" s="141">
        <v>0</v>
      </c>
      <c r="AC426" s="141">
        <v>0</v>
      </c>
      <c r="AD426" s="141">
        <v>0</v>
      </c>
      <c r="AE426" s="141">
        <v>1</v>
      </c>
      <c r="AF426" s="148">
        <v>0.1</v>
      </c>
      <c r="AG426" s="183">
        <v>8</v>
      </c>
      <c r="AH426" s="4"/>
      <c r="AI426" s="5" t="s">
        <v>1656</v>
      </c>
      <c r="AL426" s="5" t="s">
        <v>1434</v>
      </c>
      <c r="AO426" s="5" t="s">
        <v>1434</v>
      </c>
    </row>
    <row r="427" spans="1:41" ht="15" customHeight="1" x14ac:dyDescent="0.2">
      <c r="A427" s="141" t="s">
        <v>313</v>
      </c>
      <c r="B427" s="187" t="s">
        <v>1759</v>
      </c>
      <c r="C427" s="141">
        <v>2015</v>
      </c>
      <c r="D427" s="188">
        <v>58</v>
      </c>
      <c r="E427" s="135">
        <v>730</v>
      </c>
      <c r="F427" s="192" t="s">
        <v>1225</v>
      </c>
      <c r="G427" s="188">
        <v>0</v>
      </c>
      <c r="H427" s="188">
        <v>0</v>
      </c>
      <c r="I427" s="188">
        <v>0</v>
      </c>
      <c r="J427" s="188">
        <v>0</v>
      </c>
      <c r="K427" s="188">
        <v>0</v>
      </c>
      <c r="L427" s="188">
        <v>0</v>
      </c>
      <c r="M427" s="188">
        <v>0</v>
      </c>
      <c r="N427" s="188">
        <v>0</v>
      </c>
      <c r="O427" s="188">
        <v>0</v>
      </c>
      <c r="P427" s="188">
        <v>1</v>
      </c>
      <c r="Q427" s="188">
        <v>0</v>
      </c>
      <c r="R427" s="188">
        <v>0</v>
      </c>
      <c r="S427" s="188">
        <v>0</v>
      </c>
      <c r="T427" s="188">
        <v>0</v>
      </c>
      <c r="U427" s="188">
        <v>0</v>
      </c>
      <c r="V427" s="188">
        <v>0</v>
      </c>
      <c r="W427" s="188">
        <v>0</v>
      </c>
      <c r="X427" s="188">
        <v>0</v>
      </c>
      <c r="Y427" s="188">
        <v>0</v>
      </c>
      <c r="Z427" s="188">
        <v>0</v>
      </c>
      <c r="AA427" s="188">
        <v>0</v>
      </c>
      <c r="AB427" s="188">
        <v>0</v>
      </c>
      <c r="AC427" s="188">
        <v>0</v>
      </c>
      <c r="AD427" s="188">
        <v>0</v>
      </c>
      <c r="AE427" s="188">
        <v>0</v>
      </c>
      <c r="AF427" s="191">
        <v>0.1</v>
      </c>
      <c r="AG427" s="183">
        <v>1</v>
      </c>
    </row>
    <row r="428" spans="1:41" ht="15" customHeight="1" x14ac:dyDescent="0.2">
      <c r="A428" s="141" t="s">
        <v>313</v>
      </c>
      <c r="B428" s="187" t="s">
        <v>1759</v>
      </c>
      <c r="C428" s="141">
        <v>2015</v>
      </c>
      <c r="D428" s="188">
        <v>58</v>
      </c>
      <c r="E428" s="135">
        <v>876</v>
      </c>
      <c r="F428" s="192" t="s">
        <v>1163</v>
      </c>
      <c r="G428" s="188">
        <v>0</v>
      </c>
      <c r="H428" s="188">
        <v>0</v>
      </c>
      <c r="I428" s="188">
        <v>0</v>
      </c>
      <c r="J428" s="188">
        <v>0</v>
      </c>
      <c r="K428" s="188">
        <v>0</v>
      </c>
      <c r="L428" s="188">
        <v>0</v>
      </c>
      <c r="M428" s="188">
        <v>0</v>
      </c>
      <c r="N428" s="188">
        <v>0</v>
      </c>
      <c r="O428" s="188">
        <v>0</v>
      </c>
      <c r="P428" s="188">
        <v>0</v>
      </c>
      <c r="Q428" s="188">
        <v>0</v>
      </c>
      <c r="R428" s="188">
        <v>0</v>
      </c>
      <c r="S428" s="188">
        <v>0</v>
      </c>
      <c r="T428" s="188">
        <v>0</v>
      </c>
      <c r="U428" s="188">
        <v>0</v>
      </c>
      <c r="V428" s="188">
        <v>0</v>
      </c>
      <c r="W428" s="188">
        <v>0</v>
      </c>
      <c r="X428" s="188">
        <v>0</v>
      </c>
      <c r="Y428" s="188">
        <v>0</v>
      </c>
      <c r="Z428" s="188">
        <v>0</v>
      </c>
      <c r="AA428" s="188">
        <v>0</v>
      </c>
      <c r="AB428" s="188">
        <v>1</v>
      </c>
      <c r="AC428" s="188">
        <v>0</v>
      </c>
      <c r="AD428" s="188">
        <v>0</v>
      </c>
      <c r="AE428" s="188">
        <v>0</v>
      </c>
      <c r="AF428" s="191">
        <v>1</v>
      </c>
      <c r="AG428" s="183">
        <v>1</v>
      </c>
    </row>
    <row r="429" spans="1:41" ht="15" customHeight="1" x14ac:dyDescent="0.2">
      <c r="A429" s="141" t="s">
        <v>313</v>
      </c>
      <c r="B429" s="187" t="s">
        <v>1759</v>
      </c>
      <c r="C429" s="141">
        <v>2015</v>
      </c>
      <c r="D429" s="188">
        <v>58</v>
      </c>
      <c r="E429" s="135">
        <v>1894</v>
      </c>
      <c r="F429" s="192" t="s">
        <v>795</v>
      </c>
      <c r="G429" s="188">
        <v>0</v>
      </c>
      <c r="H429" s="188">
        <v>0</v>
      </c>
      <c r="I429" s="188">
        <v>0</v>
      </c>
      <c r="J429" s="188">
        <v>0</v>
      </c>
      <c r="K429" s="188">
        <v>0</v>
      </c>
      <c r="L429" s="188">
        <v>0</v>
      </c>
      <c r="M429" s="188">
        <v>0</v>
      </c>
      <c r="N429" s="188">
        <v>0</v>
      </c>
      <c r="O429" s="188">
        <v>0</v>
      </c>
      <c r="P429" s="188">
        <v>0</v>
      </c>
      <c r="Q429" s="188">
        <v>1</v>
      </c>
      <c r="R429" s="188">
        <v>1</v>
      </c>
      <c r="S429" s="188">
        <v>1</v>
      </c>
      <c r="T429" s="188">
        <v>1</v>
      </c>
      <c r="U429" s="188">
        <v>1</v>
      </c>
      <c r="V429" s="188">
        <v>0</v>
      </c>
      <c r="W429" s="188">
        <v>1</v>
      </c>
      <c r="X429" s="188">
        <v>1</v>
      </c>
      <c r="Y429" s="188">
        <v>1</v>
      </c>
      <c r="Z429" s="188">
        <v>1</v>
      </c>
      <c r="AA429" s="188">
        <v>1</v>
      </c>
      <c r="AB429" s="188">
        <v>1</v>
      </c>
      <c r="AC429" s="188">
        <v>1</v>
      </c>
      <c r="AD429" s="188">
        <v>1</v>
      </c>
      <c r="AE429" s="188">
        <v>1</v>
      </c>
      <c r="AF429" s="191">
        <v>20</v>
      </c>
      <c r="AG429" s="183">
        <v>14</v>
      </c>
      <c r="AL429" s="5" t="s">
        <v>1671</v>
      </c>
      <c r="AO429" s="5" t="s">
        <v>1671</v>
      </c>
    </row>
    <row r="430" spans="1:41" ht="15" customHeight="1" x14ac:dyDescent="0.2">
      <c r="A430" s="141" t="s">
        <v>313</v>
      </c>
      <c r="B430" s="187" t="s">
        <v>1759</v>
      </c>
      <c r="C430" s="141">
        <v>2015</v>
      </c>
      <c r="D430" s="141">
        <v>58</v>
      </c>
      <c r="E430" s="135" t="e">
        <v>#N/A</v>
      </c>
      <c r="F430" s="192" t="s">
        <v>1779</v>
      </c>
      <c r="G430" s="141">
        <v>0</v>
      </c>
      <c r="H430" s="141">
        <v>0</v>
      </c>
      <c r="I430" s="141">
        <v>0</v>
      </c>
      <c r="J430" s="141">
        <v>0</v>
      </c>
      <c r="K430" s="141">
        <v>0</v>
      </c>
      <c r="L430" s="141">
        <v>0</v>
      </c>
      <c r="M430" s="141">
        <v>0</v>
      </c>
      <c r="N430" s="141">
        <v>0</v>
      </c>
      <c r="O430" s="141">
        <v>0</v>
      </c>
      <c r="P430" s="141">
        <v>0</v>
      </c>
      <c r="Q430" s="141">
        <v>0</v>
      </c>
      <c r="R430" s="141">
        <v>0</v>
      </c>
      <c r="S430" s="141">
        <v>0</v>
      </c>
      <c r="T430" s="141">
        <v>0</v>
      </c>
      <c r="U430" s="141">
        <v>1</v>
      </c>
      <c r="V430" s="141">
        <v>0</v>
      </c>
      <c r="W430" s="141">
        <v>0</v>
      </c>
      <c r="X430" s="141">
        <v>0</v>
      </c>
      <c r="Y430" s="141">
        <v>0</v>
      </c>
      <c r="Z430" s="141">
        <v>0</v>
      </c>
      <c r="AA430" s="141">
        <v>1</v>
      </c>
      <c r="AB430" s="141">
        <v>0</v>
      </c>
      <c r="AC430" s="141">
        <v>0</v>
      </c>
      <c r="AD430" s="141">
        <v>0</v>
      </c>
      <c r="AE430" s="141">
        <v>1</v>
      </c>
      <c r="AF430" s="148">
        <v>0.1</v>
      </c>
      <c r="AG430" s="183"/>
      <c r="AH430" s="4" t="s">
        <v>1869</v>
      </c>
      <c r="AJ430" s="5" t="s">
        <v>1660</v>
      </c>
      <c r="AL430" s="5" t="s">
        <v>1673</v>
      </c>
      <c r="AM430" s="5" t="s">
        <v>1676</v>
      </c>
      <c r="AO430" s="5" t="s">
        <v>1676</v>
      </c>
    </row>
    <row r="431" spans="1:41" ht="15" customHeight="1" x14ac:dyDescent="0.2">
      <c r="A431" s="141" t="s">
        <v>313</v>
      </c>
      <c r="B431" s="187" t="s">
        <v>1759</v>
      </c>
      <c r="C431" s="141">
        <v>2015</v>
      </c>
      <c r="D431" s="188">
        <v>58</v>
      </c>
      <c r="E431" s="135">
        <v>2639</v>
      </c>
      <c r="F431" s="192" t="s">
        <v>590</v>
      </c>
      <c r="G431" s="188">
        <v>0</v>
      </c>
      <c r="H431" s="188">
        <v>1</v>
      </c>
      <c r="I431" s="188">
        <v>1</v>
      </c>
      <c r="J431" s="188">
        <v>1</v>
      </c>
      <c r="K431" s="188">
        <v>0</v>
      </c>
      <c r="L431" s="188">
        <v>0</v>
      </c>
      <c r="M431" s="188">
        <v>0</v>
      </c>
      <c r="N431" s="188">
        <v>1</v>
      </c>
      <c r="O431" s="188">
        <v>0</v>
      </c>
      <c r="P431" s="188">
        <v>0</v>
      </c>
      <c r="Q431" s="188">
        <v>0</v>
      </c>
      <c r="R431" s="188">
        <v>0</v>
      </c>
      <c r="S431" s="188">
        <v>0</v>
      </c>
      <c r="T431" s="188">
        <v>1</v>
      </c>
      <c r="U431" s="188">
        <v>1</v>
      </c>
      <c r="V431" s="188">
        <v>0</v>
      </c>
      <c r="W431" s="188">
        <v>0</v>
      </c>
      <c r="X431" s="188">
        <v>1</v>
      </c>
      <c r="Y431" s="188">
        <v>1</v>
      </c>
      <c r="Z431" s="188">
        <v>1</v>
      </c>
      <c r="AA431" s="188">
        <v>0</v>
      </c>
      <c r="AB431" s="188">
        <v>0</v>
      </c>
      <c r="AC431" s="188">
        <v>1</v>
      </c>
      <c r="AD431" s="188">
        <v>1</v>
      </c>
      <c r="AE431" s="188">
        <v>0</v>
      </c>
      <c r="AF431" s="191">
        <v>8</v>
      </c>
      <c r="AG431" s="183">
        <v>11</v>
      </c>
    </row>
    <row r="432" spans="1:41" ht="15" customHeight="1" x14ac:dyDescent="0.2">
      <c r="A432" s="141" t="s">
        <v>313</v>
      </c>
      <c r="B432" s="187" t="s">
        <v>1759</v>
      </c>
      <c r="C432" s="141">
        <v>2015</v>
      </c>
      <c r="D432" s="141">
        <v>58</v>
      </c>
      <c r="E432" s="135" t="e">
        <v>#N/A</v>
      </c>
      <c r="F432" s="192" t="s">
        <v>1772</v>
      </c>
      <c r="G432" s="141">
        <v>1</v>
      </c>
      <c r="H432" s="141">
        <v>0</v>
      </c>
      <c r="I432" s="141">
        <v>0</v>
      </c>
      <c r="J432" s="141">
        <v>1</v>
      </c>
      <c r="K432" s="141">
        <v>1</v>
      </c>
      <c r="L432" s="141">
        <v>0</v>
      </c>
      <c r="M432" s="141">
        <v>0</v>
      </c>
      <c r="N432" s="141">
        <v>0</v>
      </c>
      <c r="O432" s="141">
        <v>0</v>
      </c>
      <c r="P432" s="141">
        <v>0</v>
      </c>
      <c r="Q432" s="141">
        <v>0</v>
      </c>
      <c r="R432" s="141">
        <v>0</v>
      </c>
      <c r="S432" s="141">
        <v>0</v>
      </c>
      <c r="T432" s="141">
        <v>0</v>
      </c>
      <c r="U432" s="141">
        <v>0</v>
      </c>
      <c r="V432" s="141">
        <v>0</v>
      </c>
      <c r="W432" s="141">
        <v>0</v>
      </c>
      <c r="X432" s="141">
        <v>1</v>
      </c>
      <c r="Y432" s="141">
        <v>1</v>
      </c>
      <c r="Z432" s="141">
        <v>0</v>
      </c>
      <c r="AA432" s="141">
        <v>0</v>
      </c>
      <c r="AB432" s="141">
        <v>0</v>
      </c>
      <c r="AC432" s="141">
        <v>1</v>
      </c>
      <c r="AD432" s="141">
        <v>1</v>
      </c>
      <c r="AE432" s="141">
        <v>0</v>
      </c>
      <c r="AF432" s="148">
        <v>5</v>
      </c>
      <c r="AG432" s="183">
        <v>7</v>
      </c>
      <c r="AH432" s="4"/>
      <c r="AL432" s="5" t="s">
        <v>1434</v>
      </c>
      <c r="AO432" s="5" t="s">
        <v>1434</v>
      </c>
    </row>
    <row r="433" spans="1:41" ht="15" customHeight="1" x14ac:dyDescent="0.2">
      <c r="A433" s="141" t="s">
        <v>313</v>
      </c>
      <c r="B433" s="187" t="s">
        <v>1759</v>
      </c>
      <c r="C433" s="141">
        <v>2015</v>
      </c>
      <c r="D433" s="188">
        <v>59</v>
      </c>
      <c r="E433" s="135">
        <v>122</v>
      </c>
      <c r="F433" s="189" t="s">
        <v>200</v>
      </c>
      <c r="G433" s="188">
        <v>0</v>
      </c>
      <c r="H433" s="188">
        <v>1</v>
      </c>
      <c r="I433" s="188">
        <v>1</v>
      </c>
      <c r="J433" s="188">
        <v>0</v>
      </c>
      <c r="K433" s="188">
        <v>0</v>
      </c>
      <c r="L433" s="188">
        <v>0</v>
      </c>
      <c r="M433" s="188">
        <v>0</v>
      </c>
      <c r="N433" s="188">
        <v>0</v>
      </c>
      <c r="O433" s="188">
        <v>0</v>
      </c>
      <c r="P433" s="188">
        <v>1</v>
      </c>
      <c r="Q433" s="188">
        <v>0</v>
      </c>
      <c r="R433" s="188">
        <v>0</v>
      </c>
      <c r="S433" s="188">
        <v>0</v>
      </c>
      <c r="T433" s="188">
        <v>0</v>
      </c>
      <c r="U433" s="188">
        <v>0</v>
      </c>
      <c r="V433" s="188">
        <v>0</v>
      </c>
      <c r="W433" s="188">
        <v>0</v>
      </c>
      <c r="X433" s="188">
        <v>0</v>
      </c>
      <c r="Y433" s="188">
        <v>0</v>
      </c>
      <c r="Z433" s="188">
        <v>0</v>
      </c>
      <c r="AA433" s="188">
        <v>0</v>
      </c>
      <c r="AB433" s="188">
        <v>0</v>
      </c>
      <c r="AC433" s="188">
        <v>0</v>
      </c>
      <c r="AD433" s="188">
        <v>0</v>
      </c>
      <c r="AE433" s="188">
        <v>0</v>
      </c>
      <c r="AF433" s="191">
        <v>0.1</v>
      </c>
      <c r="AG433" s="183">
        <v>3</v>
      </c>
      <c r="AI433" s="5" t="s">
        <v>1655</v>
      </c>
      <c r="AL433" s="5" t="s">
        <v>1668</v>
      </c>
      <c r="AO433" s="5" t="s">
        <v>1668</v>
      </c>
    </row>
    <row r="434" spans="1:41" ht="15" customHeight="1" x14ac:dyDescent="0.2">
      <c r="A434" s="141" t="s">
        <v>313</v>
      </c>
      <c r="B434" s="187" t="s">
        <v>1759</v>
      </c>
      <c r="C434" s="141">
        <v>2015</v>
      </c>
      <c r="D434" s="188">
        <v>59</v>
      </c>
      <c r="E434" s="135">
        <v>278</v>
      </c>
      <c r="F434" s="192" t="s">
        <v>132</v>
      </c>
      <c r="G434" s="188">
        <v>1</v>
      </c>
      <c r="H434" s="188">
        <v>1</v>
      </c>
      <c r="I434" s="188">
        <v>1</v>
      </c>
      <c r="J434" s="188">
        <v>0</v>
      </c>
      <c r="K434" s="188">
        <v>0</v>
      </c>
      <c r="L434" s="188">
        <v>1</v>
      </c>
      <c r="M434" s="188">
        <v>1</v>
      </c>
      <c r="N434" s="188">
        <v>1</v>
      </c>
      <c r="O434" s="188">
        <v>1</v>
      </c>
      <c r="P434" s="188">
        <v>1</v>
      </c>
      <c r="Q434" s="188">
        <v>1</v>
      </c>
      <c r="R434" s="188">
        <v>1</v>
      </c>
      <c r="S434" s="188">
        <v>1</v>
      </c>
      <c r="T434" s="188">
        <v>1</v>
      </c>
      <c r="U434" s="188">
        <v>1</v>
      </c>
      <c r="V434" s="188">
        <v>1</v>
      </c>
      <c r="W434" s="188">
        <v>1</v>
      </c>
      <c r="X434" s="188">
        <v>1</v>
      </c>
      <c r="Y434" s="188">
        <v>1</v>
      </c>
      <c r="Z434" s="188">
        <v>1</v>
      </c>
      <c r="AA434" s="188">
        <v>1</v>
      </c>
      <c r="AB434" s="188">
        <v>0</v>
      </c>
      <c r="AC434" s="188">
        <v>1</v>
      </c>
      <c r="AD434" s="188">
        <v>0</v>
      </c>
      <c r="AE434" s="188">
        <v>0</v>
      </c>
      <c r="AF434" s="190">
        <v>80</v>
      </c>
      <c r="AG434" s="183">
        <v>20</v>
      </c>
    </row>
    <row r="435" spans="1:41" ht="15" customHeight="1" x14ac:dyDescent="0.2">
      <c r="A435" s="141" t="s">
        <v>313</v>
      </c>
      <c r="B435" s="187" t="s">
        <v>1759</v>
      </c>
      <c r="C435" s="141">
        <v>2015</v>
      </c>
      <c r="D435" s="141">
        <v>59</v>
      </c>
      <c r="E435" s="135">
        <v>1576</v>
      </c>
      <c r="F435" s="192" t="s">
        <v>882</v>
      </c>
      <c r="G435" s="141">
        <v>1</v>
      </c>
      <c r="H435" s="141">
        <v>0</v>
      </c>
      <c r="I435" s="141">
        <v>0</v>
      </c>
      <c r="J435" s="141">
        <v>0</v>
      </c>
      <c r="K435" s="141">
        <v>0</v>
      </c>
      <c r="L435" s="141">
        <v>0</v>
      </c>
      <c r="M435" s="141">
        <v>0</v>
      </c>
      <c r="N435" s="141">
        <v>0</v>
      </c>
      <c r="O435" s="141">
        <v>0</v>
      </c>
      <c r="P435" s="141">
        <v>0</v>
      </c>
      <c r="Q435" s="141">
        <v>0</v>
      </c>
      <c r="R435" s="141">
        <v>0</v>
      </c>
      <c r="S435" s="141">
        <v>0</v>
      </c>
      <c r="T435" s="141">
        <v>0</v>
      </c>
      <c r="U435" s="141">
        <v>0</v>
      </c>
      <c r="V435" s="141">
        <v>0</v>
      </c>
      <c r="W435" s="141">
        <v>0</v>
      </c>
      <c r="X435" s="141">
        <v>0</v>
      </c>
      <c r="Y435" s="141">
        <v>0</v>
      </c>
      <c r="Z435" s="141">
        <v>0</v>
      </c>
      <c r="AA435" s="141">
        <v>0</v>
      </c>
      <c r="AB435" s="141">
        <v>0</v>
      </c>
      <c r="AC435" s="141">
        <v>0</v>
      </c>
      <c r="AD435" s="141">
        <v>1</v>
      </c>
      <c r="AE435" s="141">
        <v>0</v>
      </c>
      <c r="AF435" s="148">
        <v>0.1</v>
      </c>
      <c r="AG435" s="183">
        <v>2</v>
      </c>
      <c r="AH435" s="4"/>
      <c r="AI435" s="5" t="s">
        <v>1655</v>
      </c>
      <c r="AL435" s="5" t="s">
        <v>1668</v>
      </c>
      <c r="AO435" s="5" t="s">
        <v>1668</v>
      </c>
    </row>
    <row r="436" spans="1:41" ht="15" customHeight="1" x14ac:dyDescent="0.2">
      <c r="A436" s="141" t="s">
        <v>313</v>
      </c>
      <c r="B436" s="187" t="s">
        <v>1759</v>
      </c>
      <c r="C436" s="141">
        <v>2015</v>
      </c>
      <c r="D436" s="188">
        <v>59</v>
      </c>
      <c r="E436" s="135">
        <v>6003</v>
      </c>
      <c r="F436" s="192" t="s">
        <v>288</v>
      </c>
      <c r="G436" s="188">
        <v>1</v>
      </c>
      <c r="H436" s="188">
        <v>0</v>
      </c>
      <c r="I436" s="188">
        <v>0</v>
      </c>
      <c r="J436" s="188">
        <v>1</v>
      </c>
      <c r="K436" s="188">
        <v>0</v>
      </c>
      <c r="L436" s="188">
        <v>0</v>
      </c>
      <c r="M436" s="188">
        <v>0</v>
      </c>
      <c r="N436" s="188">
        <v>0</v>
      </c>
      <c r="O436" s="188">
        <v>0</v>
      </c>
      <c r="P436" s="188">
        <v>0</v>
      </c>
      <c r="Q436" s="188">
        <v>0</v>
      </c>
      <c r="R436" s="188">
        <v>0</v>
      </c>
      <c r="S436" s="188">
        <v>0</v>
      </c>
      <c r="T436" s="188">
        <v>0</v>
      </c>
      <c r="U436" s="188">
        <v>0</v>
      </c>
      <c r="V436" s="188">
        <v>0</v>
      </c>
      <c r="W436" s="188">
        <v>0</v>
      </c>
      <c r="X436" s="188">
        <v>0</v>
      </c>
      <c r="Y436" s="188">
        <v>0</v>
      </c>
      <c r="Z436" s="188">
        <v>0</v>
      </c>
      <c r="AA436" s="188">
        <v>0</v>
      </c>
      <c r="AB436" s="188">
        <v>0</v>
      </c>
      <c r="AC436" s="188">
        <v>0</v>
      </c>
      <c r="AD436" s="188">
        <v>0</v>
      </c>
      <c r="AE436" s="188">
        <v>0</v>
      </c>
      <c r="AF436" s="190">
        <v>0.1</v>
      </c>
      <c r="AG436" s="183">
        <v>2</v>
      </c>
      <c r="AI436" s="5" t="s">
        <v>1655</v>
      </c>
      <c r="AL436" s="5" t="s">
        <v>1668</v>
      </c>
      <c r="AO436" s="5" t="s">
        <v>1668</v>
      </c>
    </row>
    <row r="437" spans="1:41" ht="15" customHeight="1" x14ac:dyDescent="0.2">
      <c r="A437" s="141" t="s">
        <v>313</v>
      </c>
      <c r="B437" s="187" t="s">
        <v>1759</v>
      </c>
      <c r="C437" s="141">
        <v>2015</v>
      </c>
      <c r="D437" s="188">
        <v>59</v>
      </c>
      <c r="E437" s="135">
        <v>2359</v>
      </c>
      <c r="F437" s="192" t="s">
        <v>665</v>
      </c>
      <c r="G437" s="188">
        <v>1</v>
      </c>
      <c r="H437" s="188">
        <v>1</v>
      </c>
      <c r="I437" s="188">
        <v>1</v>
      </c>
      <c r="J437" s="188">
        <v>1</v>
      </c>
      <c r="K437" s="188">
        <v>0</v>
      </c>
      <c r="L437" s="188">
        <v>1</v>
      </c>
      <c r="M437" s="188">
        <v>0</v>
      </c>
      <c r="N437" s="188">
        <v>0</v>
      </c>
      <c r="O437" s="188">
        <v>1</v>
      </c>
      <c r="P437" s="188">
        <v>1</v>
      </c>
      <c r="Q437" s="188">
        <v>0</v>
      </c>
      <c r="R437" s="188">
        <v>0</v>
      </c>
      <c r="S437" s="188">
        <v>0</v>
      </c>
      <c r="T437" s="188">
        <v>0</v>
      </c>
      <c r="U437" s="188">
        <v>0</v>
      </c>
      <c r="V437" s="188">
        <v>0</v>
      </c>
      <c r="W437" s="188">
        <v>0</v>
      </c>
      <c r="X437" s="188">
        <v>0</v>
      </c>
      <c r="Y437" s="188">
        <v>0</v>
      </c>
      <c r="Z437" s="188">
        <v>0</v>
      </c>
      <c r="AA437" s="188">
        <v>1</v>
      </c>
      <c r="AB437" s="188">
        <v>0</v>
      </c>
      <c r="AC437" s="188">
        <v>1</v>
      </c>
      <c r="AD437" s="188">
        <v>1</v>
      </c>
      <c r="AE437" s="188">
        <v>1</v>
      </c>
      <c r="AF437" s="191">
        <v>0.1</v>
      </c>
      <c r="AG437" s="183">
        <v>11</v>
      </c>
      <c r="AI437" s="5" t="s">
        <v>1655</v>
      </c>
      <c r="AL437" s="5" t="s">
        <v>1668</v>
      </c>
      <c r="AO437" s="5" t="s">
        <v>1668</v>
      </c>
    </row>
    <row r="438" spans="1:41" ht="15" customHeight="1" x14ac:dyDescent="0.2">
      <c r="A438" s="141" t="s">
        <v>313</v>
      </c>
      <c r="B438" s="187" t="s">
        <v>1759</v>
      </c>
      <c r="C438" s="141">
        <v>2015</v>
      </c>
      <c r="D438" s="188">
        <v>59</v>
      </c>
      <c r="E438" s="135">
        <v>2360</v>
      </c>
      <c r="F438" s="192" t="s">
        <v>664</v>
      </c>
      <c r="G438" s="188">
        <v>0</v>
      </c>
      <c r="H438" s="188">
        <v>0</v>
      </c>
      <c r="I438" s="188">
        <v>0</v>
      </c>
      <c r="J438" s="188">
        <v>0</v>
      </c>
      <c r="K438" s="188">
        <v>0</v>
      </c>
      <c r="L438" s="188">
        <v>0</v>
      </c>
      <c r="M438" s="188">
        <v>0</v>
      </c>
      <c r="N438" s="188">
        <v>0</v>
      </c>
      <c r="O438" s="188">
        <v>0</v>
      </c>
      <c r="P438" s="188">
        <v>0</v>
      </c>
      <c r="Q438" s="188">
        <v>0</v>
      </c>
      <c r="R438" s="188">
        <v>0</v>
      </c>
      <c r="S438" s="188">
        <v>0</v>
      </c>
      <c r="T438" s="188">
        <v>0</v>
      </c>
      <c r="U438" s="188">
        <v>0</v>
      </c>
      <c r="V438" s="188">
        <v>0</v>
      </c>
      <c r="W438" s="188">
        <v>0</v>
      </c>
      <c r="X438" s="188">
        <v>0</v>
      </c>
      <c r="Y438" s="188">
        <v>0</v>
      </c>
      <c r="Z438" s="188">
        <v>0</v>
      </c>
      <c r="AA438" s="188">
        <v>0</v>
      </c>
      <c r="AB438" s="188">
        <v>0</v>
      </c>
      <c r="AC438" s="188">
        <v>0</v>
      </c>
      <c r="AD438" s="188">
        <v>1</v>
      </c>
      <c r="AE438" s="188">
        <v>1</v>
      </c>
      <c r="AF438" s="190">
        <v>5</v>
      </c>
      <c r="AG438" s="183">
        <v>2</v>
      </c>
    </row>
    <row r="439" spans="1:41" ht="15" customHeight="1" x14ac:dyDescent="0.2">
      <c r="A439" s="141" t="s">
        <v>313</v>
      </c>
      <c r="B439" s="187" t="s">
        <v>1759</v>
      </c>
      <c r="C439" s="141">
        <v>2015</v>
      </c>
      <c r="D439" s="188">
        <v>59</v>
      </c>
      <c r="E439" s="135">
        <v>2366</v>
      </c>
      <c r="F439" s="192" t="s">
        <v>660</v>
      </c>
      <c r="G439" s="188">
        <v>0</v>
      </c>
      <c r="H439" s="188">
        <v>0</v>
      </c>
      <c r="I439" s="188">
        <v>1</v>
      </c>
      <c r="J439" s="188">
        <v>1</v>
      </c>
      <c r="K439" s="188">
        <v>0</v>
      </c>
      <c r="L439" s="188">
        <v>0</v>
      </c>
      <c r="M439" s="188">
        <v>0</v>
      </c>
      <c r="N439" s="188">
        <v>0</v>
      </c>
      <c r="O439" s="188">
        <v>0</v>
      </c>
      <c r="P439" s="188">
        <v>0</v>
      </c>
      <c r="Q439" s="188">
        <v>0</v>
      </c>
      <c r="R439" s="188">
        <v>0</v>
      </c>
      <c r="S439" s="188">
        <v>0</v>
      </c>
      <c r="T439" s="188">
        <v>0</v>
      </c>
      <c r="U439" s="188">
        <v>0</v>
      </c>
      <c r="V439" s="188">
        <v>0</v>
      </c>
      <c r="W439" s="188">
        <v>0</v>
      </c>
      <c r="X439" s="188">
        <v>0</v>
      </c>
      <c r="Y439" s="188">
        <v>0</v>
      </c>
      <c r="Z439" s="188">
        <v>0</v>
      </c>
      <c r="AA439" s="188">
        <v>1</v>
      </c>
      <c r="AB439" s="188">
        <v>0</v>
      </c>
      <c r="AC439" s="188">
        <v>0</v>
      </c>
      <c r="AD439" s="188">
        <v>0</v>
      </c>
      <c r="AE439" s="188">
        <v>0</v>
      </c>
      <c r="AF439" s="190">
        <v>0.1</v>
      </c>
      <c r="AG439" s="183">
        <v>3</v>
      </c>
      <c r="AI439" s="5" t="s">
        <v>1655</v>
      </c>
      <c r="AL439" s="5" t="s">
        <v>1668</v>
      </c>
      <c r="AO439" s="5" t="s">
        <v>1668</v>
      </c>
    </row>
    <row r="440" spans="1:41" ht="15" customHeight="1" x14ac:dyDescent="0.2">
      <c r="A440" s="141" t="s">
        <v>313</v>
      </c>
      <c r="B440" s="187" t="s">
        <v>1759</v>
      </c>
      <c r="C440" s="141">
        <v>2015</v>
      </c>
      <c r="D440" s="188">
        <v>59</v>
      </c>
      <c r="E440" s="135" t="e">
        <v>#N/A</v>
      </c>
      <c r="F440" s="192" t="s">
        <v>1767</v>
      </c>
      <c r="G440" s="188">
        <v>0</v>
      </c>
      <c r="H440" s="188">
        <v>0</v>
      </c>
      <c r="I440" s="188">
        <v>0</v>
      </c>
      <c r="J440" s="188">
        <v>0</v>
      </c>
      <c r="K440" s="188">
        <v>0</v>
      </c>
      <c r="L440" s="188">
        <v>0</v>
      </c>
      <c r="M440" s="188">
        <v>0</v>
      </c>
      <c r="N440" s="188">
        <v>0</v>
      </c>
      <c r="O440" s="188">
        <v>0</v>
      </c>
      <c r="P440" s="188">
        <v>0</v>
      </c>
      <c r="Q440" s="188">
        <v>0</v>
      </c>
      <c r="R440" s="188">
        <v>0</v>
      </c>
      <c r="S440" s="188">
        <v>0</v>
      </c>
      <c r="T440" s="188">
        <v>0</v>
      </c>
      <c r="U440" s="188">
        <v>0</v>
      </c>
      <c r="V440" s="188">
        <v>1</v>
      </c>
      <c r="W440" s="188">
        <v>0</v>
      </c>
      <c r="X440" s="188">
        <v>0</v>
      </c>
      <c r="Y440" s="188">
        <v>0</v>
      </c>
      <c r="Z440" s="188">
        <v>0</v>
      </c>
      <c r="AA440" s="188">
        <v>0</v>
      </c>
      <c r="AB440" s="188">
        <v>0</v>
      </c>
      <c r="AC440" s="188">
        <v>0</v>
      </c>
      <c r="AD440" s="188">
        <v>0</v>
      </c>
      <c r="AE440" s="188">
        <v>1</v>
      </c>
      <c r="AF440" s="191">
        <v>0.1</v>
      </c>
      <c r="AG440" s="183">
        <v>2</v>
      </c>
    </row>
    <row r="441" spans="1:41" ht="15" customHeight="1" x14ac:dyDescent="0.2">
      <c r="A441" s="141" t="s">
        <v>313</v>
      </c>
      <c r="B441" s="187" t="s">
        <v>1759</v>
      </c>
      <c r="C441" s="141">
        <v>2015</v>
      </c>
      <c r="D441" s="188">
        <v>59</v>
      </c>
      <c r="E441" s="135">
        <v>2388</v>
      </c>
      <c r="F441" s="189" t="s">
        <v>646</v>
      </c>
      <c r="G441" s="188">
        <v>0</v>
      </c>
      <c r="H441" s="188">
        <v>0</v>
      </c>
      <c r="I441" s="188">
        <v>0</v>
      </c>
      <c r="J441" s="188">
        <v>1</v>
      </c>
      <c r="K441" s="188">
        <v>0</v>
      </c>
      <c r="L441" s="188">
        <v>0</v>
      </c>
      <c r="M441" s="188">
        <v>0</v>
      </c>
      <c r="N441" s="188">
        <v>0</v>
      </c>
      <c r="O441" s="188">
        <v>1</v>
      </c>
      <c r="P441" s="188">
        <v>0</v>
      </c>
      <c r="Q441" s="188">
        <v>0</v>
      </c>
      <c r="R441" s="188">
        <v>0</v>
      </c>
      <c r="S441" s="188">
        <v>0</v>
      </c>
      <c r="T441" s="188">
        <v>0</v>
      </c>
      <c r="U441" s="188">
        <v>0</v>
      </c>
      <c r="V441" s="188">
        <v>0</v>
      </c>
      <c r="W441" s="188">
        <v>0</v>
      </c>
      <c r="X441" s="188">
        <v>0</v>
      </c>
      <c r="Y441" s="188">
        <v>0</v>
      </c>
      <c r="Z441" s="188">
        <v>0</v>
      </c>
      <c r="AA441" s="188">
        <v>0</v>
      </c>
      <c r="AB441" s="188">
        <v>0</v>
      </c>
      <c r="AC441" s="188">
        <v>0</v>
      </c>
      <c r="AD441" s="188">
        <v>0</v>
      </c>
      <c r="AE441" s="188">
        <v>0</v>
      </c>
      <c r="AF441" s="191">
        <v>0.1</v>
      </c>
      <c r="AG441" s="183">
        <v>2</v>
      </c>
      <c r="AI441" s="5" t="s">
        <v>1655</v>
      </c>
      <c r="AL441" s="5" t="s">
        <v>1668</v>
      </c>
      <c r="AM441" s="5" t="s">
        <v>1671</v>
      </c>
      <c r="AO441" s="5" t="s">
        <v>1668</v>
      </c>
    </row>
    <row r="442" spans="1:41" ht="15" customHeight="1" x14ac:dyDescent="0.2">
      <c r="A442" s="141" t="s">
        <v>313</v>
      </c>
      <c r="B442" s="187" t="s">
        <v>1759</v>
      </c>
      <c r="C442" s="141">
        <v>2015</v>
      </c>
      <c r="D442" s="188">
        <v>59</v>
      </c>
      <c r="E442" s="135">
        <v>541</v>
      </c>
      <c r="F442" s="192" t="s">
        <v>1313</v>
      </c>
      <c r="G442" s="188">
        <v>1</v>
      </c>
      <c r="H442" s="188">
        <v>0</v>
      </c>
      <c r="I442" s="188">
        <v>1</v>
      </c>
      <c r="J442" s="188">
        <v>1</v>
      </c>
      <c r="K442" s="188">
        <v>1</v>
      </c>
      <c r="L442" s="188">
        <v>1</v>
      </c>
      <c r="M442" s="188">
        <v>1</v>
      </c>
      <c r="N442" s="188">
        <v>1</v>
      </c>
      <c r="O442" s="188">
        <v>1</v>
      </c>
      <c r="P442" s="188">
        <v>1</v>
      </c>
      <c r="Q442" s="188">
        <v>0</v>
      </c>
      <c r="R442" s="188">
        <v>1</v>
      </c>
      <c r="S442" s="188">
        <v>1</v>
      </c>
      <c r="T442" s="188">
        <v>1</v>
      </c>
      <c r="U442" s="188">
        <v>0</v>
      </c>
      <c r="V442" s="188">
        <v>1</v>
      </c>
      <c r="W442" s="188">
        <v>1</v>
      </c>
      <c r="X442" s="188">
        <v>1</v>
      </c>
      <c r="Y442" s="188">
        <v>1</v>
      </c>
      <c r="Z442" s="188">
        <v>1</v>
      </c>
      <c r="AA442" s="188">
        <v>1</v>
      </c>
      <c r="AB442" s="188">
        <v>1</v>
      </c>
      <c r="AC442" s="188">
        <v>1</v>
      </c>
      <c r="AD442" s="188">
        <v>1</v>
      </c>
      <c r="AE442" s="188">
        <v>0</v>
      </c>
      <c r="AF442" s="190">
        <v>10</v>
      </c>
      <c r="AG442" s="183">
        <v>21</v>
      </c>
    </row>
    <row r="443" spans="1:41" ht="15" customHeight="1" x14ac:dyDescent="0.2">
      <c r="A443" s="141" t="s">
        <v>313</v>
      </c>
      <c r="B443" s="187" t="s">
        <v>1759</v>
      </c>
      <c r="C443" s="141">
        <v>2015</v>
      </c>
      <c r="D443" s="188">
        <v>59</v>
      </c>
      <c r="E443" s="135">
        <v>574</v>
      </c>
      <c r="F443" s="192" t="s">
        <v>1300</v>
      </c>
      <c r="G443" s="188">
        <v>0</v>
      </c>
      <c r="H443" s="188">
        <v>0</v>
      </c>
      <c r="I443" s="188">
        <v>0</v>
      </c>
      <c r="J443" s="188">
        <v>0</v>
      </c>
      <c r="K443" s="188">
        <v>0</v>
      </c>
      <c r="L443" s="188">
        <v>0</v>
      </c>
      <c r="M443" s="188">
        <v>0</v>
      </c>
      <c r="N443" s="188">
        <v>0</v>
      </c>
      <c r="O443" s="188">
        <v>0</v>
      </c>
      <c r="P443" s="188">
        <v>0</v>
      </c>
      <c r="Q443" s="188">
        <v>0</v>
      </c>
      <c r="R443" s="188">
        <v>0</v>
      </c>
      <c r="S443" s="188">
        <v>0</v>
      </c>
      <c r="T443" s="188">
        <v>0</v>
      </c>
      <c r="U443" s="188">
        <v>1</v>
      </c>
      <c r="V443" s="188">
        <v>0</v>
      </c>
      <c r="W443" s="188">
        <v>1</v>
      </c>
      <c r="X443" s="188">
        <v>0</v>
      </c>
      <c r="Y443" s="188">
        <v>0</v>
      </c>
      <c r="Z443" s="188">
        <v>0</v>
      </c>
      <c r="AA443" s="188">
        <v>0</v>
      </c>
      <c r="AB443" s="188">
        <v>0</v>
      </c>
      <c r="AC443" s="188">
        <v>0</v>
      </c>
      <c r="AD443" s="188">
        <v>0</v>
      </c>
      <c r="AE443" s="188">
        <v>0</v>
      </c>
      <c r="AF443" s="191">
        <v>0.1</v>
      </c>
      <c r="AG443" s="183">
        <v>2</v>
      </c>
      <c r="AI443" s="5" t="s">
        <v>1655</v>
      </c>
      <c r="AL443" s="5" t="s">
        <v>1668</v>
      </c>
      <c r="AO443" s="5" t="s">
        <v>1668</v>
      </c>
    </row>
    <row r="444" spans="1:41" ht="15" customHeight="1" x14ac:dyDescent="0.2">
      <c r="A444" s="141" t="s">
        <v>313</v>
      </c>
      <c r="B444" s="187" t="s">
        <v>1759</v>
      </c>
      <c r="C444" s="141">
        <v>2015</v>
      </c>
      <c r="D444" s="188">
        <v>59</v>
      </c>
      <c r="E444" s="135">
        <v>2695</v>
      </c>
      <c r="F444" s="192" t="s">
        <v>569</v>
      </c>
      <c r="G444" s="188">
        <v>0</v>
      </c>
      <c r="H444" s="188">
        <v>0</v>
      </c>
      <c r="I444" s="188">
        <v>0</v>
      </c>
      <c r="J444" s="188">
        <v>0</v>
      </c>
      <c r="K444" s="188">
        <v>0</v>
      </c>
      <c r="L444" s="188">
        <v>0</v>
      </c>
      <c r="M444" s="188">
        <v>1</v>
      </c>
      <c r="N444" s="188">
        <v>0</v>
      </c>
      <c r="O444" s="188">
        <v>0</v>
      </c>
      <c r="P444" s="188">
        <v>0</v>
      </c>
      <c r="Q444" s="188">
        <v>0</v>
      </c>
      <c r="R444" s="188">
        <v>0</v>
      </c>
      <c r="S444" s="188">
        <v>0</v>
      </c>
      <c r="T444" s="188">
        <v>0</v>
      </c>
      <c r="U444" s="188">
        <v>0</v>
      </c>
      <c r="V444" s="188">
        <v>0</v>
      </c>
      <c r="W444" s="188">
        <v>0</v>
      </c>
      <c r="X444" s="188">
        <v>1</v>
      </c>
      <c r="Y444" s="188">
        <v>0</v>
      </c>
      <c r="Z444" s="188">
        <v>0</v>
      </c>
      <c r="AA444" s="188">
        <v>0</v>
      </c>
      <c r="AB444" s="188">
        <v>0</v>
      </c>
      <c r="AC444" s="188">
        <v>0</v>
      </c>
      <c r="AD444" s="188">
        <v>0</v>
      </c>
      <c r="AE444" s="188">
        <v>0</v>
      </c>
      <c r="AF444" s="191">
        <v>0.1</v>
      </c>
      <c r="AG444" s="183">
        <v>2</v>
      </c>
      <c r="AI444" s="5" t="s">
        <v>1655</v>
      </c>
      <c r="AL444" s="5" t="s">
        <v>1668</v>
      </c>
      <c r="AO444" s="5" t="s">
        <v>1668</v>
      </c>
    </row>
    <row r="445" spans="1:41" ht="15" customHeight="1" x14ac:dyDescent="0.2">
      <c r="A445" s="141" t="s">
        <v>313</v>
      </c>
      <c r="B445" s="187" t="s">
        <v>1759</v>
      </c>
      <c r="C445" s="141">
        <v>2015</v>
      </c>
      <c r="D445" s="141">
        <v>59</v>
      </c>
      <c r="E445" s="135" t="e">
        <v>#N/A</v>
      </c>
      <c r="F445" s="192" t="s">
        <v>1773</v>
      </c>
      <c r="G445" s="141">
        <v>0</v>
      </c>
      <c r="H445" s="141">
        <v>0</v>
      </c>
      <c r="I445" s="141">
        <v>0</v>
      </c>
      <c r="J445" s="141">
        <v>0</v>
      </c>
      <c r="K445" s="141">
        <v>1</v>
      </c>
      <c r="L445" s="141">
        <v>0</v>
      </c>
      <c r="M445" s="141">
        <v>1</v>
      </c>
      <c r="N445" s="141">
        <v>0</v>
      </c>
      <c r="O445" s="141">
        <v>0</v>
      </c>
      <c r="P445" s="141">
        <v>0</v>
      </c>
      <c r="Q445" s="141">
        <v>0</v>
      </c>
      <c r="R445" s="141">
        <v>0</v>
      </c>
      <c r="S445" s="141">
        <v>0</v>
      </c>
      <c r="T445" s="141">
        <v>0</v>
      </c>
      <c r="U445" s="141">
        <v>0</v>
      </c>
      <c r="V445" s="141">
        <v>1</v>
      </c>
      <c r="W445" s="141">
        <v>0</v>
      </c>
      <c r="X445" s="141">
        <v>0</v>
      </c>
      <c r="Y445" s="141">
        <v>0</v>
      </c>
      <c r="Z445" s="141">
        <v>0</v>
      </c>
      <c r="AA445" s="141">
        <v>1</v>
      </c>
      <c r="AB445" s="141">
        <v>1</v>
      </c>
      <c r="AC445" s="141">
        <v>1</v>
      </c>
      <c r="AD445" s="141">
        <v>0</v>
      </c>
      <c r="AE445" s="141">
        <v>0</v>
      </c>
      <c r="AF445" s="148">
        <v>0.1</v>
      </c>
      <c r="AG445" s="183">
        <v>6</v>
      </c>
      <c r="AH445" s="4"/>
      <c r="AI445" s="5" t="s">
        <v>1655</v>
      </c>
      <c r="AL445" s="5" t="s">
        <v>1668</v>
      </c>
      <c r="AM445" s="5" t="s">
        <v>1434</v>
      </c>
      <c r="AO445" s="5" t="s">
        <v>1434</v>
      </c>
    </row>
    <row r="446" spans="1:41" ht="15" customHeight="1" x14ac:dyDescent="0.2">
      <c r="A446" s="141" t="s">
        <v>313</v>
      </c>
      <c r="B446" s="187" t="s">
        <v>1759</v>
      </c>
      <c r="C446" s="141">
        <v>2015</v>
      </c>
      <c r="D446" s="188">
        <v>59</v>
      </c>
      <c r="E446" s="135">
        <v>1677</v>
      </c>
      <c r="F446" s="192" t="s">
        <v>851</v>
      </c>
      <c r="G446" s="188">
        <v>0</v>
      </c>
      <c r="H446" s="188">
        <v>0</v>
      </c>
      <c r="I446" s="188">
        <v>0</v>
      </c>
      <c r="J446" s="188">
        <v>0</v>
      </c>
      <c r="K446" s="188">
        <v>0</v>
      </c>
      <c r="L446" s="188">
        <v>0</v>
      </c>
      <c r="M446" s="188">
        <v>0</v>
      </c>
      <c r="N446" s="188">
        <v>1</v>
      </c>
      <c r="O446" s="188">
        <v>0</v>
      </c>
      <c r="P446" s="188">
        <v>0</v>
      </c>
      <c r="Q446" s="188">
        <v>0</v>
      </c>
      <c r="R446" s="188">
        <v>0</v>
      </c>
      <c r="S446" s="188">
        <v>0</v>
      </c>
      <c r="T446" s="188">
        <v>0</v>
      </c>
      <c r="U446" s="188">
        <v>0</v>
      </c>
      <c r="V446" s="188">
        <v>0</v>
      </c>
      <c r="W446" s="188">
        <v>0</v>
      </c>
      <c r="X446" s="188">
        <v>0</v>
      </c>
      <c r="Y446" s="188">
        <v>0</v>
      </c>
      <c r="Z446" s="188">
        <v>0</v>
      </c>
      <c r="AA446" s="188">
        <v>0</v>
      </c>
      <c r="AB446" s="188">
        <v>0</v>
      </c>
      <c r="AC446" s="188">
        <v>0</v>
      </c>
      <c r="AD446" s="188">
        <v>0</v>
      </c>
      <c r="AE446" s="188">
        <v>0</v>
      </c>
      <c r="AF446" s="190">
        <v>0.1</v>
      </c>
      <c r="AG446" s="183">
        <v>1</v>
      </c>
      <c r="AI446" s="5" t="s">
        <v>1655</v>
      </c>
      <c r="AL446" s="5" t="s">
        <v>1668</v>
      </c>
      <c r="AO446" s="5" t="s">
        <v>1668</v>
      </c>
    </row>
    <row r="447" spans="1:41" ht="15" customHeight="1" x14ac:dyDescent="0.2">
      <c r="A447" s="141" t="s">
        <v>313</v>
      </c>
      <c r="B447" s="187" t="s">
        <v>1759</v>
      </c>
      <c r="C447" s="141">
        <v>2015</v>
      </c>
      <c r="D447" s="188">
        <v>59</v>
      </c>
      <c r="E447" s="135">
        <v>1894</v>
      </c>
      <c r="F447" s="192" t="s">
        <v>795</v>
      </c>
      <c r="G447" s="188">
        <v>1</v>
      </c>
      <c r="H447" s="188">
        <v>1</v>
      </c>
      <c r="I447" s="188">
        <v>1</v>
      </c>
      <c r="J447" s="188">
        <v>1</v>
      </c>
      <c r="K447" s="188">
        <v>1</v>
      </c>
      <c r="L447" s="188">
        <v>1</v>
      </c>
      <c r="M447" s="188">
        <v>0</v>
      </c>
      <c r="N447" s="188">
        <v>0</v>
      </c>
      <c r="O447" s="188">
        <v>1</v>
      </c>
      <c r="P447" s="188">
        <v>0</v>
      </c>
      <c r="Q447" s="188">
        <v>1</v>
      </c>
      <c r="R447" s="188">
        <v>0</v>
      </c>
      <c r="S447" s="188">
        <v>0</v>
      </c>
      <c r="T447" s="188">
        <v>0</v>
      </c>
      <c r="U447" s="188">
        <v>0</v>
      </c>
      <c r="V447" s="188">
        <v>1</v>
      </c>
      <c r="W447" s="188">
        <v>0</v>
      </c>
      <c r="X447" s="188">
        <v>0</v>
      </c>
      <c r="Y447" s="188">
        <v>1</v>
      </c>
      <c r="Z447" s="188">
        <v>1</v>
      </c>
      <c r="AA447" s="188">
        <v>1</v>
      </c>
      <c r="AB447" s="188">
        <v>0</v>
      </c>
      <c r="AC447" s="188">
        <v>0</v>
      </c>
      <c r="AD447" s="188">
        <v>1</v>
      </c>
      <c r="AE447" s="188">
        <v>1</v>
      </c>
      <c r="AF447" s="191">
        <v>0.1</v>
      </c>
      <c r="AG447" s="183">
        <v>14</v>
      </c>
      <c r="AI447" s="5" t="s">
        <v>1655</v>
      </c>
      <c r="AL447" s="5" t="s">
        <v>1668</v>
      </c>
      <c r="AO447" s="5" t="s">
        <v>1668</v>
      </c>
    </row>
    <row r="448" spans="1:41" ht="15" customHeight="1" x14ac:dyDescent="0.2">
      <c r="A448" s="141" t="s">
        <v>313</v>
      </c>
      <c r="B448" s="187" t="s">
        <v>1759</v>
      </c>
      <c r="C448" s="141">
        <v>2015</v>
      </c>
      <c r="D448" s="188">
        <v>59</v>
      </c>
      <c r="E448" s="135">
        <v>1140</v>
      </c>
      <c r="F448" s="192" t="s">
        <v>1052</v>
      </c>
      <c r="G448" s="188">
        <v>0</v>
      </c>
      <c r="H448" s="188">
        <v>1</v>
      </c>
      <c r="I448" s="188">
        <v>1</v>
      </c>
      <c r="J448" s="188">
        <v>0</v>
      </c>
      <c r="K448" s="188">
        <v>0</v>
      </c>
      <c r="L448" s="188">
        <v>0</v>
      </c>
      <c r="M448" s="188">
        <v>0</v>
      </c>
      <c r="N448" s="188">
        <v>0</v>
      </c>
      <c r="O448" s="188">
        <v>0</v>
      </c>
      <c r="P448" s="188">
        <v>0</v>
      </c>
      <c r="Q448" s="188">
        <v>0</v>
      </c>
      <c r="R448" s="188">
        <v>0</v>
      </c>
      <c r="S448" s="188">
        <v>0</v>
      </c>
      <c r="T448" s="188">
        <v>0</v>
      </c>
      <c r="U448" s="188">
        <v>0</v>
      </c>
      <c r="V448" s="188">
        <v>0</v>
      </c>
      <c r="W448" s="188">
        <v>0</v>
      </c>
      <c r="X448" s="188">
        <v>0</v>
      </c>
      <c r="Y448" s="188">
        <v>0</v>
      </c>
      <c r="Z448" s="188">
        <v>0</v>
      </c>
      <c r="AA448" s="188">
        <v>0</v>
      </c>
      <c r="AB448" s="188">
        <v>0</v>
      </c>
      <c r="AC448" s="188">
        <v>0</v>
      </c>
      <c r="AD448" s="188">
        <v>0</v>
      </c>
      <c r="AE448" s="188">
        <v>0</v>
      </c>
      <c r="AF448" s="191">
        <v>0.1</v>
      </c>
      <c r="AG448" s="183">
        <v>2</v>
      </c>
      <c r="AI448" s="5" t="s">
        <v>1655</v>
      </c>
      <c r="AL448" s="5" t="s">
        <v>1668</v>
      </c>
      <c r="AO448" s="5" t="s">
        <v>1668</v>
      </c>
    </row>
    <row r="449" spans="1:41" ht="15" customHeight="1" x14ac:dyDescent="0.2">
      <c r="A449" s="141" t="s">
        <v>313</v>
      </c>
      <c r="B449" s="187" t="s">
        <v>1759</v>
      </c>
      <c r="C449" s="141">
        <v>2015</v>
      </c>
      <c r="D449" s="141">
        <v>59</v>
      </c>
      <c r="E449" s="135" t="e">
        <v>#N/A</v>
      </c>
      <c r="F449" s="192" t="s">
        <v>1772</v>
      </c>
      <c r="G449" s="141">
        <v>0</v>
      </c>
      <c r="H449" s="141">
        <v>0</v>
      </c>
      <c r="I449" s="141">
        <v>0</v>
      </c>
      <c r="J449" s="141">
        <v>0</v>
      </c>
      <c r="K449" s="141">
        <v>1</v>
      </c>
      <c r="L449" s="141">
        <v>0</v>
      </c>
      <c r="M449" s="141">
        <v>1</v>
      </c>
      <c r="N449" s="141">
        <v>1</v>
      </c>
      <c r="O449" s="141">
        <v>0</v>
      </c>
      <c r="P449" s="141">
        <v>1</v>
      </c>
      <c r="Q449" s="141">
        <v>1</v>
      </c>
      <c r="R449" s="141">
        <v>0</v>
      </c>
      <c r="S449" s="141">
        <v>1</v>
      </c>
      <c r="T449" s="141">
        <v>1</v>
      </c>
      <c r="U449" s="141">
        <v>1</v>
      </c>
      <c r="V449" s="141">
        <v>1</v>
      </c>
      <c r="W449" s="141">
        <v>1</v>
      </c>
      <c r="X449" s="141">
        <v>1</v>
      </c>
      <c r="Y449" s="141">
        <v>0</v>
      </c>
      <c r="Z449" s="141">
        <v>1</v>
      </c>
      <c r="AA449" s="141">
        <v>0</v>
      </c>
      <c r="AB449" s="141">
        <v>0</v>
      </c>
      <c r="AC449" s="141">
        <v>0</v>
      </c>
      <c r="AD449" s="141">
        <v>0</v>
      </c>
      <c r="AE449" s="141">
        <v>0</v>
      </c>
      <c r="AF449" s="148">
        <v>25</v>
      </c>
      <c r="AG449" s="183">
        <v>12</v>
      </c>
      <c r="AH449" s="4"/>
      <c r="AL449" s="5" t="s">
        <v>1434</v>
      </c>
      <c r="AO449" s="5" t="s">
        <v>1434</v>
      </c>
    </row>
    <row r="450" spans="1:41" ht="15" customHeight="1" x14ac:dyDescent="0.2">
      <c r="A450" s="141" t="s">
        <v>313</v>
      </c>
      <c r="B450" s="187" t="s">
        <v>1761</v>
      </c>
      <c r="C450" s="141">
        <v>2015</v>
      </c>
      <c r="D450" s="188">
        <v>60</v>
      </c>
      <c r="E450" s="135">
        <v>278</v>
      </c>
      <c r="F450" s="192" t="s">
        <v>132</v>
      </c>
      <c r="G450" s="188">
        <v>1</v>
      </c>
      <c r="H450" s="188">
        <v>1</v>
      </c>
      <c r="I450" s="188">
        <v>1</v>
      </c>
      <c r="J450" s="188">
        <v>1</v>
      </c>
      <c r="K450" s="188">
        <v>1</v>
      </c>
      <c r="L450" s="188">
        <v>1</v>
      </c>
      <c r="M450" s="188">
        <v>1</v>
      </c>
      <c r="N450" s="188">
        <v>1</v>
      </c>
      <c r="O450" s="188">
        <v>1</v>
      </c>
      <c r="P450" s="188">
        <v>1</v>
      </c>
      <c r="Q450" s="188">
        <v>1</v>
      </c>
      <c r="R450" s="188">
        <v>1</v>
      </c>
      <c r="S450" s="188">
        <v>1</v>
      </c>
      <c r="T450" s="188">
        <v>1</v>
      </c>
      <c r="U450" s="188">
        <v>1</v>
      </c>
      <c r="V450" s="188">
        <v>1</v>
      </c>
      <c r="W450" s="188">
        <v>1</v>
      </c>
      <c r="X450" s="188">
        <v>1</v>
      </c>
      <c r="Y450" s="188">
        <v>1</v>
      </c>
      <c r="Z450" s="188">
        <v>1</v>
      </c>
      <c r="AA450" s="188">
        <v>1</v>
      </c>
      <c r="AB450" s="188">
        <v>1</v>
      </c>
      <c r="AC450" s="188">
        <v>1</v>
      </c>
      <c r="AD450" s="188">
        <v>1</v>
      </c>
      <c r="AE450" s="188">
        <v>1</v>
      </c>
      <c r="AF450" s="191">
        <v>65</v>
      </c>
      <c r="AG450" s="183">
        <v>25</v>
      </c>
      <c r="AH450" s="5" t="s">
        <v>1803</v>
      </c>
      <c r="AI450" s="5" t="s">
        <v>1654</v>
      </c>
      <c r="AL450" s="5" t="s">
        <v>1432</v>
      </c>
      <c r="AO450" s="5" t="s">
        <v>1432</v>
      </c>
    </row>
    <row r="451" spans="1:41" ht="15" customHeight="1" x14ac:dyDescent="0.2">
      <c r="A451" s="141" t="s">
        <v>313</v>
      </c>
      <c r="B451" s="187" t="s">
        <v>1761</v>
      </c>
      <c r="C451" s="141">
        <v>2015</v>
      </c>
      <c r="D451" s="188">
        <v>60</v>
      </c>
      <c r="E451" s="135">
        <v>2694</v>
      </c>
      <c r="F451" s="192" t="s">
        <v>570</v>
      </c>
      <c r="G451" s="188">
        <v>1</v>
      </c>
      <c r="H451" s="188">
        <v>1</v>
      </c>
      <c r="I451" s="188">
        <v>0</v>
      </c>
      <c r="J451" s="188">
        <v>0</v>
      </c>
      <c r="K451" s="188">
        <v>1</v>
      </c>
      <c r="L451" s="188">
        <v>0</v>
      </c>
      <c r="M451" s="188">
        <v>0</v>
      </c>
      <c r="N451" s="188">
        <v>0</v>
      </c>
      <c r="O451" s="188">
        <v>1</v>
      </c>
      <c r="P451" s="188">
        <v>0</v>
      </c>
      <c r="Q451" s="188">
        <v>1</v>
      </c>
      <c r="R451" s="188">
        <v>1</v>
      </c>
      <c r="S451" s="188">
        <v>1</v>
      </c>
      <c r="T451" s="188">
        <v>1</v>
      </c>
      <c r="U451" s="188">
        <v>1</v>
      </c>
      <c r="V451" s="188">
        <v>1</v>
      </c>
      <c r="W451" s="188">
        <v>1</v>
      </c>
      <c r="X451" s="188">
        <v>1</v>
      </c>
      <c r="Y451" s="188">
        <v>1</v>
      </c>
      <c r="Z451" s="188">
        <v>1</v>
      </c>
      <c r="AA451" s="188">
        <v>1</v>
      </c>
      <c r="AB451" s="188">
        <v>1</v>
      </c>
      <c r="AC451" s="188">
        <v>1</v>
      </c>
      <c r="AD451" s="188">
        <v>0</v>
      </c>
      <c r="AE451" s="188">
        <v>0</v>
      </c>
      <c r="AF451" s="190">
        <v>0.1</v>
      </c>
      <c r="AG451" s="183">
        <v>17</v>
      </c>
      <c r="AH451" s="5" t="s">
        <v>1860</v>
      </c>
      <c r="AI451" s="5" t="s">
        <v>1654</v>
      </c>
      <c r="AJ451" s="5" t="s">
        <v>1658</v>
      </c>
      <c r="AL451" s="5" t="s">
        <v>1432</v>
      </c>
      <c r="AM451" s="5" t="s">
        <v>1672</v>
      </c>
      <c r="AO451" s="5" t="s">
        <v>1672</v>
      </c>
    </row>
    <row r="452" spans="1:41" ht="15" customHeight="1" x14ac:dyDescent="0.2">
      <c r="A452" s="141" t="s">
        <v>313</v>
      </c>
      <c r="B452" s="187" t="s">
        <v>1761</v>
      </c>
      <c r="C452" s="141">
        <v>2015</v>
      </c>
      <c r="D452" s="188">
        <v>60</v>
      </c>
      <c r="E452" s="135">
        <v>2359</v>
      </c>
      <c r="F452" s="192" t="s">
        <v>665</v>
      </c>
      <c r="G452" s="188">
        <v>0</v>
      </c>
      <c r="H452" s="188">
        <v>0</v>
      </c>
      <c r="I452" s="188">
        <v>0</v>
      </c>
      <c r="J452" s="188">
        <v>0</v>
      </c>
      <c r="K452" s="188">
        <v>0</v>
      </c>
      <c r="L452" s="188">
        <v>1</v>
      </c>
      <c r="M452" s="188">
        <v>1</v>
      </c>
      <c r="N452" s="188">
        <v>1</v>
      </c>
      <c r="O452" s="188">
        <v>0</v>
      </c>
      <c r="P452" s="188">
        <v>1</v>
      </c>
      <c r="Q452" s="188">
        <v>1</v>
      </c>
      <c r="R452" s="188">
        <v>1</v>
      </c>
      <c r="S452" s="188">
        <v>1</v>
      </c>
      <c r="T452" s="188">
        <v>1</v>
      </c>
      <c r="U452" s="188">
        <v>1</v>
      </c>
      <c r="V452" s="188">
        <v>1</v>
      </c>
      <c r="W452" s="188">
        <v>1</v>
      </c>
      <c r="X452" s="188">
        <v>1</v>
      </c>
      <c r="Y452" s="188">
        <v>1</v>
      </c>
      <c r="Z452" s="188">
        <v>0</v>
      </c>
      <c r="AA452" s="188">
        <v>1</v>
      </c>
      <c r="AB452" s="188">
        <v>0</v>
      </c>
      <c r="AC452" s="188">
        <v>1</v>
      </c>
      <c r="AD452" s="188">
        <v>0</v>
      </c>
      <c r="AE452" s="188">
        <v>1</v>
      </c>
      <c r="AF452" s="191">
        <v>0.1</v>
      </c>
      <c r="AG452" s="183">
        <v>16</v>
      </c>
      <c r="AH452" s="5" t="s">
        <v>1803</v>
      </c>
      <c r="AI452" s="5" t="s">
        <v>1654</v>
      </c>
      <c r="AL452" s="5" t="s">
        <v>1432</v>
      </c>
      <c r="AO452" s="5" t="s">
        <v>1432</v>
      </c>
    </row>
    <row r="453" spans="1:41" ht="15" customHeight="1" x14ac:dyDescent="0.2">
      <c r="A453" s="141" t="s">
        <v>313</v>
      </c>
      <c r="B453" s="187" t="s">
        <v>1761</v>
      </c>
      <c r="C453" s="141">
        <v>2015</v>
      </c>
      <c r="D453" s="188">
        <v>60</v>
      </c>
      <c r="E453" s="135">
        <v>2366</v>
      </c>
      <c r="F453" s="192" t="s">
        <v>660</v>
      </c>
      <c r="G453" s="188">
        <v>0</v>
      </c>
      <c r="H453" s="188">
        <v>0</v>
      </c>
      <c r="I453" s="188">
        <v>0</v>
      </c>
      <c r="J453" s="188">
        <v>0</v>
      </c>
      <c r="K453" s="188">
        <v>0</v>
      </c>
      <c r="L453" s="188">
        <v>0</v>
      </c>
      <c r="M453" s="188">
        <v>1</v>
      </c>
      <c r="N453" s="188">
        <v>1</v>
      </c>
      <c r="O453" s="188">
        <v>0</v>
      </c>
      <c r="P453" s="188">
        <v>0</v>
      </c>
      <c r="Q453" s="188">
        <v>0</v>
      </c>
      <c r="R453" s="188">
        <v>0</v>
      </c>
      <c r="S453" s="188">
        <v>0</v>
      </c>
      <c r="T453" s="188">
        <v>0</v>
      </c>
      <c r="U453" s="188">
        <v>0</v>
      </c>
      <c r="V453" s="188">
        <v>0</v>
      </c>
      <c r="W453" s="188">
        <v>0</v>
      </c>
      <c r="X453" s="188">
        <v>0</v>
      </c>
      <c r="Y453" s="188">
        <v>0</v>
      </c>
      <c r="Z453" s="188">
        <v>0</v>
      </c>
      <c r="AA453" s="188">
        <v>0</v>
      </c>
      <c r="AB453" s="188">
        <v>0</v>
      </c>
      <c r="AC453" s="188">
        <v>1</v>
      </c>
      <c r="AD453" s="188">
        <v>0</v>
      </c>
      <c r="AE453" s="188">
        <v>0</v>
      </c>
      <c r="AF453" s="190">
        <v>0.1</v>
      </c>
      <c r="AG453" s="183">
        <v>3</v>
      </c>
      <c r="AH453" s="5" t="s">
        <v>1803</v>
      </c>
      <c r="AI453" s="5" t="s">
        <v>1654</v>
      </c>
      <c r="AL453" s="5" t="s">
        <v>1432</v>
      </c>
      <c r="AO453" s="5" t="s">
        <v>1432</v>
      </c>
    </row>
    <row r="454" spans="1:41" ht="15" customHeight="1" x14ac:dyDescent="0.2">
      <c r="A454" s="141" t="s">
        <v>313</v>
      </c>
      <c r="B454" s="187" t="s">
        <v>1759</v>
      </c>
      <c r="C454" s="141">
        <v>2015</v>
      </c>
      <c r="D454" s="141">
        <v>60</v>
      </c>
      <c r="E454" s="135" t="e">
        <v>#N/A</v>
      </c>
      <c r="F454" s="192" t="s">
        <v>1767</v>
      </c>
      <c r="G454" s="141">
        <v>0</v>
      </c>
      <c r="H454" s="141">
        <v>0</v>
      </c>
      <c r="I454" s="141">
        <v>0</v>
      </c>
      <c r="J454" s="141">
        <v>0</v>
      </c>
      <c r="K454" s="141">
        <v>0</v>
      </c>
      <c r="L454" s="141">
        <v>1</v>
      </c>
      <c r="M454" s="141">
        <v>0</v>
      </c>
      <c r="N454" s="141">
        <v>0</v>
      </c>
      <c r="O454" s="141">
        <v>0</v>
      </c>
      <c r="P454" s="141">
        <v>0</v>
      </c>
      <c r="Q454" s="141">
        <v>0</v>
      </c>
      <c r="R454" s="141">
        <v>0</v>
      </c>
      <c r="S454" s="141">
        <v>0</v>
      </c>
      <c r="T454" s="141">
        <v>0</v>
      </c>
      <c r="U454" s="141">
        <v>0</v>
      </c>
      <c r="V454" s="141">
        <v>0</v>
      </c>
      <c r="W454" s="141">
        <v>0</v>
      </c>
      <c r="X454" s="141">
        <v>0</v>
      </c>
      <c r="Y454" s="141">
        <v>1</v>
      </c>
      <c r="Z454" s="141">
        <v>0</v>
      </c>
      <c r="AA454" s="141">
        <v>0</v>
      </c>
      <c r="AB454" s="141">
        <v>0</v>
      </c>
      <c r="AC454" s="141">
        <v>0</v>
      </c>
      <c r="AD454" s="141">
        <v>0</v>
      </c>
      <c r="AE454" s="141">
        <v>0</v>
      </c>
      <c r="AF454" s="148">
        <v>0.1</v>
      </c>
      <c r="AG454" s="183">
        <v>2</v>
      </c>
      <c r="AH454" s="4"/>
      <c r="AI454" s="5" t="s">
        <v>1654</v>
      </c>
      <c r="AJ454" s="5" t="s">
        <v>1656</v>
      </c>
      <c r="AL454" s="5" t="s">
        <v>1434</v>
      </c>
      <c r="AO454" s="5" t="s">
        <v>1434</v>
      </c>
    </row>
    <row r="455" spans="1:41" ht="15" customHeight="1" x14ac:dyDescent="0.2">
      <c r="A455" s="141" t="s">
        <v>313</v>
      </c>
      <c r="B455" s="187" t="s">
        <v>1759</v>
      </c>
      <c r="C455" s="141">
        <v>2015</v>
      </c>
      <c r="D455" s="141">
        <v>60</v>
      </c>
      <c r="E455" s="135" t="e">
        <v>#N/A</v>
      </c>
      <c r="F455" s="192" t="s">
        <v>1776</v>
      </c>
      <c r="G455" s="141">
        <v>0</v>
      </c>
      <c r="H455" s="141">
        <v>0</v>
      </c>
      <c r="I455" s="141">
        <v>0</v>
      </c>
      <c r="J455" s="141">
        <v>0</v>
      </c>
      <c r="K455" s="141">
        <v>0</v>
      </c>
      <c r="L455" s="141">
        <v>0</v>
      </c>
      <c r="M455" s="141">
        <v>0</v>
      </c>
      <c r="N455" s="141">
        <v>0</v>
      </c>
      <c r="O455" s="141">
        <v>0</v>
      </c>
      <c r="P455" s="141">
        <v>0</v>
      </c>
      <c r="Q455" s="141">
        <v>0</v>
      </c>
      <c r="R455" s="141">
        <v>0</v>
      </c>
      <c r="S455" s="141">
        <v>0</v>
      </c>
      <c r="T455" s="141">
        <v>0</v>
      </c>
      <c r="U455" s="141">
        <v>1</v>
      </c>
      <c r="V455" s="141">
        <v>0</v>
      </c>
      <c r="W455" s="141">
        <v>0</v>
      </c>
      <c r="X455" s="141">
        <v>0</v>
      </c>
      <c r="Y455" s="141">
        <v>0</v>
      </c>
      <c r="Z455" s="141">
        <v>1</v>
      </c>
      <c r="AA455" s="141">
        <v>0</v>
      </c>
      <c r="AB455" s="141">
        <v>0</v>
      </c>
      <c r="AC455" s="141">
        <v>0</v>
      </c>
      <c r="AD455" s="141">
        <v>1</v>
      </c>
      <c r="AE455" s="141">
        <v>1</v>
      </c>
      <c r="AF455" s="148">
        <v>0.5</v>
      </c>
      <c r="AG455" s="183">
        <v>4</v>
      </c>
      <c r="AH455" s="4"/>
      <c r="AI455" s="5" t="s">
        <v>1654</v>
      </c>
      <c r="AL455" s="5" t="s">
        <v>1434</v>
      </c>
      <c r="AO455" s="5" t="s">
        <v>1434</v>
      </c>
    </row>
    <row r="456" spans="1:41" ht="15" customHeight="1" x14ac:dyDescent="0.2">
      <c r="A456" s="141" t="s">
        <v>313</v>
      </c>
      <c r="B456" s="187" t="s">
        <v>1761</v>
      </c>
      <c r="C456" s="141">
        <v>2015</v>
      </c>
      <c r="D456" s="188">
        <v>60</v>
      </c>
      <c r="E456" s="135">
        <v>541</v>
      </c>
      <c r="F456" s="192" t="s">
        <v>1313</v>
      </c>
      <c r="G456" s="188">
        <v>1</v>
      </c>
      <c r="H456" s="188">
        <v>1</v>
      </c>
      <c r="I456" s="188">
        <v>1</v>
      </c>
      <c r="J456" s="188">
        <v>1</v>
      </c>
      <c r="K456" s="188">
        <v>1</v>
      </c>
      <c r="L456" s="188">
        <v>1</v>
      </c>
      <c r="M456" s="188">
        <v>1</v>
      </c>
      <c r="N456" s="188">
        <v>1</v>
      </c>
      <c r="O456" s="188">
        <v>1</v>
      </c>
      <c r="P456" s="188">
        <v>1</v>
      </c>
      <c r="Q456" s="188">
        <v>1</v>
      </c>
      <c r="R456" s="188">
        <v>1</v>
      </c>
      <c r="S456" s="188">
        <v>1</v>
      </c>
      <c r="T456" s="188">
        <v>1</v>
      </c>
      <c r="U456" s="188">
        <v>1</v>
      </c>
      <c r="V456" s="188">
        <v>1</v>
      </c>
      <c r="W456" s="188">
        <v>0</v>
      </c>
      <c r="X456" s="188">
        <v>0</v>
      </c>
      <c r="Y456" s="188">
        <v>1</v>
      </c>
      <c r="Z456" s="188">
        <v>1</v>
      </c>
      <c r="AA456" s="188">
        <v>1</v>
      </c>
      <c r="AB456" s="188">
        <v>0</v>
      </c>
      <c r="AC456" s="188">
        <v>0</v>
      </c>
      <c r="AD456" s="188">
        <v>0</v>
      </c>
      <c r="AE456" s="188">
        <v>0</v>
      </c>
      <c r="AF456" s="190">
        <v>4</v>
      </c>
      <c r="AG456" s="183">
        <v>19</v>
      </c>
      <c r="AH456" s="5" t="s">
        <v>1803</v>
      </c>
      <c r="AI456" s="5" t="s">
        <v>1654</v>
      </c>
      <c r="AL456" s="5" t="s">
        <v>1432</v>
      </c>
      <c r="AO456" s="5" t="s">
        <v>1432</v>
      </c>
    </row>
    <row r="457" spans="1:41" ht="15" customHeight="1" x14ac:dyDescent="0.2">
      <c r="A457" s="141" t="s">
        <v>313</v>
      </c>
      <c r="B457" s="187" t="s">
        <v>1761</v>
      </c>
      <c r="C457" s="141">
        <v>2015</v>
      </c>
      <c r="D457" s="188">
        <v>60</v>
      </c>
      <c r="E457" s="135">
        <v>2620</v>
      </c>
      <c r="F457" s="192" t="s">
        <v>605</v>
      </c>
      <c r="G457" s="188">
        <v>0</v>
      </c>
      <c r="H457" s="188">
        <v>0</v>
      </c>
      <c r="I457" s="188">
        <v>0</v>
      </c>
      <c r="J457" s="188">
        <v>0</v>
      </c>
      <c r="K457" s="188">
        <v>0</v>
      </c>
      <c r="L457" s="188">
        <v>0</v>
      </c>
      <c r="M457" s="188">
        <v>0</v>
      </c>
      <c r="N457" s="188">
        <v>0</v>
      </c>
      <c r="O457" s="188">
        <v>0</v>
      </c>
      <c r="P457" s="188">
        <v>0</v>
      </c>
      <c r="Q457" s="188">
        <v>0</v>
      </c>
      <c r="R457" s="188">
        <v>0</v>
      </c>
      <c r="S457" s="188">
        <v>0</v>
      </c>
      <c r="T457" s="188">
        <v>0</v>
      </c>
      <c r="U457" s="188">
        <v>1</v>
      </c>
      <c r="V457" s="188">
        <v>0</v>
      </c>
      <c r="W457" s="188">
        <v>0</v>
      </c>
      <c r="X457" s="188">
        <v>0</v>
      </c>
      <c r="Y457" s="188">
        <v>1</v>
      </c>
      <c r="Z457" s="188">
        <v>0</v>
      </c>
      <c r="AA457" s="188">
        <v>0</v>
      </c>
      <c r="AB457" s="188">
        <v>0</v>
      </c>
      <c r="AC457" s="188">
        <v>0</v>
      </c>
      <c r="AD457" s="188">
        <v>0</v>
      </c>
      <c r="AE457" s="188">
        <v>0</v>
      </c>
      <c r="AF457" s="191">
        <v>0.1</v>
      </c>
      <c r="AG457" s="183">
        <v>2</v>
      </c>
      <c r="AH457" s="5" t="s">
        <v>1803</v>
      </c>
      <c r="AI457" s="5" t="s">
        <v>1654</v>
      </c>
      <c r="AL457" s="5" t="s">
        <v>1432</v>
      </c>
      <c r="AO457" s="5" t="s">
        <v>1432</v>
      </c>
    </row>
    <row r="458" spans="1:41" ht="15" customHeight="1" x14ac:dyDescent="0.2">
      <c r="A458" s="141" t="s">
        <v>313</v>
      </c>
      <c r="B458" s="187" t="s">
        <v>1761</v>
      </c>
      <c r="C458" s="141">
        <v>2015</v>
      </c>
      <c r="D458" s="188">
        <v>60</v>
      </c>
      <c r="E458" s="135">
        <v>2639</v>
      </c>
      <c r="F458" s="192" t="s">
        <v>590</v>
      </c>
      <c r="G458" s="188">
        <v>0</v>
      </c>
      <c r="H458" s="188">
        <v>0</v>
      </c>
      <c r="I458" s="188">
        <v>0</v>
      </c>
      <c r="J458" s="188">
        <v>0</v>
      </c>
      <c r="K458" s="188">
        <v>1</v>
      </c>
      <c r="L458" s="188">
        <v>0</v>
      </c>
      <c r="M458" s="188">
        <v>0</v>
      </c>
      <c r="N458" s="188">
        <v>0</v>
      </c>
      <c r="O458" s="188">
        <v>0</v>
      </c>
      <c r="P458" s="188">
        <v>1</v>
      </c>
      <c r="Q458" s="188">
        <v>0</v>
      </c>
      <c r="R458" s="188">
        <v>0</v>
      </c>
      <c r="S458" s="188">
        <v>0</v>
      </c>
      <c r="T458" s="188">
        <v>0</v>
      </c>
      <c r="U458" s="188">
        <v>0</v>
      </c>
      <c r="V458" s="188">
        <v>0</v>
      </c>
      <c r="W458" s="188">
        <v>0</v>
      </c>
      <c r="X458" s="188">
        <v>0</v>
      </c>
      <c r="Y458" s="188">
        <v>1</v>
      </c>
      <c r="Z458" s="188">
        <v>0</v>
      </c>
      <c r="AA458" s="188">
        <v>0</v>
      </c>
      <c r="AB458" s="188">
        <v>1</v>
      </c>
      <c r="AC458" s="188">
        <v>1</v>
      </c>
      <c r="AD458" s="188">
        <v>0</v>
      </c>
      <c r="AE458" s="188">
        <v>0</v>
      </c>
      <c r="AF458" s="190">
        <v>4</v>
      </c>
      <c r="AG458" s="183">
        <v>5</v>
      </c>
      <c r="AH458" s="5" t="s">
        <v>1803</v>
      </c>
      <c r="AI458" s="5" t="s">
        <v>1654</v>
      </c>
      <c r="AL458" s="5" t="s">
        <v>1432</v>
      </c>
      <c r="AO458" s="5" t="s">
        <v>1432</v>
      </c>
    </row>
    <row r="459" spans="1:41" ht="15" customHeight="1" x14ac:dyDescent="0.2">
      <c r="A459" s="141" t="s">
        <v>313</v>
      </c>
      <c r="B459" s="187" t="s">
        <v>1759</v>
      </c>
      <c r="C459" s="141">
        <v>2015</v>
      </c>
      <c r="D459" s="141">
        <v>60</v>
      </c>
      <c r="E459" s="135" t="e">
        <v>#N/A</v>
      </c>
      <c r="F459" s="192" t="s">
        <v>1772</v>
      </c>
      <c r="G459" s="141">
        <v>0</v>
      </c>
      <c r="H459" s="141">
        <v>0</v>
      </c>
      <c r="I459" s="141">
        <v>0</v>
      </c>
      <c r="J459" s="141">
        <v>0</v>
      </c>
      <c r="K459" s="141">
        <v>0</v>
      </c>
      <c r="L459" s="141">
        <v>0</v>
      </c>
      <c r="M459" s="141">
        <v>1</v>
      </c>
      <c r="N459" s="141">
        <v>1</v>
      </c>
      <c r="O459" s="141">
        <v>0</v>
      </c>
      <c r="P459" s="141">
        <v>1</v>
      </c>
      <c r="Q459" s="141">
        <v>0</v>
      </c>
      <c r="R459" s="141">
        <v>0</v>
      </c>
      <c r="S459" s="141">
        <v>0</v>
      </c>
      <c r="T459" s="141">
        <v>0</v>
      </c>
      <c r="U459" s="141">
        <v>0</v>
      </c>
      <c r="V459" s="141">
        <v>0</v>
      </c>
      <c r="W459" s="141">
        <v>1</v>
      </c>
      <c r="X459" s="141">
        <v>1</v>
      </c>
      <c r="Y459" s="141">
        <v>1</v>
      </c>
      <c r="Z459" s="141">
        <v>0</v>
      </c>
      <c r="AA459" s="141">
        <v>1</v>
      </c>
      <c r="AB459" s="141">
        <v>0</v>
      </c>
      <c r="AC459" s="141">
        <v>0</v>
      </c>
      <c r="AD459" s="141">
        <v>1</v>
      </c>
      <c r="AE459" s="141">
        <v>1</v>
      </c>
      <c r="AF459" s="148">
        <v>8</v>
      </c>
      <c r="AG459" s="183">
        <v>9</v>
      </c>
      <c r="AH459" s="4" t="s">
        <v>1803</v>
      </c>
      <c r="AI459" s="5" t="s">
        <v>1654</v>
      </c>
      <c r="AL459" s="5" t="s">
        <v>1434</v>
      </c>
      <c r="AM459" s="5" t="s">
        <v>1432</v>
      </c>
      <c r="AO459" s="5" t="s">
        <v>1434</v>
      </c>
    </row>
    <row r="460" spans="1:41" ht="15" customHeight="1" x14ac:dyDescent="0.2">
      <c r="A460" s="141" t="s">
        <v>313</v>
      </c>
      <c r="B460" s="187" t="s">
        <v>1759</v>
      </c>
      <c r="C460" s="141">
        <v>2015</v>
      </c>
      <c r="D460" s="188">
        <v>61</v>
      </c>
      <c r="E460" s="135">
        <v>2605</v>
      </c>
      <c r="F460" s="192" t="s">
        <v>618</v>
      </c>
      <c r="G460" s="188">
        <v>0</v>
      </c>
      <c r="H460" s="188">
        <v>0</v>
      </c>
      <c r="I460" s="188">
        <v>0</v>
      </c>
      <c r="J460" s="188">
        <v>0</v>
      </c>
      <c r="K460" s="188">
        <v>0</v>
      </c>
      <c r="L460" s="188">
        <v>0</v>
      </c>
      <c r="M460" s="188">
        <v>0</v>
      </c>
      <c r="N460" s="188">
        <v>0</v>
      </c>
      <c r="O460" s="188">
        <v>0</v>
      </c>
      <c r="P460" s="188">
        <v>0</v>
      </c>
      <c r="Q460" s="188">
        <v>0</v>
      </c>
      <c r="R460" s="188">
        <v>0</v>
      </c>
      <c r="S460" s="188">
        <v>0</v>
      </c>
      <c r="T460" s="188">
        <v>0</v>
      </c>
      <c r="U460" s="188">
        <v>1</v>
      </c>
      <c r="V460" s="188">
        <v>0</v>
      </c>
      <c r="W460" s="188">
        <v>0</v>
      </c>
      <c r="X460" s="188">
        <v>0</v>
      </c>
      <c r="Y460" s="188">
        <v>0</v>
      </c>
      <c r="Z460" s="188">
        <v>0</v>
      </c>
      <c r="AA460" s="188">
        <v>0</v>
      </c>
      <c r="AB460" s="188">
        <v>0</v>
      </c>
      <c r="AC460" s="188">
        <v>0</v>
      </c>
      <c r="AD460" s="188">
        <v>0</v>
      </c>
      <c r="AE460" s="188">
        <v>0</v>
      </c>
      <c r="AF460" s="190">
        <v>0.1</v>
      </c>
      <c r="AG460" s="183">
        <v>1</v>
      </c>
    </row>
    <row r="461" spans="1:41" ht="15" customHeight="1" x14ac:dyDescent="0.2">
      <c r="A461" s="141" t="s">
        <v>313</v>
      </c>
      <c r="B461" s="187" t="s">
        <v>1759</v>
      </c>
      <c r="C461" s="141">
        <v>2015</v>
      </c>
      <c r="D461" s="188">
        <v>61</v>
      </c>
      <c r="E461" s="135">
        <v>278</v>
      </c>
      <c r="F461" s="192" t="s">
        <v>132</v>
      </c>
      <c r="G461" s="188">
        <v>1</v>
      </c>
      <c r="H461" s="188">
        <v>1</v>
      </c>
      <c r="I461" s="188">
        <v>1</v>
      </c>
      <c r="J461" s="188">
        <v>1</v>
      </c>
      <c r="K461" s="188">
        <v>1</v>
      </c>
      <c r="L461" s="188">
        <v>1</v>
      </c>
      <c r="M461" s="188">
        <v>1</v>
      </c>
      <c r="N461" s="188">
        <v>1</v>
      </c>
      <c r="O461" s="188">
        <v>1</v>
      </c>
      <c r="P461" s="188">
        <v>1</v>
      </c>
      <c r="Q461" s="188">
        <v>1</v>
      </c>
      <c r="R461" s="188">
        <v>1</v>
      </c>
      <c r="S461" s="188">
        <v>1</v>
      </c>
      <c r="T461" s="188">
        <v>1</v>
      </c>
      <c r="U461" s="188">
        <v>1</v>
      </c>
      <c r="V461" s="188">
        <v>1</v>
      </c>
      <c r="W461" s="188">
        <v>1</v>
      </c>
      <c r="X461" s="188">
        <v>1</v>
      </c>
      <c r="Y461" s="188">
        <v>1</v>
      </c>
      <c r="Z461" s="188">
        <v>1</v>
      </c>
      <c r="AA461" s="188">
        <v>1</v>
      </c>
      <c r="AB461" s="188">
        <v>1</v>
      </c>
      <c r="AC461" s="188">
        <v>1</v>
      </c>
      <c r="AD461" s="188">
        <v>1</v>
      </c>
      <c r="AE461" s="188">
        <v>1</v>
      </c>
      <c r="AF461" s="191">
        <v>10</v>
      </c>
      <c r="AG461" s="183">
        <v>25</v>
      </c>
    </row>
    <row r="462" spans="1:41" ht="15" customHeight="1" x14ac:dyDescent="0.2">
      <c r="A462" s="141" t="s">
        <v>313</v>
      </c>
      <c r="B462" s="187" t="s">
        <v>1759</v>
      </c>
      <c r="C462" s="141">
        <v>2015</v>
      </c>
      <c r="D462" s="141">
        <v>61</v>
      </c>
      <c r="E462" s="135">
        <v>1576</v>
      </c>
      <c r="F462" s="192" t="s">
        <v>882</v>
      </c>
      <c r="G462" s="141">
        <v>0</v>
      </c>
      <c r="H462" s="141">
        <v>1</v>
      </c>
      <c r="I462" s="141">
        <v>0</v>
      </c>
      <c r="J462" s="141">
        <v>0</v>
      </c>
      <c r="K462" s="141">
        <v>0</v>
      </c>
      <c r="L462" s="141">
        <v>1</v>
      </c>
      <c r="M462" s="141">
        <v>0</v>
      </c>
      <c r="N462" s="141">
        <v>1</v>
      </c>
      <c r="O462" s="141">
        <v>1</v>
      </c>
      <c r="P462" s="141">
        <v>1</v>
      </c>
      <c r="Q462" s="141">
        <v>1</v>
      </c>
      <c r="R462" s="141">
        <v>0</v>
      </c>
      <c r="S462" s="141">
        <v>1</v>
      </c>
      <c r="T462" s="141">
        <v>0</v>
      </c>
      <c r="U462" s="141">
        <v>0</v>
      </c>
      <c r="V462" s="141">
        <v>0</v>
      </c>
      <c r="W462" s="141">
        <v>0</v>
      </c>
      <c r="X462" s="141">
        <v>1</v>
      </c>
      <c r="Y462" s="141">
        <v>1</v>
      </c>
      <c r="Z462" s="141">
        <v>1</v>
      </c>
      <c r="AA462" s="141">
        <v>0</v>
      </c>
      <c r="AB462" s="141">
        <v>0</v>
      </c>
      <c r="AC462" s="141">
        <v>0</v>
      </c>
      <c r="AD462" s="141">
        <v>0</v>
      </c>
      <c r="AE462" s="141">
        <v>1</v>
      </c>
      <c r="AF462" s="148">
        <v>2</v>
      </c>
      <c r="AG462" s="183">
        <v>11</v>
      </c>
      <c r="AH462" s="4"/>
    </row>
    <row r="463" spans="1:41" ht="15" customHeight="1" x14ac:dyDescent="0.2">
      <c r="A463" s="141" t="s">
        <v>313</v>
      </c>
      <c r="B463" s="187" t="s">
        <v>1759</v>
      </c>
      <c r="C463" s="141">
        <v>2015</v>
      </c>
      <c r="D463" s="188">
        <v>61</v>
      </c>
      <c r="E463" s="135">
        <v>494</v>
      </c>
      <c r="F463" s="192" t="s">
        <v>22</v>
      </c>
      <c r="G463" s="188">
        <v>1</v>
      </c>
      <c r="H463" s="188">
        <v>1</v>
      </c>
      <c r="I463" s="188">
        <v>1</v>
      </c>
      <c r="J463" s="188">
        <v>1</v>
      </c>
      <c r="K463" s="188">
        <v>1</v>
      </c>
      <c r="L463" s="188">
        <v>1</v>
      </c>
      <c r="M463" s="188">
        <v>1</v>
      </c>
      <c r="N463" s="188">
        <v>1</v>
      </c>
      <c r="O463" s="188">
        <v>1</v>
      </c>
      <c r="P463" s="188">
        <v>1</v>
      </c>
      <c r="Q463" s="188">
        <v>1</v>
      </c>
      <c r="R463" s="188">
        <v>1</v>
      </c>
      <c r="S463" s="188">
        <v>1</v>
      </c>
      <c r="T463" s="188">
        <v>1</v>
      </c>
      <c r="U463" s="188">
        <v>1</v>
      </c>
      <c r="V463" s="188">
        <v>0</v>
      </c>
      <c r="W463" s="188">
        <v>1</v>
      </c>
      <c r="X463" s="188">
        <v>1</v>
      </c>
      <c r="Y463" s="188">
        <v>1</v>
      </c>
      <c r="Z463" s="188">
        <v>1</v>
      </c>
      <c r="AA463" s="188">
        <v>0</v>
      </c>
      <c r="AB463" s="188">
        <v>1</v>
      </c>
      <c r="AC463" s="188">
        <v>1</v>
      </c>
      <c r="AD463" s="188">
        <v>1</v>
      </c>
      <c r="AE463" s="188">
        <v>1</v>
      </c>
      <c r="AF463" s="191">
        <v>6</v>
      </c>
      <c r="AG463" s="183">
        <v>23</v>
      </c>
    </row>
    <row r="464" spans="1:41" ht="15" customHeight="1" x14ac:dyDescent="0.2">
      <c r="A464" s="141" t="s">
        <v>313</v>
      </c>
      <c r="B464" s="187" t="s">
        <v>1759</v>
      </c>
      <c r="C464" s="141">
        <v>2015</v>
      </c>
      <c r="D464" s="188">
        <v>61</v>
      </c>
      <c r="E464" s="135">
        <v>542</v>
      </c>
      <c r="F464" s="192" t="s">
        <v>1312</v>
      </c>
      <c r="G464" s="188">
        <v>1</v>
      </c>
      <c r="H464" s="188">
        <v>1</v>
      </c>
      <c r="I464" s="188">
        <v>1</v>
      </c>
      <c r="J464" s="188">
        <v>1</v>
      </c>
      <c r="K464" s="188">
        <v>1</v>
      </c>
      <c r="L464" s="188">
        <v>1</v>
      </c>
      <c r="M464" s="188">
        <v>1</v>
      </c>
      <c r="N464" s="188">
        <v>1</v>
      </c>
      <c r="O464" s="188">
        <v>1</v>
      </c>
      <c r="P464" s="188">
        <v>1</v>
      </c>
      <c r="Q464" s="188">
        <v>1</v>
      </c>
      <c r="R464" s="188">
        <v>1</v>
      </c>
      <c r="S464" s="188">
        <v>1</v>
      </c>
      <c r="T464" s="188">
        <v>1</v>
      </c>
      <c r="U464" s="188">
        <v>1</v>
      </c>
      <c r="V464" s="188">
        <v>1</v>
      </c>
      <c r="W464" s="188">
        <v>1</v>
      </c>
      <c r="X464" s="188">
        <v>1</v>
      </c>
      <c r="Y464" s="188">
        <v>1</v>
      </c>
      <c r="Z464" s="188">
        <v>1</v>
      </c>
      <c r="AA464" s="188">
        <v>1</v>
      </c>
      <c r="AB464" s="188">
        <v>1</v>
      </c>
      <c r="AC464" s="188">
        <v>1</v>
      </c>
      <c r="AD464" s="188">
        <v>1</v>
      </c>
      <c r="AE464" s="188">
        <v>1</v>
      </c>
      <c r="AF464" s="191">
        <v>10</v>
      </c>
      <c r="AG464" s="183">
        <v>25</v>
      </c>
    </row>
    <row r="465" spans="1:41" ht="15" customHeight="1" x14ac:dyDescent="0.2">
      <c r="A465" s="141" t="s">
        <v>313</v>
      </c>
      <c r="B465" s="187" t="s">
        <v>1759</v>
      </c>
      <c r="C465" s="141">
        <v>2015</v>
      </c>
      <c r="D465" s="188">
        <v>61</v>
      </c>
      <c r="E465" s="135">
        <v>546</v>
      </c>
      <c r="F465" s="189" t="s">
        <v>1310</v>
      </c>
      <c r="G465" s="188">
        <v>1</v>
      </c>
      <c r="H465" s="188">
        <v>0</v>
      </c>
      <c r="I465" s="188">
        <v>0</v>
      </c>
      <c r="J465" s="188">
        <v>1</v>
      </c>
      <c r="K465" s="188">
        <v>1</v>
      </c>
      <c r="L465" s="188">
        <v>1</v>
      </c>
      <c r="M465" s="188">
        <v>0</v>
      </c>
      <c r="N465" s="188">
        <v>0</v>
      </c>
      <c r="O465" s="188">
        <v>0</v>
      </c>
      <c r="P465" s="188">
        <v>0</v>
      </c>
      <c r="Q465" s="188">
        <v>1</v>
      </c>
      <c r="R465" s="188">
        <v>0</v>
      </c>
      <c r="S465" s="188">
        <v>0</v>
      </c>
      <c r="T465" s="188">
        <v>0</v>
      </c>
      <c r="U465" s="188">
        <v>1</v>
      </c>
      <c r="V465" s="188">
        <v>1</v>
      </c>
      <c r="W465" s="188">
        <v>1</v>
      </c>
      <c r="X465" s="188">
        <v>0</v>
      </c>
      <c r="Y465" s="188">
        <v>0</v>
      </c>
      <c r="Z465" s="188">
        <v>1</v>
      </c>
      <c r="AA465" s="188">
        <v>0</v>
      </c>
      <c r="AB465" s="188">
        <v>1</v>
      </c>
      <c r="AC465" s="188">
        <v>1</v>
      </c>
      <c r="AD465" s="188">
        <v>0</v>
      </c>
      <c r="AE465" s="188">
        <v>0</v>
      </c>
      <c r="AF465" s="190">
        <v>3</v>
      </c>
      <c r="AG465" s="183">
        <v>11</v>
      </c>
    </row>
    <row r="466" spans="1:41" ht="15" customHeight="1" x14ac:dyDescent="0.2">
      <c r="A466" s="141" t="s">
        <v>313</v>
      </c>
      <c r="B466" s="187" t="s">
        <v>1759</v>
      </c>
      <c r="C466" s="141">
        <v>2015</v>
      </c>
      <c r="D466" s="188">
        <v>61</v>
      </c>
      <c r="E466" s="135">
        <v>876</v>
      </c>
      <c r="F466" s="189" t="s">
        <v>1163</v>
      </c>
      <c r="G466" s="188">
        <v>1</v>
      </c>
      <c r="H466" s="188">
        <v>1</v>
      </c>
      <c r="I466" s="188">
        <v>1</v>
      </c>
      <c r="J466" s="188">
        <v>1</v>
      </c>
      <c r="K466" s="188">
        <v>1</v>
      </c>
      <c r="L466" s="188">
        <v>1</v>
      </c>
      <c r="M466" s="188">
        <v>1</v>
      </c>
      <c r="N466" s="188">
        <v>1</v>
      </c>
      <c r="O466" s="188">
        <v>1</v>
      </c>
      <c r="P466" s="188">
        <v>1</v>
      </c>
      <c r="Q466" s="188">
        <v>1</v>
      </c>
      <c r="R466" s="188">
        <v>1</v>
      </c>
      <c r="S466" s="188">
        <v>1</v>
      </c>
      <c r="T466" s="188">
        <v>1</v>
      </c>
      <c r="U466" s="188">
        <v>1</v>
      </c>
      <c r="V466" s="188">
        <v>1</v>
      </c>
      <c r="W466" s="188">
        <v>1</v>
      </c>
      <c r="X466" s="188">
        <v>1</v>
      </c>
      <c r="Y466" s="188">
        <v>1</v>
      </c>
      <c r="Z466" s="188">
        <v>1</v>
      </c>
      <c r="AA466" s="188">
        <v>1</v>
      </c>
      <c r="AB466" s="188">
        <v>1</v>
      </c>
      <c r="AC466" s="188">
        <v>1</v>
      </c>
      <c r="AD466" s="188">
        <v>1</v>
      </c>
      <c r="AE466" s="188">
        <v>1</v>
      </c>
      <c r="AF466" s="191">
        <v>50</v>
      </c>
      <c r="AG466" s="183">
        <v>25</v>
      </c>
    </row>
    <row r="467" spans="1:41" ht="15" customHeight="1" x14ac:dyDescent="0.2">
      <c r="A467" s="141" t="s">
        <v>313</v>
      </c>
      <c r="B467" s="187" t="s">
        <v>1759</v>
      </c>
      <c r="C467" s="141">
        <v>2015</v>
      </c>
      <c r="D467" s="188">
        <v>61</v>
      </c>
      <c r="E467" s="135">
        <v>2620</v>
      </c>
      <c r="F467" s="192" t="s">
        <v>605</v>
      </c>
      <c r="G467" s="188">
        <v>0</v>
      </c>
      <c r="H467" s="188">
        <v>0</v>
      </c>
      <c r="I467" s="188">
        <v>0</v>
      </c>
      <c r="J467" s="188">
        <v>0</v>
      </c>
      <c r="K467" s="188">
        <v>0</v>
      </c>
      <c r="L467" s="188">
        <v>0</v>
      </c>
      <c r="M467" s="188">
        <v>0</v>
      </c>
      <c r="N467" s="188">
        <v>0</v>
      </c>
      <c r="O467" s="188">
        <v>0</v>
      </c>
      <c r="P467" s="188">
        <v>0</v>
      </c>
      <c r="Q467" s="188">
        <v>0</v>
      </c>
      <c r="R467" s="188">
        <v>0</v>
      </c>
      <c r="S467" s="188">
        <v>0</v>
      </c>
      <c r="T467" s="188">
        <v>0</v>
      </c>
      <c r="U467" s="188">
        <v>0</v>
      </c>
      <c r="V467" s="188">
        <v>1</v>
      </c>
      <c r="W467" s="188">
        <v>0</v>
      </c>
      <c r="X467" s="188">
        <v>1</v>
      </c>
      <c r="Y467" s="188">
        <v>0</v>
      </c>
      <c r="Z467" s="188">
        <v>0</v>
      </c>
      <c r="AA467" s="188">
        <v>0</v>
      </c>
      <c r="AB467" s="188">
        <v>0</v>
      </c>
      <c r="AC467" s="188">
        <v>0</v>
      </c>
      <c r="AD467" s="188">
        <v>0</v>
      </c>
      <c r="AE467" s="188">
        <v>0</v>
      </c>
      <c r="AF467" s="190">
        <v>0.1</v>
      </c>
      <c r="AG467" s="183">
        <v>2</v>
      </c>
    </row>
    <row r="468" spans="1:41" ht="15" customHeight="1" x14ac:dyDescent="0.2">
      <c r="A468" s="141" t="s">
        <v>313</v>
      </c>
      <c r="B468" s="187" t="s">
        <v>1759</v>
      </c>
      <c r="C468" s="141">
        <v>2015</v>
      </c>
      <c r="D468" s="188">
        <v>61</v>
      </c>
      <c r="E468" s="135">
        <v>1894</v>
      </c>
      <c r="F468" s="192" t="s">
        <v>795</v>
      </c>
      <c r="G468" s="188">
        <v>0</v>
      </c>
      <c r="H468" s="188">
        <v>0</v>
      </c>
      <c r="I468" s="188">
        <v>0</v>
      </c>
      <c r="J468" s="188">
        <v>0</v>
      </c>
      <c r="K468" s="188">
        <v>0</v>
      </c>
      <c r="L468" s="188">
        <v>0</v>
      </c>
      <c r="M468" s="188">
        <v>0</v>
      </c>
      <c r="N468" s="188">
        <v>0</v>
      </c>
      <c r="O468" s="188">
        <v>0</v>
      </c>
      <c r="P468" s="188">
        <v>0</v>
      </c>
      <c r="Q468" s="188">
        <v>0</v>
      </c>
      <c r="R468" s="188">
        <v>0</v>
      </c>
      <c r="S468" s="188">
        <v>0</v>
      </c>
      <c r="T468" s="188">
        <v>1</v>
      </c>
      <c r="U468" s="188">
        <v>1</v>
      </c>
      <c r="V468" s="188">
        <v>1</v>
      </c>
      <c r="W468" s="188">
        <v>0</v>
      </c>
      <c r="X468" s="188">
        <v>0</v>
      </c>
      <c r="Y468" s="188">
        <v>1</v>
      </c>
      <c r="Z468" s="188">
        <v>0</v>
      </c>
      <c r="AA468" s="188">
        <v>0</v>
      </c>
      <c r="AB468" s="188">
        <v>0</v>
      </c>
      <c r="AC468" s="188">
        <v>0</v>
      </c>
      <c r="AD468" s="188">
        <v>0</v>
      </c>
      <c r="AE468" s="188">
        <v>0</v>
      </c>
      <c r="AF468" s="191">
        <v>0.1</v>
      </c>
      <c r="AG468" s="183">
        <v>4</v>
      </c>
    </row>
    <row r="469" spans="1:41" ht="15" customHeight="1" x14ac:dyDescent="0.2">
      <c r="A469" s="141" t="s">
        <v>313</v>
      </c>
      <c r="B469" s="187" t="s">
        <v>1759</v>
      </c>
      <c r="C469" s="141">
        <v>2015</v>
      </c>
      <c r="D469" s="188">
        <v>61</v>
      </c>
      <c r="E469" s="135">
        <v>2729</v>
      </c>
      <c r="F469" s="192" t="s">
        <v>547</v>
      </c>
      <c r="G469" s="188">
        <v>0</v>
      </c>
      <c r="H469" s="188">
        <v>0</v>
      </c>
      <c r="I469" s="188">
        <v>0</v>
      </c>
      <c r="J469" s="188">
        <v>0</v>
      </c>
      <c r="K469" s="188">
        <v>0</v>
      </c>
      <c r="L469" s="188">
        <v>0</v>
      </c>
      <c r="M469" s="188">
        <v>0</v>
      </c>
      <c r="N469" s="188">
        <v>0</v>
      </c>
      <c r="O469" s="188">
        <v>0</v>
      </c>
      <c r="P469" s="188">
        <v>0</v>
      </c>
      <c r="Q469" s="188">
        <v>0</v>
      </c>
      <c r="R469" s="188">
        <v>0</v>
      </c>
      <c r="S469" s="188">
        <v>0</v>
      </c>
      <c r="T469" s="188">
        <v>0</v>
      </c>
      <c r="U469" s="188">
        <v>1</v>
      </c>
      <c r="V469" s="188">
        <v>0</v>
      </c>
      <c r="W469" s="188">
        <v>0</v>
      </c>
      <c r="X469" s="188">
        <v>0</v>
      </c>
      <c r="Y469" s="188">
        <v>0</v>
      </c>
      <c r="Z469" s="188">
        <v>0</v>
      </c>
      <c r="AA469" s="188">
        <v>0</v>
      </c>
      <c r="AB469" s="188">
        <v>0</v>
      </c>
      <c r="AC469" s="188">
        <v>0</v>
      </c>
      <c r="AD469" s="188">
        <v>0</v>
      </c>
      <c r="AE469" s="188">
        <v>0</v>
      </c>
      <c r="AF469" s="191">
        <v>0.1</v>
      </c>
      <c r="AG469" s="183">
        <v>1</v>
      </c>
      <c r="AH469" s="4"/>
    </row>
    <row r="470" spans="1:41" ht="15" customHeight="1" x14ac:dyDescent="0.2">
      <c r="A470" s="141" t="s">
        <v>313</v>
      </c>
      <c r="B470" s="187" t="s">
        <v>1759</v>
      </c>
      <c r="C470" s="141">
        <v>2015</v>
      </c>
      <c r="D470" s="188">
        <v>61</v>
      </c>
      <c r="E470" s="135">
        <v>2634</v>
      </c>
      <c r="F470" s="192" t="s">
        <v>594</v>
      </c>
      <c r="G470" s="188">
        <v>0</v>
      </c>
      <c r="H470" s="188">
        <v>0</v>
      </c>
      <c r="I470" s="188">
        <v>0</v>
      </c>
      <c r="J470" s="188">
        <v>0</v>
      </c>
      <c r="K470" s="188">
        <v>0</v>
      </c>
      <c r="L470" s="188">
        <v>0</v>
      </c>
      <c r="M470" s="188">
        <v>0</v>
      </c>
      <c r="N470" s="188">
        <v>0</v>
      </c>
      <c r="O470" s="188">
        <v>0</v>
      </c>
      <c r="P470" s="188">
        <v>0</v>
      </c>
      <c r="Q470" s="188">
        <v>0</v>
      </c>
      <c r="R470" s="188">
        <v>0</v>
      </c>
      <c r="S470" s="188">
        <v>0</v>
      </c>
      <c r="T470" s="188">
        <v>0</v>
      </c>
      <c r="U470" s="188">
        <v>0</v>
      </c>
      <c r="V470" s="188">
        <v>1</v>
      </c>
      <c r="W470" s="188">
        <v>0</v>
      </c>
      <c r="X470" s="188">
        <v>0</v>
      </c>
      <c r="Y470" s="188">
        <v>0</v>
      </c>
      <c r="Z470" s="188">
        <v>0</v>
      </c>
      <c r="AA470" s="188">
        <v>0</v>
      </c>
      <c r="AB470" s="188">
        <v>0</v>
      </c>
      <c r="AC470" s="188">
        <v>0</v>
      </c>
      <c r="AD470" s="188">
        <v>0</v>
      </c>
      <c r="AE470" s="188">
        <v>0</v>
      </c>
      <c r="AF470" s="191">
        <v>0.1</v>
      </c>
      <c r="AG470" s="183">
        <v>1</v>
      </c>
    </row>
    <row r="471" spans="1:41" ht="15" customHeight="1" x14ac:dyDescent="0.2">
      <c r="A471" s="141" t="s">
        <v>313</v>
      </c>
      <c r="B471" s="187" t="s">
        <v>1759</v>
      </c>
      <c r="C471" s="141">
        <v>2015</v>
      </c>
      <c r="D471" s="188">
        <v>61</v>
      </c>
      <c r="E471" s="135">
        <v>1971</v>
      </c>
      <c r="F471" s="189" t="s">
        <v>769</v>
      </c>
      <c r="G471" s="188">
        <v>0</v>
      </c>
      <c r="H471" s="188">
        <v>0</v>
      </c>
      <c r="I471" s="188">
        <v>1</v>
      </c>
      <c r="J471" s="188">
        <v>1</v>
      </c>
      <c r="K471" s="188">
        <v>1</v>
      </c>
      <c r="L471" s="188">
        <v>1</v>
      </c>
      <c r="M471" s="188">
        <v>0</v>
      </c>
      <c r="N471" s="188">
        <v>1</v>
      </c>
      <c r="O471" s="188">
        <v>1</v>
      </c>
      <c r="P471" s="188">
        <v>0</v>
      </c>
      <c r="Q471" s="188">
        <v>0</v>
      </c>
      <c r="R471" s="188">
        <v>1</v>
      </c>
      <c r="S471" s="188">
        <v>1</v>
      </c>
      <c r="T471" s="188">
        <v>0</v>
      </c>
      <c r="U471" s="188">
        <v>0</v>
      </c>
      <c r="V471" s="188">
        <v>0</v>
      </c>
      <c r="W471" s="188">
        <v>0</v>
      </c>
      <c r="X471" s="188">
        <v>1</v>
      </c>
      <c r="Y471" s="188">
        <v>0</v>
      </c>
      <c r="Z471" s="188">
        <v>1</v>
      </c>
      <c r="AA471" s="188">
        <v>0</v>
      </c>
      <c r="AB471" s="188">
        <v>0</v>
      </c>
      <c r="AC471" s="188">
        <v>0</v>
      </c>
      <c r="AD471" s="188">
        <v>0</v>
      </c>
      <c r="AE471" s="188">
        <v>0</v>
      </c>
      <c r="AF471" s="191">
        <v>3</v>
      </c>
      <c r="AG471" s="183">
        <v>10</v>
      </c>
      <c r="AH471" s="5" t="s">
        <v>1804</v>
      </c>
      <c r="AL471" s="5" t="s">
        <v>1671</v>
      </c>
      <c r="AO471" s="5" t="s">
        <v>1671</v>
      </c>
    </row>
    <row r="472" spans="1:41" ht="15" customHeight="1" x14ac:dyDescent="0.2">
      <c r="A472" s="141" t="s">
        <v>313</v>
      </c>
      <c r="B472" s="187" t="s">
        <v>1759</v>
      </c>
      <c r="C472" s="141">
        <v>2015</v>
      </c>
      <c r="D472" s="188">
        <v>61</v>
      </c>
      <c r="E472" s="135">
        <v>1972</v>
      </c>
      <c r="F472" s="192" t="s">
        <v>768</v>
      </c>
      <c r="G472" s="188">
        <v>1</v>
      </c>
      <c r="H472" s="188">
        <v>1</v>
      </c>
      <c r="I472" s="188">
        <v>1</v>
      </c>
      <c r="J472" s="188">
        <v>1</v>
      </c>
      <c r="K472" s="188">
        <v>0</v>
      </c>
      <c r="L472" s="188">
        <v>0</v>
      </c>
      <c r="M472" s="188">
        <v>1</v>
      </c>
      <c r="N472" s="188">
        <v>0</v>
      </c>
      <c r="O472" s="188">
        <v>1</v>
      </c>
      <c r="P472" s="188">
        <v>1</v>
      </c>
      <c r="Q472" s="188">
        <v>1</v>
      </c>
      <c r="R472" s="188">
        <v>1</v>
      </c>
      <c r="S472" s="188">
        <v>1</v>
      </c>
      <c r="T472" s="188">
        <v>1</v>
      </c>
      <c r="U472" s="188">
        <v>1</v>
      </c>
      <c r="V472" s="188">
        <v>1</v>
      </c>
      <c r="W472" s="188">
        <v>1</v>
      </c>
      <c r="X472" s="188">
        <v>1</v>
      </c>
      <c r="Y472" s="188">
        <v>1</v>
      </c>
      <c r="Z472" s="188">
        <v>1</v>
      </c>
      <c r="AA472" s="188">
        <v>1</v>
      </c>
      <c r="AB472" s="188">
        <v>1</v>
      </c>
      <c r="AC472" s="188">
        <v>1</v>
      </c>
      <c r="AD472" s="188">
        <v>1</v>
      </c>
      <c r="AE472" s="188">
        <v>1</v>
      </c>
      <c r="AF472" s="191">
        <v>20</v>
      </c>
      <c r="AG472" s="183">
        <v>22</v>
      </c>
      <c r="AH472" s="5" t="s">
        <v>1973</v>
      </c>
      <c r="AI472" s="5" t="s">
        <v>1659</v>
      </c>
      <c r="AL472" s="5" t="s">
        <v>1671</v>
      </c>
      <c r="AN472" s="5" t="s">
        <v>1676</v>
      </c>
      <c r="AO472" s="5" t="s">
        <v>1676</v>
      </c>
    </row>
    <row r="473" spans="1:41" ht="15" customHeight="1" x14ac:dyDescent="0.2">
      <c r="A473" s="141" t="s">
        <v>313</v>
      </c>
      <c r="B473" s="187" t="s">
        <v>1759</v>
      </c>
      <c r="C473" s="141">
        <v>2015</v>
      </c>
      <c r="D473" s="188">
        <v>61</v>
      </c>
      <c r="E473" s="135">
        <v>1984</v>
      </c>
      <c r="F473" s="192" t="s">
        <v>762</v>
      </c>
      <c r="G473" s="188">
        <v>0</v>
      </c>
      <c r="H473" s="188">
        <v>1</v>
      </c>
      <c r="I473" s="188">
        <v>1</v>
      </c>
      <c r="J473" s="188">
        <v>1</v>
      </c>
      <c r="K473" s="188">
        <v>1</v>
      </c>
      <c r="L473" s="188">
        <v>0</v>
      </c>
      <c r="M473" s="188">
        <v>1</v>
      </c>
      <c r="N473" s="188">
        <v>0</v>
      </c>
      <c r="O473" s="188">
        <v>0</v>
      </c>
      <c r="P473" s="188">
        <v>0</v>
      </c>
      <c r="Q473" s="188">
        <v>1</v>
      </c>
      <c r="R473" s="188">
        <v>0</v>
      </c>
      <c r="S473" s="188">
        <v>0</v>
      </c>
      <c r="T473" s="188">
        <v>0</v>
      </c>
      <c r="U473" s="188">
        <v>0</v>
      </c>
      <c r="V473" s="188">
        <v>0</v>
      </c>
      <c r="W473" s="188">
        <v>1</v>
      </c>
      <c r="X473" s="188">
        <v>1</v>
      </c>
      <c r="Y473" s="188">
        <v>0</v>
      </c>
      <c r="Z473" s="188">
        <v>0</v>
      </c>
      <c r="AA473" s="188">
        <v>0</v>
      </c>
      <c r="AB473" s="188">
        <v>1</v>
      </c>
      <c r="AC473" s="188">
        <v>1</v>
      </c>
      <c r="AD473" s="188">
        <v>0</v>
      </c>
      <c r="AE473" s="188">
        <v>0</v>
      </c>
      <c r="AF473" s="190">
        <v>2</v>
      </c>
      <c r="AG473" s="183">
        <v>10</v>
      </c>
    </row>
    <row r="474" spans="1:41" ht="15" customHeight="1" x14ac:dyDescent="0.2">
      <c r="A474" s="141" t="s">
        <v>313</v>
      </c>
      <c r="B474" s="187" t="s">
        <v>1759</v>
      </c>
      <c r="C474" s="141">
        <v>2015</v>
      </c>
      <c r="D474" s="188">
        <v>61</v>
      </c>
      <c r="E474" s="135" t="e">
        <v>#N/A</v>
      </c>
      <c r="F474" s="192" t="s">
        <v>1768</v>
      </c>
      <c r="G474" s="188">
        <v>0</v>
      </c>
      <c r="H474" s="188">
        <v>0</v>
      </c>
      <c r="I474" s="188">
        <v>0</v>
      </c>
      <c r="J474" s="188">
        <v>0</v>
      </c>
      <c r="K474" s="188">
        <v>0</v>
      </c>
      <c r="L474" s="188">
        <v>0</v>
      </c>
      <c r="M474" s="188">
        <v>0</v>
      </c>
      <c r="N474" s="188">
        <v>0</v>
      </c>
      <c r="O474" s="188">
        <v>0</v>
      </c>
      <c r="P474" s="188">
        <v>0</v>
      </c>
      <c r="Q474" s="188">
        <v>0</v>
      </c>
      <c r="R474" s="188">
        <v>0</v>
      </c>
      <c r="S474" s="188">
        <v>0</v>
      </c>
      <c r="T474" s="188">
        <v>0</v>
      </c>
      <c r="U474" s="188">
        <v>0</v>
      </c>
      <c r="V474" s="188">
        <v>0</v>
      </c>
      <c r="W474" s="188">
        <v>0</v>
      </c>
      <c r="X474" s="188">
        <v>0</v>
      </c>
      <c r="Y474" s="188">
        <v>0</v>
      </c>
      <c r="Z474" s="188">
        <v>0</v>
      </c>
      <c r="AA474" s="188">
        <v>1</v>
      </c>
      <c r="AB474" s="188">
        <v>0</v>
      </c>
      <c r="AC474" s="188">
        <v>0</v>
      </c>
      <c r="AD474" s="188">
        <v>0</v>
      </c>
      <c r="AE474" s="188">
        <v>0</v>
      </c>
      <c r="AF474" s="191">
        <v>0.5</v>
      </c>
      <c r="AG474" s="183">
        <v>1</v>
      </c>
      <c r="AH474" s="5" t="s">
        <v>1972</v>
      </c>
      <c r="AL474" s="5" t="s">
        <v>1677</v>
      </c>
      <c r="AO474" s="5" t="s">
        <v>1677</v>
      </c>
    </row>
    <row r="475" spans="1:41" ht="15" customHeight="1" x14ac:dyDescent="0.2">
      <c r="A475" s="141" t="s">
        <v>313</v>
      </c>
      <c r="B475" s="187" t="s">
        <v>1759</v>
      </c>
      <c r="C475" s="141">
        <v>2015</v>
      </c>
      <c r="D475" s="188">
        <v>62</v>
      </c>
      <c r="E475" s="135">
        <v>278</v>
      </c>
      <c r="F475" s="192" t="s">
        <v>132</v>
      </c>
      <c r="G475" s="188">
        <v>1</v>
      </c>
      <c r="H475" s="188">
        <v>0</v>
      </c>
      <c r="I475" s="188">
        <v>1</v>
      </c>
      <c r="J475" s="188">
        <v>1</v>
      </c>
      <c r="K475" s="188">
        <v>0</v>
      </c>
      <c r="L475" s="188">
        <v>0</v>
      </c>
      <c r="M475" s="188">
        <v>0</v>
      </c>
      <c r="N475" s="188">
        <v>1</v>
      </c>
      <c r="O475" s="188">
        <v>1</v>
      </c>
      <c r="P475" s="188">
        <v>0</v>
      </c>
      <c r="Q475" s="188">
        <v>0</v>
      </c>
      <c r="R475" s="188">
        <v>1</v>
      </c>
      <c r="S475" s="188">
        <v>0</v>
      </c>
      <c r="T475" s="188">
        <v>0</v>
      </c>
      <c r="U475" s="188">
        <v>0</v>
      </c>
      <c r="V475" s="188">
        <v>0</v>
      </c>
      <c r="W475" s="188">
        <v>1</v>
      </c>
      <c r="X475" s="188">
        <v>0</v>
      </c>
      <c r="Y475" s="188">
        <v>1</v>
      </c>
      <c r="Z475" s="188">
        <v>1</v>
      </c>
      <c r="AA475" s="188">
        <v>1</v>
      </c>
      <c r="AB475" s="188">
        <v>1</v>
      </c>
      <c r="AC475" s="188">
        <v>1</v>
      </c>
      <c r="AD475" s="188">
        <v>0</v>
      </c>
      <c r="AE475" s="188">
        <v>1</v>
      </c>
      <c r="AF475" s="191">
        <v>15</v>
      </c>
      <c r="AG475" s="183">
        <v>13</v>
      </c>
    </row>
    <row r="476" spans="1:41" ht="15" customHeight="1" x14ac:dyDescent="0.2">
      <c r="A476" s="141" t="s">
        <v>313</v>
      </c>
      <c r="B476" s="187" t="s">
        <v>1759</v>
      </c>
      <c r="C476" s="141">
        <v>2015</v>
      </c>
      <c r="D476" s="141">
        <v>62</v>
      </c>
      <c r="E476" s="135">
        <v>1576</v>
      </c>
      <c r="F476" s="192" t="s">
        <v>882</v>
      </c>
      <c r="G476" s="141">
        <v>1</v>
      </c>
      <c r="H476" s="141">
        <v>1</v>
      </c>
      <c r="I476" s="141">
        <v>1</v>
      </c>
      <c r="J476" s="141">
        <v>1</v>
      </c>
      <c r="K476" s="141">
        <v>1</v>
      </c>
      <c r="L476" s="141">
        <v>1</v>
      </c>
      <c r="M476" s="141">
        <v>1</v>
      </c>
      <c r="N476" s="141">
        <v>1</v>
      </c>
      <c r="O476" s="141">
        <v>1</v>
      </c>
      <c r="P476" s="141">
        <v>1</v>
      </c>
      <c r="Q476" s="141">
        <v>1</v>
      </c>
      <c r="R476" s="141">
        <v>1</v>
      </c>
      <c r="S476" s="141">
        <v>0</v>
      </c>
      <c r="T476" s="141">
        <v>1</v>
      </c>
      <c r="U476" s="141">
        <v>1</v>
      </c>
      <c r="V476" s="141">
        <v>1</v>
      </c>
      <c r="W476" s="141">
        <v>1</v>
      </c>
      <c r="X476" s="141">
        <v>1</v>
      </c>
      <c r="Y476" s="141">
        <v>1</v>
      </c>
      <c r="Z476" s="141">
        <v>0</v>
      </c>
      <c r="AA476" s="141">
        <v>1</v>
      </c>
      <c r="AB476" s="141">
        <v>1</v>
      </c>
      <c r="AC476" s="141">
        <v>1</v>
      </c>
      <c r="AD476" s="141">
        <v>1</v>
      </c>
      <c r="AE476" s="141">
        <v>1</v>
      </c>
      <c r="AF476" s="148">
        <v>70</v>
      </c>
      <c r="AG476" s="183">
        <v>23</v>
      </c>
      <c r="AH476" s="4"/>
    </row>
    <row r="477" spans="1:41" ht="15" customHeight="1" x14ac:dyDescent="0.2">
      <c r="A477" s="141" t="s">
        <v>313</v>
      </c>
      <c r="B477" s="187" t="s">
        <v>1759</v>
      </c>
      <c r="C477" s="141">
        <v>2015</v>
      </c>
      <c r="D477" s="141">
        <v>62</v>
      </c>
      <c r="E477" s="135">
        <v>2824</v>
      </c>
      <c r="F477" s="189" t="s">
        <v>1977</v>
      </c>
      <c r="G477" s="141">
        <v>0</v>
      </c>
      <c r="H477" s="141">
        <v>0</v>
      </c>
      <c r="I477" s="141">
        <v>0</v>
      </c>
      <c r="J477" s="141">
        <v>0</v>
      </c>
      <c r="K477" s="141">
        <v>0</v>
      </c>
      <c r="L477" s="141">
        <v>0</v>
      </c>
      <c r="M477" s="141">
        <v>0</v>
      </c>
      <c r="N477" s="141">
        <v>0</v>
      </c>
      <c r="O477" s="141">
        <v>0</v>
      </c>
      <c r="P477" s="141">
        <v>0</v>
      </c>
      <c r="Q477" s="141">
        <v>0</v>
      </c>
      <c r="R477" s="141">
        <v>0</v>
      </c>
      <c r="S477" s="141">
        <v>0</v>
      </c>
      <c r="T477" s="141">
        <v>0</v>
      </c>
      <c r="U477" s="141">
        <v>0</v>
      </c>
      <c r="V477" s="141">
        <v>0</v>
      </c>
      <c r="W477" s="141">
        <v>0</v>
      </c>
      <c r="X477" s="141">
        <v>0</v>
      </c>
      <c r="Y477" s="141">
        <v>0</v>
      </c>
      <c r="Z477" s="141">
        <v>0</v>
      </c>
      <c r="AA477" s="141">
        <v>0</v>
      </c>
      <c r="AB477" s="141">
        <v>0</v>
      </c>
      <c r="AC477" s="141">
        <v>1</v>
      </c>
      <c r="AD477" s="141">
        <v>1</v>
      </c>
      <c r="AE477" s="141">
        <v>0</v>
      </c>
      <c r="AF477" s="148">
        <v>0.1</v>
      </c>
      <c r="AG477" s="183">
        <v>2</v>
      </c>
      <c r="AH477" s="4"/>
    </row>
    <row r="478" spans="1:41" ht="15" customHeight="1" x14ac:dyDescent="0.2">
      <c r="A478" s="141" t="s">
        <v>313</v>
      </c>
      <c r="B478" s="187" t="s">
        <v>1759</v>
      </c>
      <c r="C478" s="141">
        <v>2015</v>
      </c>
      <c r="D478" s="188">
        <v>62</v>
      </c>
      <c r="E478" s="135">
        <v>2359</v>
      </c>
      <c r="F478" s="192" t="s">
        <v>665</v>
      </c>
      <c r="G478" s="188">
        <v>0</v>
      </c>
      <c r="H478" s="188">
        <v>0</v>
      </c>
      <c r="I478" s="188">
        <v>0</v>
      </c>
      <c r="J478" s="188">
        <v>0</v>
      </c>
      <c r="K478" s="188">
        <v>1</v>
      </c>
      <c r="L478" s="188">
        <v>1</v>
      </c>
      <c r="M478" s="188">
        <v>0</v>
      </c>
      <c r="N478" s="188">
        <v>0</v>
      </c>
      <c r="O478" s="188">
        <v>0</v>
      </c>
      <c r="P478" s="188">
        <v>0</v>
      </c>
      <c r="Q478" s="188">
        <v>1</v>
      </c>
      <c r="R478" s="188">
        <v>1</v>
      </c>
      <c r="S478" s="188">
        <v>1</v>
      </c>
      <c r="T478" s="188">
        <v>1</v>
      </c>
      <c r="U478" s="188">
        <v>1</v>
      </c>
      <c r="V478" s="188">
        <v>1</v>
      </c>
      <c r="W478" s="188">
        <v>1</v>
      </c>
      <c r="X478" s="188">
        <v>1</v>
      </c>
      <c r="Y478" s="188">
        <v>1</v>
      </c>
      <c r="Z478" s="188">
        <v>0</v>
      </c>
      <c r="AA478" s="188">
        <v>1</v>
      </c>
      <c r="AB478" s="188">
        <v>1</v>
      </c>
      <c r="AC478" s="188">
        <v>1</v>
      </c>
      <c r="AD478" s="188">
        <v>1</v>
      </c>
      <c r="AE478" s="188">
        <v>1</v>
      </c>
      <c r="AF478" s="191">
        <v>0.1</v>
      </c>
      <c r="AG478" s="183">
        <v>16</v>
      </c>
      <c r="AI478" s="5" t="s">
        <v>1655</v>
      </c>
      <c r="AL478" s="5" t="s">
        <v>1668</v>
      </c>
      <c r="AO478" s="5" t="s">
        <v>1668</v>
      </c>
    </row>
    <row r="479" spans="1:41" ht="15" customHeight="1" x14ac:dyDescent="0.2">
      <c r="A479" s="141" t="s">
        <v>313</v>
      </c>
      <c r="B479" s="187" t="s">
        <v>1759</v>
      </c>
      <c r="C479" s="141">
        <v>2015</v>
      </c>
      <c r="D479" s="188">
        <v>62</v>
      </c>
      <c r="E479" s="135">
        <v>2362</v>
      </c>
      <c r="F479" s="192" t="s">
        <v>663</v>
      </c>
      <c r="G479" s="188">
        <v>0</v>
      </c>
      <c r="H479" s="188">
        <v>1</v>
      </c>
      <c r="I479" s="188">
        <v>0</v>
      </c>
      <c r="J479" s="188">
        <v>0</v>
      </c>
      <c r="K479" s="188">
        <v>0</v>
      </c>
      <c r="L479" s="188">
        <v>0</v>
      </c>
      <c r="M479" s="188">
        <v>0</v>
      </c>
      <c r="N479" s="188">
        <v>1</v>
      </c>
      <c r="O479" s="188">
        <v>0</v>
      </c>
      <c r="P479" s="188">
        <v>1</v>
      </c>
      <c r="Q479" s="188">
        <v>1</v>
      </c>
      <c r="R479" s="188">
        <v>1</v>
      </c>
      <c r="S479" s="188">
        <v>0</v>
      </c>
      <c r="T479" s="188">
        <v>1</v>
      </c>
      <c r="U479" s="188">
        <v>1</v>
      </c>
      <c r="V479" s="188">
        <v>1</v>
      </c>
      <c r="W479" s="188">
        <v>1</v>
      </c>
      <c r="X479" s="188">
        <v>1</v>
      </c>
      <c r="Y479" s="188">
        <v>1</v>
      </c>
      <c r="Z479" s="188">
        <v>0</v>
      </c>
      <c r="AA479" s="188">
        <v>1</v>
      </c>
      <c r="AB479" s="188">
        <v>0</v>
      </c>
      <c r="AC479" s="188">
        <v>0</v>
      </c>
      <c r="AD479" s="188">
        <v>0</v>
      </c>
      <c r="AE479" s="188">
        <v>1</v>
      </c>
      <c r="AF479" s="191">
        <v>0.1</v>
      </c>
      <c r="AG479" s="183">
        <v>13</v>
      </c>
      <c r="AI479" s="5" t="s">
        <v>1655</v>
      </c>
      <c r="AL479" s="5" t="s">
        <v>1668</v>
      </c>
      <c r="AO479" s="5" t="s">
        <v>1668</v>
      </c>
    </row>
    <row r="480" spans="1:41" ht="15" customHeight="1" x14ac:dyDescent="0.2">
      <c r="A480" s="141" t="s">
        <v>313</v>
      </c>
      <c r="B480" s="187" t="s">
        <v>1759</v>
      </c>
      <c r="C480" s="141">
        <v>2015</v>
      </c>
      <c r="D480" s="188">
        <v>62</v>
      </c>
      <c r="E480" s="135">
        <v>2366</v>
      </c>
      <c r="F480" s="192" t="s">
        <v>660</v>
      </c>
      <c r="G480" s="188">
        <v>1</v>
      </c>
      <c r="H480" s="188">
        <v>0</v>
      </c>
      <c r="I480" s="188">
        <v>0</v>
      </c>
      <c r="J480" s="188">
        <v>0</v>
      </c>
      <c r="K480" s="188">
        <v>0</v>
      </c>
      <c r="L480" s="188">
        <v>0</v>
      </c>
      <c r="M480" s="188">
        <v>0</v>
      </c>
      <c r="N480" s="188">
        <v>0</v>
      </c>
      <c r="O480" s="188">
        <v>0</v>
      </c>
      <c r="P480" s="188">
        <v>0</v>
      </c>
      <c r="Q480" s="188">
        <v>0</v>
      </c>
      <c r="R480" s="188">
        <v>0</v>
      </c>
      <c r="S480" s="188">
        <v>0</v>
      </c>
      <c r="T480" s="188">
        <v>0</v>
      </c>
      <c r="U480" s="188">
        <v>0</v>
      </c>
      <c r="V480" s="188">
        <v>0</v>
      </c>
      <c r="W480" s="188">
        <v>0</v>
      </c>
      <c r="X480" s="188">
        <v>0</v>
      </c>
      <c r="Y480" s="188">
        <v>0</v>
      </c>
      <c r="Z480" s="188">
        <v>0</v>
      </c>
      <c r="AA480" s="188">
        <v>0</v>
      </c>
      <c r="AB480" s="188">
        <v>0</v>
      </c>
      <c r="AC480" s="188">
        <v>0</v>
      </c>
      <c r="AD480" s="188">
        <v>0</v>
      </c>
      <c r="AE480" s="188">
        <v>0</v>
      </c>
      <c r="AF480" s="191"/>
      <c r="AG480" s="183">
        <v>1</v>
      </c>
      <c r="AH480" s="5" t="s">
        <v>1864</v>
      </c>
      <c r="AI480" s="5" t="s">
        <v>1653</v>
      </c>
      <c r="AJ480" s="5" t="s">
        <v>1660</v>
      </c>
      <c r="AL480" s="5" t="s">
        <v>1432</v>
      </c>
      <c r="AM480" s="5" t="s">
        <v>1673</v>
      </c>
      <c r="AN480" s="5" t="s">
        <v>1676</v>
      </c>
      <c r="AO480" s="5" t="s">
        <v>1676</v>
      </c>
    </row>
    <row r="481" spans="1:41" ht="15" customHeight="1" x14ac:dyDescent="0.2">
      <c r="A481" s="141" t="s">
        <v>313</v>
      </c>
      <c r="B481" s="187" t="s">
        <v>1759</v>
      </c>
      <c r="C481" s="141">
        <v>2015</v>
      </c>
      <c r="D481" s="141">
        <v>62</v>
      </c>
      <c r="E481" s="135" t="e">
        <v>#N/A</v>
      </c>
      <c r="F481" s="189" t="s">
        <v>1767</v>
      </c>
      <c r="G481" s="141">
        <v>0</v>
      </c>
      <c r="H481" s="141">
        <v>0</v>
      </c>
      <c r="I481" s="141">
        <v>0</v>
      </c>
      <c r="J481" s="141">
        <v>0</v>
      </c>
      <c r="K481" s="141">
        <v>0</v>
      </c>
      <c r="L481" s="141">
        <v>0</v>
      </c>
      <c r="M481" s="141">
        <v>0</v>
      </c>
      <c r="N481" s="141">
        <v>0</v>
      </c>
      <c r="O481" s="141">
        <v>0</v>
      </c>
      <c r="P481" s="141">
        <v>0</v>
      </c>
      <c r="Q481" s="141">
        <v>0</v>
      </c>
      <c r="R481" s="141">
        <v>1</v>
      </c>
      <c r="S481" s="141">
        <v>0</v>
      </c>
      <c r="T481" s="141">
        <v>0</v>
      </c>
      <c r="U481" s="141">
        <v>0</v>
      </c>
      <c r="V481" s="141">
        <v>0</v>
      </c>
      <c r="W481" s="141">
        <v>0</v>
      </c>
      <c r="X481" s="141">
        <v>0</v>
      </c>
      <c r="Y481" s="141">
        <v>1</v>
      </c>
      <c r="Z481" s="141">
        <v>0</v>
      </c>
      <c r="AA481" s="141">
        <v>0</v>
      </c>
      <c r="AB481" s="141">
        <v>0</v>
      </c>
      <c r="AC481" s="141">
        <v>1</v>
      </c>
      <c r="AD481" s="141">
        <v>0</v>
      </c>
      <c r="AE481" s="141">
        <v>0</v>
      </c>
      <c r="AF481" s="148">
        <v>0.1</v>
      </c>
      <c r="AG481" s="183">
        <v>3</v>
      </c>
      <c r="AH481" s="4" t="s">
        <v>1819</v>
      </c>
      <c r="AI481" s="5" t="s">
        <v>1655</v>
      </c>
      <c r="AJ481" s="5" t="s">
        <v>1660</v>
      </c>
      <c r="AL481" s="5" t="s">
        <v>1668</v>
      </c>
      <c r="AM481" s="5" t="s">
        <v>1671</v>
      </c>
      <c r="AN481" s="5" t="s">
        <v>1676</v>
      </c>
      <c r="AO481" s="5" t="s">
        <v>1676</v>
      </c>
    </row>
    <row r="482" spans="1:41" ht="15" customHeight="1" x14ac:dyDescent="0.2">
      <c r="A482" s="141" t="s">
        <v>313</v>
      </c>
      <c r="B482" s="187" t="s">
        <v>1759</v>
      </c>
      <c r="C482" s="141">
        <v>2015</v>
      </c>
      <c r="D482" s="188">
        <v>62</v>
      </c>
      <c r="E482" s="135">
        <v>541</v>
      </c>
      <c r="F482" s="192" t="s">
        <v>1313</v>
      </c>
      <c r="G482" s="188">
        <v>1</v>
      </c>
      <c r="H482" s="188">
        <v>1</v>
      </c>
      <c r="I482" s="188">
        <v>0</v>
      </c>
      <c r="J482" s="188">
        <v>1</v>
      </c>
      <c r="K482" s="188">
        <v>1</v>
      </c>
      <c r="L482" s="188">
        <v>1</v>
      </c>
      <c r="M482" s="188">
        <v>1</v>
      </c>
      <c r="N482" s="188">
        <v>0</v>
      </c>
      <c r="O482" s="188">
        <v>0</v>
      </c>
      <c r="P482" s="188">
        <v>1</v>
      </c>
      <c r="Q482" s="188">
        <v>1</v>
      </c>
      <c r="R482" s="188">
        <v>1</v>
      </c>
      <c r="S482" s="188">
        <v>1</v>
      </c>
      <c r="T482" s="188">
        <v>1</v>
      </c>
      <c r="U482" s="188">
        <v>1</v>
      </c>
      <c r="V482" s="188">
        <v>1</v>
      </c>
      <c r="W482" s="188">
        <v>1</v>
      </c>
      <c r="X482" s="188">
        <v>1</v>
      </c>
      <c r="Y482" s="188">
        <v>1</v>
      </c>
      <c r="Z482" s="188">
        <v>1</v>
      </c>
      <c r="AA482" s="188">
        <v>1</v>
      </c>
      <c r="AB482" s="188">
        <v>0</v>
      </c>
      <c r="AC482" s="188">
        <v>1</v>
      </c>
      <c r="AD482" s="188">
        <v>1</v>
      </c>
      <c r="AE482" s="188">
        <v>1</v>
      </c>
      <c r="AF482" s="191">
        <v>10</v>
      </c>
      <c r="AG482" s="183">
        <v>21</v>
      </c>
    </row>
    <row r="483" spans="1:41" ht="15" customHeight="1" x14ac:dyDescent="0.2">
      <c r="A483" s="141" t="s">
        <v>313</v>
      </c>
      <c r="B483" s="187" t="s">
        <v>1759</v>
      </c>
      <c r="C483" s="141">
        <v>2015</v>
      </c>
      <c r="D483" s="141">
        <v>62</v>
      </c>
      <c r="E483" s="135" t="e">
        <v>#N/A</v>
      </c>
      <c r="F483" s="189" t="s">
        <v>1774</v>
      </c>
      <c r="G483" s="141">
        <v>1</v>
      </c>
      <c r="H483" s="141">
        <v>1</v>
      </c>
      <c r="I483" s="141">
        <v>0</v>
      </c>
      <c r="J483" s="141">
        <v>0</v>
      </c>
      <c r="K483" s="141">
        <v>1</v>
      </c>
      <c r="L483" s="141">
        <v>1</v>
      </c>
      <c r="M483" s="141">
        <v>1</v>
      </c>
      <c r="N483" s="141">
        <v>0</v>
      </c>
      <c r="O483" s="141">
        <v>0</v>
      </c>
      <c r="P483" s="141">
        <v>1</v>
      </c>
      <c r="Q483" s="141">
        <v>1</v>
      </c>
      <c r="R483" s="141">
        <v>1</v>
      </c>
      <c r="S483" s="141">
        <v>1</v>
      </c>
      <c r="T483" s="141">
        <v>0</v>
      </c>
      <c r="U483" s="141">
        <v>1</v>
      </c>
      <c r="V483" s="141">
        <v>1</v>
      </c>
      <c r="W483" s="141">
        <v>1</v>
      </c>
      <c r="X483" s="141">
        <v>1</v>
      </c>
      <c r="Y483" s="141">
        <v>0</v>
      </c>
      <c r="Z483" s="141">
        <v>0</v>
      </c>
      <c r="AA483" s="141">
        <v>1</v>
      </c>
      <c r="AB483" s="141">
        <v>1</v>
      </c>
      <c r="AC483" s="141">
        <v>1</v>
      </c>
      <c r="AD483" s="141">
        <v>1</v>
      </c>
      <c r="AE483" s="141">
        <v>1</v>
      </c>
      <c r="AF483" s="148">
        <v>0.1</v>
      </c>
      <c r="AG483" s="183">
        <v>18</v>
      </c>
      <c r="AH483" s="4" t="s">
        <v>1818</v>
      </c>
      <c r="AI483" s="5" t="s">
        <v>1655</v>
      </c>
      <c r="AJ483" s="5" t="s">
        <v>1660</v>
      </c>
      <c r="AL483" s="5" t="s">
        <v>1668</v>
      </c>
      <c r="AM483" s="5" t="s">
        <v>1671</v>
      </c>
      <c r="AN483" s="5" t="s">
        <v>1434</v>
      </c>
      <c r="AO483" s="5" t="s">
        <v>1434</v>
      </c>
    </row>
    <row r="484" spans="1:41" ht="15" customHeight="1" x14ac:dyDescent="0.2">
      <c r="A484" s="141" t="s">
        <v>313</v>
      </c>
      <c r="B484" s="187" t="s">
        <v>1759</v>
      </c>
      <c r="C484" s="141">
        <v>2015</v>
      </c>
      <c r="D484" s="141">
        <v>62</v>
      </c>
      <c r="E484" s="135" t="e">
        <v>#N/A</v>
      </c>
      <c r="F484" s="192" t="s">
        <v>1773</v>
      </c>
      <c r="G484" s="141">
        <v>1</v>
      </c>
      <c r="H484" s="141">
        <v>1</v>
      </c>
      <c r="I484" s="141">
        <v>0</v>
      </c>
      <c r="J484" s="141">
        <v>0</v>
      </c>
      <c r="K484" s="141">
        <v>1</v>
      </c>
      <c r="L484" s="141">
        <v>1</v>
      </c>
      <c r="M484" s="141">
        <v>1</v>
      </c>
      <c r="N484" s="141">
        <v>0</v>
      </c>
      <c r="O484" s="141">
        <v>0</v>
      </c>
      <c r="P484" s="141">
        <v>1</v>
      </c>
      <c r="Q484" s="141">
        <v>1</v>
      </c>
      <c r="R484" s="141">
        <v>1</v>
      </c>
      <c r="S484" s="141">
        <v>1</v>
      </c>
      <c r="T484" s="141">
        <v>0</v>
      </c>
      <c r="U484" s="141">
        <v>1</v>
      </c>
      <c r="V484" s="141">
        <v>1</v>
      </c>
      <c r="W484" s="141">
        <v>1</v>
      </c>
      <c r="X484" s="141">
        <v>1</v>
      </c>
      <c r="Y484" s="141">
        <v>1</v>
      </c>
      <c r="Z484" s="141">
        <v>1</v>
      </c>
      <c r="AA484" s="141">
        <v>1</v>
      </c>
      <c r="AB484" s="141">
        <v>1</v>
      </c>
      <c r="AC484" s="141">
        <v>1</v>
      </c>
      <c r="AD484" s="141">
        <v>1</v>
      </c>
      <c r="AE484" s="141">
        <v>1</v>
      </c>
      <c r="AF484" s="148">
        <v>0.1</v>
      </c>
      <c r="AG484" s="183">
        <v>20</v>
      </c>
      <c r="AH484" s="4"/>
      <c r="AI484" s="5" t="s">
        <v>1655</v>
      </c>
      <c r="AL484" s="5" t="s">
        <v>1668</v>
      </c>
      <c r="AM484" s="5" t="s">
        <v>1434</v>
      </c>
      <c r="AO484" s="5" t="s">
        <v>1434</v>
      </c>
    </row>
    <row r="485" spans="1:41" ht="15" customHeight="1" x14ac:dyDescent="0.2">
      <c r="A485" s="141" t="s">
        <v>313</v>
      </c>
      <c r="B485" s="187" t="s">
        <v>1759</v>
      </c>
      <c r="C485" s="141">
        <v>2015</v>
      </c>
      <c r="D485" s="188">
        <v>62</v>
      </c>
      <c r="E485" s="135" t="e">
        <v>#N/A</v>
      </c>
      <c r="F485" s="192" t="s">
        <v>1771</v>
      </c>
      <c r="G485" s="188">
        <v>1</v>
      </c>
      <c r="H485" s="188">
        <v>0</v>
      </c>
      <c r="I485" s="188">
        <v>0</v>
      </c>
      <c r="J485" s="188">
        <v>0</v>
      </c>
      <c r="K485" s="188">
        <v>0</v>
      </c>
      <c r="L485" s="188">
        <v>0</v>
      </c>
      <c r="M485" s="188">
        <v>0</v>
      </c>
      <c r="N485" s="188">
        <v>0</v>
      </c>
      <c r="O485" s="188">
        <v>0</v>
      </c>
      <c r="P485" s="188">
        <v>0</v>
      </c>
      <c r="Q485" s="188">
        <v>0</v>
      </c>
      <c r="R485" s="188">
        <v>0</v>
      </c>
      <c r="S485" s="188">
        <v>0</v>
      </c>
      <c r="T485" s="188">
        <v>0</v>
      </c>
      <c r="U485" s="188">
        <v>0</v>
      </c>
      <c r="V485" s="188">
        <v>0</v>
      </c>
      <c r="W485" s="188">
        <v>0</v>
      </c>
      <c r="X485" s="188">
        <v>0</v>
      </c>
      <c r="Y485" s="188">
        <v>0</v>
      </c>
      <c r="Z485" s="188">
        <v>0</v>
      </c>
      <c r="AA485" s="188">
        <v>0</v>
      </c>
      <c r="AB485" s="188">
        <v>0</v>
      </c>
      <c r="AC485" s="188">
        <v>0</v>
      </c>
      <c r="AD485" s="188">
        <v>0</v>
      </c>
      <c r="AE485" s="188">
        <v>0</v>
      </c>
      <c r="AF485" s="191"/>
      <c r="AG485" s="183">
        <v>1</v>
      </c>
      <c r="AH485" s="5" t="s">
        <v>1971</v>
      </c>
      <c r="AI485" s="5" t="s">
        <v>1660</v>
      </c>
      <c r="AJ485" s="5" t="s">
        <v>1467</v>
      </c>
      <c r="AL485" s="5" t="s">
        <v>1432</v>
      </c>
      <c r="AM485" s="5" t="s">
        <v>1673</v>
      </c>
      <c r="AN485" s="5" t="s">
        <v>1676</v>
      </c>
      <c r="AO485" s="5" t="s">
        <v>1676</v>
      </c>
    </row>
    <row r="486" spans="1:41" ht="15" customHeight="1" x14ac:dyDescent="0.2">
      <c r="A486" s="141" t="s">
        <v>313</v>
      </c>
      <c r="B486" s="187" t="s">
        <v>1759</v>
      </c>
      <c r="C486" s="141">
        <v>2015</v>
      </c>
      <c r="D486" s="188">
        <v>62</v>
      </c>
      <c r="E486" s="135" t="e">
        <v>#N/A</v>
      </c>
      <c r="F486" s="192" t="s">
        <v>1770</v>
      </c>
      <c r="G486" s="188">
        <v>1</v>
      </c>
      <c r="H486" s="188">
        <v>0</v>
      </c>
      <c r="I486" s="188">
        <v>0</v>
      </c>
      <c r="J486" s="188">
        <v>0</v>
      </c>
      <c r="K486" s="188">
        <v>0</v>
      </c>
      <c r="L486" s="188">
        <v>0</v>
      </c>
      <c r="M486" s="188">
        <v>0</v>
      </c>
      <c r="N486" s="188">
        <v>0</v>
      </c>
      <c r="O486" s="188">
        <v>0</v>
      </c>
      <c r="P486" s="188">
        <v>0</v>
      </c>
      <c r="Q486" s="188">
        <v>0</v>
      </c>
      <c r="R486" s="188">
        <v>0</v>
      </c>
      <c r="S486" s="188">
        <v>0</v>
      </c>
      <c r="T486" s="188">
        <v>0</v>
      </c>
      <c r="U486" s="188">
        <v>0</v>
      </c>
      <c r="V486" s="188">
        <v>0</v>
      </c>
      <c r="W486" s="188">
        <v>0</v>
      </c>
      <c r="X486" s="188">
        <v>0</v>
      </c>
      <c r="Y486" s="188">
        <v>0</v>
      </c>
      <c r="Z486" s="188">
        <v>0</v>
      </c>
      <c r="AA486" s="188">
        <v>0</v>
      </c>
      <c r="AB486" s="188">
        <v>0</v>
      </c>
      <c r="AC486" s="188">
        <v>0</v>
      </c>
      <c r="AD486" s="188">
        <v>0</v>
      </c>
      <c r="AE486" s="188">
        <v>0</v>
      </c>
      <c r="AF486" s="191"/>
      <c r="AG486" s="183">
        <v>1</v>
      </c>
      <c r="AH486" s="5" t="s">
        <v>1971</v>
      </c>
      <c r="AI486" s="5" t="s">
        <v>1660</v>
      </c>
      <c r="AJ486" s="5" t="s">
        <v>1467</v>
      </c>
      <c r="AL486" s="5" t="s">
        <v>1432</v>
      </c>
      <c r="AM486" s="5" t="s">
        <v>1673</v>
      </c>
      <c r="AN486" s="5" t="s">
        <v>1676</v>
      </c>
      <c r="AO486" s="5" t="s">
        <v>1676</v>
      </c>
    </row>
    <row r="487" spans="1:41" ht="15" customHeight="1" x14ac:dyDescent="0.2">
      <c r="A487" s="141" t="s">
        <v>313</v>
      </c>
      <c r="B487" s="187" t="s">
        <v>1759</v>
      </c>
      <c r="C487" s="141">
        <v>2015</v>
      </c>
      <c r="D487" s="188">
        <v>62</v>
      </c>
      <c r="E487" s="135">
        <v>4292</v>
      </c>
      <c r="F487" s="192" t="s">
        <v>1861</v>
      </c>
      <c r="G487" s="188">
        <v>0</v>
      </c>
      <c r="H487" s="188">
        <v>0</v>
      </c>
      <c r="I487" s="188">
        <v>0</v>
      </c>
      <c r="J487" s="188">
        <v>0</v>
      </c>
      <c r="K487" s="188">
        <v>1</v>
      </c>
      <c r="L487" s="188">
        <v>0</v>
      </c>
      <c r="M487" s="188">
        <v>0</v>
      </c>
      <c r="N487" s="188">
        <v>0</v>
      </c>
      <c r="O487" s="188">
        <v>0</v>
      </c>
      <c r="P487" s="188">
        <v>0</v>
      </c>
      <c r="Q487" s="188">
        <v>0</v>
      </c>
      <c r="R487" s="188">
        <v>0</v>
      </c>
      <c r="S487" s="188">
        <v>0</v>
      </c>
      <c r="T487" s="188">
        <v>0</v>
      </c>
      <c r="U487" s="188">
        <v>0</v>
      </c>
      <c r="V487" s="188">
        <v>0</v>
      </c>
      <c r="W487" s="188">
        <v>0</v>
      </c>
      <c r="X487" s="188">
        <v>0</v>
      </c>
      <c r="Y487" s="188">
        <v>0</v>
      </c>
      <c r="Z487" s="188">
        <v>0</v>
      </c>
      <c r="AA487" s="188">
        <v>0</v>
      </c>
      <c r="AB487" s="188">
        <v>0</v>
      </c>
      <c r="AC487" s="188">
        <v>0</v>
      </c>
      <c r="AD487" s="188">
        <v>0</v>
      </c>
      <c r="AE487" s="188">
        <v>0</v>
      </c>
      <c r="AF487" s="191">
        <v>0.1</v>
      </c>
      <c r="AG487" s="183">
        <v>1</v>
      </c>
      <c r="AH487" s="4"/>
      <c r="AI487" s="5" t="s">
        <v>1655</v>
      </c>
      <c r="AL487" s="5" t="s">
        <v>1668</v>
      </c>
      <c r="AO487" s="5" t="s">
        <v>1668</v>
      </c>
    </row>
    <row r="488" spans="1:41" ht="15" customHeight="1" x14ac:dyDescent="0.2">
      <c r="A488" s="141" t="s">
        <v>313</v>
      </c>
      <c r="B488" s="187" t="s">
        <v>1759</v>
      </c>
      <c r="C488" s="141">
        <v>2015</v>
      </c>
      <c r="D488" s="188">
        <v>62</v>
      </c>
      <c r="E488" s="135">
        <v>1894</v>
      </c>
      <c r="F488" s="192" t="s">
        <v>795</v>
      </c>
      <c r="G488" s="188">
        <v>1</v>
      </c>
      <c r="H488" s="188">
        <v>1</v>
      </c>
      <c r="I488" s="188">
        <v>1</v>
      </c>
      <c r="J488" s="188">
        <v>1</v>
      </c>
      <c r="K488" s="188">
        <v>1</v>
      </c>
      <c r="L488" s="188">
        <v>0</v>
      </c>
      <c r="M488" s="188">
        <v>1</v>
      </c>
      <c r="N488" s="188">
        <v>1</v>
      </c>
      <c r="O488" s="188">
        <v>1</v>
      </c>
      <c r="P488" s="188">
        <v>1</v>
      </c>
      <c r="Q488" s="188">
        <v>0</v>
      </c>
      <c r="R488" s="188">
        <v>1</v>
      </c>
      <c r="S488" s="188">
        <v>1</v>
      </c>
      <c r="T488" s="188">
        <v>1</v>
      </c>
      <c r="U488" s="188">
        <v>1</v>
      </c>
      <c r="V488" s="188">
        <v>1</v>
      </c>
      <c r="W488" s="188">
        <v>1</v>
      </c>
      <c r="X488" s="188">
        <v>1</v>
      </c>
      <c r="Y488" s="188">
        <v>1</v>
      </c>
      <c r="Z488" s="188">
        <v>0</v>
      </c>
      <c r="AA488" s="188">
        <v>1</v>
      </c>
      <c r="AB488" s="188">
        <v>1</v>
      </c>
      <c r="AC488" s="188">
        <v>0</v>
      </c>
      <c r="AD488" s="188">
        <v>1</v>
      </c>
      <c r="AE488" s="188">
        <v>1</v>
      </c>
      <c r="AF488" s="191">
        <v>0.1</v>
      </c>
      <c r="AG488" s="183">
        <v>21</v>
      </c>
      <c r="AI488" s="5" t="s">
        <v>1655</v>
      </c>
      <c r="AL488" s="5" t="s">
        <v>1668</v>
      </c>
      <c r="AO488" s="5" t="s">
        <v>1668</v>
      </c>
    </row>
    <row r="489" spans="1:41" ht="15" customHeight="1" x14ac:dyDescent="0.2">
      <c r="A489" s="141" t="s">
        <v>313</v>
      </c>
      <c r="B489" s="187" t="s">
        <v>1759</v>
      </c>
      <c r="C489" s="141">
        <v>2015</v>
      </c>
      <c r="D489" s="188">
        <v>62</v>
      </c>
      <c r="E489" s="135">
        <v>2639</v>
      </c>
      <c r="F489" s="192" t="s">
        <v>590</v>
      </c>
      <c r="G489" s="188">
        <v>0</v>
      </c>
      <c r="H489" s="188">
        <v>0</v>
      </c>
      <c r="I489" s="188">
        <v>0</v>
      </c>
      <c r="J489" s="188">
        <v>0</v>
      </c>
      <c r="K489" s="188">
        <v>0</v>
      </c>
      <c r="L489" s="188">
        <v>0</v>
      </c>
      <c r="M489" s="188">
        <v>0</v>
      </c>
      <c r="N489" s="188">
        <v>0</v>
      </c>
      <c r="O489" s="188">
        <v>0</v>
      </c>
      <c r="P489" s="188">
        <v>0</v>
      </c>
      <c r="Q489" s="188">
        <v>0</v>
      </c>
      <c r="R489" s="188">
        <v>0</v>
      </c>
      <c r="S489" s="188">
        <v>1</v>
      </c>
      <c r="T489" s="188">
        <v>0</v>
      </c>
      <c r="U489" s="188">
        <v>0</v>
      </c>
      <c r="V489" s="188">
        <v>0</v>
      </c>
      <c r="W489" s="188">
        <v>0</v>
      </c>
      <c r="X489" s="188">
        <v>1</v>
      </c>
      <c r="Y489" s="188">
        <v>0</v>
      </c>
      <c r="Z489" s="188">
        <v>0</v>
      </c>
      <c r="AA489" s="188">
        <v>0</v>
      </c>
      <c r="AB489" s="188">
        <v>0</v>
      </c>
      <c r="AC489" s="188">
        <v>1</v>
      </c>
      <c r="AD489" s="188">
        <v>0</v>
      </c>
      <c r="AE489" s="188">
        <v>0</v>
      </c>
      <c r="AF489" s="191">
        <v>3</v>
      </c>
      <c r="AG489" s="183">
        <v>3</v>
      </c>
    </row>
    <row r="490" spans="1:41" ht="15" customHeight="1" x14ac:dyDescent="0.2">
      <c r="A490" s="141" t="s">
        <v>313</v>
      </c>
      <c r="B490" s="187" t="s">
        <v>1759</v>
      </c>
      <c r="C490" s="141">
        <v>2015</v>
      </c>
      <c r="D490" s="141">
        <v>62</v>
      </c>
      <c r="E490" s="135" t="e">
        <v>#N/A</v>
      </c>
      <c r="F490" s="192" t="s">
        <v>1772</v>
      </c>
      <c r="G490" s="141">
        <v>1</v>
      </c>
      <c r="H490" s="141">
        <v>0</v>
      </c>
      <c r="I490" s="141">
        <v>0</v>
      </c>
      <c r="J490" s="141">
        <v>0</v>
      </c>
      <c r="K490" s="141">
        <v>0</v>
      </c>
      <c r="L490" s="141">
        <v>1</v>
      </c>
      <c r="M490" s="141">
        <v>0</v>
      </c>
      <c r="N490" s="141">
        <v>0</v>
      </c>
      <c r="O490" s="141">
        <v>0</v>
      </c>
      <c r="P490" s="141">
        <v>0</v>
      </c>
      <c r="Q490" s="141">
        <v>1</v>
      </c>
      <c r="R490" s="141">
        <v>0</v>
      </c>
      <c r="S490" s="141">
        <v>0</v>
      </c>
      <c r="T490" s="141">
        <v>0</v>
      </c>
      <c r="U490" s="141">
        <v>0</v>
      </c>
      <c r="V490" s="141">
        <v>0</v>
      </c>
      <c r="W490" s="141">
        <v>0</v>
      </c>
      <c r="X490" s="141">
        <v>0</v>
      </c>
      <c r="Y490" s="141">
        <v>0</v>
      </c>
      <c r="Z490" s="141">
        <v>0</v>
      </c>
      <c r="AA490" s="141">
        <v>0</v>
      </c>
      <c r="AB490" s="141">
        <v>1</v>
      </c>
      <c r="AC490" s="141">
        <v>0</v>
      </c>
      <c r="AD490" s="141">
        <v>0</v>
      </c>
      <c r="AE490" s="141">
        <v>0</v>
      </c>
      <c r="AF490" s="148">
        <v>2</v>
      </c>
      <c r="AG490" s="183">
        <v>4</v>
      </c>
      <c r="AH490" s="4"/>
      <c r="AL490" s="5" t="s">
        <v>1434</v>
      </c>
      <c r="AO490" s="5" t="s">
        <v>1434</v>
      </c>
    </row>
    <row r="491" spans="1:41" ht="15" customHeight="1" x14ac:dyDescent="0.2">
      <c r="A491" s="141" t="s">
        <v>313</v>
      </c>
      <c r="B491" s="187" t="s">
        <v>1759</v>
      </c>
      <c r="C491" s="141">
        <v>2015</v>
      </c>
      <c r="D491" s="141">
        <v>62</v>
      </c>
      <c r="E491" s="135" t="e">
        <v>#N/A</v>
      </c>
      <c r="F491" s="192" t="s">
        <v>1777</v>
      </c>
      <c r="G491" s="141">
        <v>0</v>
      </c>
      <c r="H491" s="141">
        <v>0</v>
      </c>
      <c r="I491" s="141">
        <v>0</v>
      </c>
      <c r="J491" s="141">
        <v>0</v>
      </c>
      <c r="K491" s="141">
        <v>0</v>
      </c>
      <c r="L491" s="141">
        <v>0</v>
      </c>
      <c r="M491" s="141">
        <v>0</v>
      </c>
      <c r="N491" s="141">
        <v>0</v>
      </c>
      <c r="O491" s="141">
        <v>0</v>
      </c>
      <c r="P491" s="141">
        <v>0</v>
      </c>
      <c r="Q491" s="141">
        <v>0</v>
      </c>
      <c r="R491" s="141">
        <v>0</v>
      </c>
      <c r="S491" s="141">
        <v>0</v>
      </c>
      <c r="T491" s="141">
        <v>0</v>
      </c>
      <c r="U491" s="141">
        <v>0</v>
      </c>
      <c r="V491" s="141">
        <v>1</v>
      </c>
      <c r="W491" s="141">
        <v>0</v>
      </c>
      <c r="X491" s="141">
        <v>0</v>
      </c>
      <c r="Y491" s="141">
        <v>0</v>
      </c>
      <c r="Z491" s="141">
        <v>0</v>
      </c>
      <c r="AA491" s="141">
        <v>0</v>
      </c>
      <c r="AB491" s="141">
        <v>0</v>
      </c>
      <c r="AC491" s="141">
        <v>1</v>
      </c>
      <c r="AD491" s="141">
        <v>0</v>
      </c>
      <c r="AE491" s="141">
        <v>0</v>
      </c>
      <c r="AF491" s="148">
        <v>0.1</v>
      </c>
      <c r="AG491" s="183">
        <v>2</v>
      </c>
      <c r="AH491" s="4" t="s">
        <v>1820</v>
      </c>
      <c r="AI491" s="5" t="s">
        <v>1655</v>
      </c>
      <c r="AL491" s="5" t="s">
        <v>1668</v>
      </c>
      <c r="AM491" s="5" t="s">
        <v>1672</v>
      </c>
      <c r="AO491" s="5" t="s">
        <v>1672</v>
      </c>
    </row>
    <row r="492" spans="1:41" ht="15" customHeight="1" x14ac:dyDescent="0.2">
      <c r="A492" s="141" t="s">
        <v>313</v>
      </c>
      <c r="B492" s="187" t="s">
        <v>1759</v>
      </c>
      <c r="C492" s="141">
        <v>2015</v>
      </c>
      <c r="D492" s="188">
        <v>63</v>
      </c>
      <c r="E492" s="135">
        <v>3263</v>
      </c>
      <c r="F492" s="189" t="s">
        <v>411</v>
      </c>
      <c r="G492" s="188">
        <v>1</v>
      </c>
      <c r="H492" s="188">
        <v>1</v>
      </c>
      <c r="I492" s="188">
        <v>0</v>
      </c>
      <c r="J492" s="188">
        <v>0</v>
      </c>
      <c r="K492" s="188">
        <v>0</v>
      </c>
      <c r="L492" s="188">
        <v>0</v>
      </c>
      <c r="M492" s="188">
        <v>0</v>
      </c>
      <c r="N492" s="188">
        <v>0</v>
      </c>
      <c r="O492" s="188">
        <v>0</v>
      </c>
      <c r="P492" s="188">
        <v>0</v>
      </c>
      <c r="Q492" s="188">
        <v>0</v>
      </c>
      <c r="R492" s="188">
        <v>0</v>
      </c>
      <c r="S492" s="188">
        <v>0</v>
      </c>
      <c r="T492" s="188">
        <v>0</v>
      </c>
      <c r="U492" s="188">
        <v>0</v>
      </c>
      <c r="V492" s="188">
        <v>0</v>
      </c>
      <c r="W492" s="188">
        <v>0</v>
      </c>
      <c r="X492" s="188">
        <v>0</v>
      </c>
      <c r="Y492" s="188">
        <v>0</v>
      </c>
      <c r="Z492" s="188">
        <v>0</v>
      </c>
      <c r="AA492" s="188">
        <v>0</v>
      </c>
      <c r="AB492" s="188">
        <v>0</v>
      </c>
      <c r="AC492" s="188">
        <v>0</v>
      </c>
      <c r="AD492" s="188">
        <v>0</v>
      </c>
      <c r="AE492" s="188">
        <v>0</v>
      </c>
      <c r="AF492" s="191">
        <v>0.1</v>
      </c>
      <c r="AG492" s="183">
        <v>2</v>
      </c>
      <c r="AH492" s="5" t="s">
        <v>1806</v>
      </c>
      <c r="AI492" s="5" t="s">
        <v>1657</v>
      </c>
      <c r="AL492" s="5" t="s">
        <v>1671</v>
      </c>
      <c r="AM492" s="5" t="s">
        <v>1672</v>
      </c>
      <c r="AO492" s="5" t="s">
        <v>1469</v>
      </c>
    </row>
    <row r="493" spans="1:41" ht="15" customHeight="1" x14ac:dyDescent="0.2">
      <c r="A493" s="141" t="s">
        <v>313</v>
      </c>
      <c r="B493" s="187" t="s">
        <v>1759</v>
      </c>
      <c r="C493" s="141">
        <v>2015</v>
      </c>
      <c r="D493" s="188">
        <v>63</v>
      </c>
      <c r="E493" s="135">
        <v>278</v>
      </c>
      <c r="F493" s="192" t="s">
        <v>132</v>
      </c>
      <c r="G493" s="188">
        <v>1</v>
      </c>
      <c r="H493" s="188">
        <v>1</v>
      </c>
      <c r="I493" s="188">
        <v>1</v>
      </c>
      <c r="J493" s="188">
        <v>1</v>
      </c>
      <c r="K493" s="188">
        <v>1</v>
      </c>
      <c r="L493" s="188">
        <v>1</v>
      </c>
      <c r="M493" s="188">
        <v>1</v>
      </c>
      <c r="N493" s="188">
        <v>1</v>
      </c>
      <c r="O493" s="188">
        <v>1</v>
      </c>
      <c r="P493" s="188">
        <v>1</v>
      </c>
      <c r="Q493" s="188">
        <v>1</v>
      </c>
      <c r="R493" s="188">
        <v>1</v>
      </c>
      <c r="S493" s="188">
        <v>1</v>
      </c>
      <c r="T493" s="188">
        <v>1</v>
      </c>
      <c r="U493" s="188">
        <v>1</v>
      </c>
      <c r="V493" s="188">
        <v>1</v>
      </c>
      <c r="W493" s="188">
        <v>1</v>
      </c>
      <c r="X493" s="188">
        <v>1</v>
      </c>
      <c r="Y493" s="188">
        <v>1</v>
      </c>
      <c r="Z493" s="188">
        <v>1</v>
      </c>
      <c r="AA493" s="188">
        <v>0</v>
      </c>
      <c r="AB493" s="188">
        <v>1</v>
      </c>
      <c r="AC493" s="188">
        <v>1</v>
      </c>
      <c r="AD493" s="188">
        <v>1</v>
      </c>
      <c r="AE493" s="188">
        <v>1</v>
      </c>
      <c r="AF493" s="191">
        <v>60</v>
      </c>
      <c r="AG493" s="183">
        <v>24</v>
      </c>
    </row>
    <row r="494" spans="1:41" ht="15" customHeight="1" x14ac:dyDescent="0.2">
      <c r="A494" s="141" t="s">
        <v>313</v>
      </c>
      <c r="B494" s="187" t="s">
        <v>1759</v>
      </c>
      <c r="C494" s="141">
        <v>2015</v>
      </c>
      <c r="D494" s="188">
        <v>63</v>
      </c>
      <c r="E494" s="135">
        <v>1574</v>
      </c>
      <c r="F494" s="192" t="s">
        <v>884</v>
      </c>
      <c r="G494" s="188">
        <v>0</v>
      </c>
      <c r="H494" s="188">
        <v>0</v>
      </c>
      <c r="I494" s="188">
        <v>0</v>
      </c>
      <c r="J494" s="188">
        <v>0</v>
      </c>
      <c r="K494" s="188">
        <v>0</v>
      </c>
      <c r="L494" s="188">
        <v>0</v>
      </c>
      <c r="M494" s="188">
        <v>0</v>
      </c>
      <c r="N494" s="188">
        <v>0</v>
      </c>
      <c r="O494" s="188">
        <v>0</v>
      </c>
      <c r="P494" s="188">
        <v>0</v>
      </c>
      <c r="Q494" s="188">
        <v>0</v>
      </c>
      <c r="R494" s="188">
        <v>1</v>
      </c>
      <c r="S494" s="188">
        <v>0</v>
      </c>
      <c r="T494" s="188">
        <v>0</v>
      </c>
      <c r="U494" s="188">
        <v>0</v>
      </c>
      <c r="V494" s="188">
        <v>0</v>
      </c>
      <c r="W494" s="188">
        <v>0</v>
      </c>
      <c r="X494" s="188">
        <v>0</v>
      </c>
      <c r="Y494" s="188">
        <v>0</v>
      </c>
      <c r="Z494" s="188">
        <v>0</v>
      </c>
      <c r="AA494" s="188">
        <v>0</v>
      </c>
      <c r="AB494" s="188">
        <v>0</v>
      </c>
      <c r="AC494" s="188">
        <v>0</v>
      </c>
      <c r="AD494" s="188">
        <v>0</v>
      </c>
      <c r="AE494" s="188">
        <v>0</v>
      </c>
      <c r="AF494" s="191">
        <v>0.1</v>
      </c>
      <c r="AG494" s="183">
        <v>1</v>
      </c>
    </row>
    <row r="495" spans="1:41" ht="15" customHeight="1" x14ac:dyDescent="0.2">
      <c r="A495" s="141" t="s">
        <v>313</v>
      </c>
      <c r="B495" s="187" t="s">
        <v>1759</v>
      </c>
      <c r="C495" s="141">
        <v>2015</v>
      </c>
      <c r="D495" s="141">
        <v>63</v>
      </c>
      <c r="E495" s="135">
        <v>1576</v>
      </c>
      <c r="F495" s="192" t="s">
        <v>882</v>
      </c>
      <c r="G495" s="141">
        <v>0</v>
      </c>
      <c r="H495" s="141">
        <v>1</v>
      </c>
      <c r="I495" s="141">
        <v>0</v>
      </c>
      <c r="J495" s="141">
        <v>1</v>
      </c>
      <c r="K495" s="141">
        <v>1</v>
      </c>
      <c r="L495" s="141">
        <v>0</v>
      </c>
      <c r="M495" s="141">
        <v>1</v>
      </c>
      <c r="N495" s="141">
        <v>0</v>
      </c>
      <c r="O495" s="141">
        <v>1</v>
      </c>
      <c r="P495" s="141">
        <v>1</v>
      </c>
      <c r="Q495" s="141">
        <v>1</v>
      </c>
      <c r="R495" s="141">
        <v>1</v>
      </c>
      <c r="S495" s="141">
        <v>0</v>
      </c>
      <c r="T495" s="141">
        <v>0</v>
      </c>
      <c r="U495" s="141">
        <v>1</v>
      </c>
      <c r="V495" s="141">
        <v>0</v>
      </c>
      <c r="W495" s="141">
        <v>1</v>
      </c>
      <c r="X495" s="141">
        <v>1</v>
      </c>
      <c r="Y495" s="141">
        <v>0</v>
      </c>
      <c r="Z495" s="141">
        <v>1</v>
      </c>
      <c r="AA495" s="141">
        <v>1</v>
      </c>
      <c r="AB495" s="141">
        <v>1</v>
      </c>
      <c r="AC495" s="141">
        <v>1</v>
      </c>
      <c r="AD495" s="141">
        <v>1</v>
      </c>
      <c r="AE495" s="141">
        <v>1</v>
      </c>
      <c r="AF495" s="148">
        <v>8</v>
      </c>
      <c r="AG495" s="183">
        <v>17</v>
      </c>
      <c r="AH495" s="4"/>
    </row>
    <row r="496" spans="1:41" ht="15" customHeight="1" x14ac:dyDescent="0.2">
      <c r="A496" s="141" t="s">
        <v>313</v>
      </c>
      <c r="B496" s="187" t="s">
        <v>1759</v>
      </c>
      <c r="C496" s="141">
        <v>2015</v>
      </c>
      <c r="D496" s="188">
        <v>63</v>
      </c>
      <c r="E496" s="135">
        <v>344</v>
      </c>
      <c r="F496" s="192" t="s">
        <v>94</v>
      </c>
      <c r="G496" s="188">
        <v>0</v>
      </c>
      <c r="H496" s="188">
        <v>0</v>
      </c>
      <c r="I496" s="188">
        <v>0</v>
      </c>
      <c r="J496" s="188">
        <v>0</v>
      </c>
      <c r="K496" s="188">
        <v>0</v>
      </c>
      <c r="L496" s="188">
        <v>0</v>
      </c>
      <c r="M496" s="188">
        <v>0</v>
      </c>
      <c r="N496" s="188">
        <v>0</v>
      </c>
      <c r="O496" s="188">
        <v>1</v>
      </c>
      <c r="P496" s="188">
        <v>0</v>
      </c>
      <c r="Q496" s="188">
        <v>0</v>
      </c>
      <c r="R496" s="188">
        <v>1</v>
      </c>
      <c r="S496" s="188">
        <v>0</v>
      </c>
      <c r="T496" s="188">
        <v>0</v>
      </c>
      <c r="U496" s="188">
        <v>0</v>
      </c>
      <c r="V496" s="188">
        <v>0</v>
      </c>
      <c r="W496" s="188">
        <v>0</v>
      </c>
      <c r="X496" s="188">
        <v>0</v>
      </c>
      <c r="Y496" s="188">
        <v>0</v>
      </c>
      <c r="Z496" s="188">
        <v>0</v>
      </c>
      <c r="AA496" s="188">
        <v>0</v>
      </c>
      <c r="AB496" s="188">
        <v>0</v>
      </c>
      <c r="AC496" s="188">
        <v>0</v>
      </c>
      <c r="AD496" s="188">
        <v>0</v>
      </c>
      <c r="AE496" s="188">
        <v>0</v>
      </c>
      <c r="AF496" s="191">
        <v>0.5</v>
      </c>
      <c r="AG496" s="183">
        <v>2</v>
      </c>
    </row>
    <row r="497" spans="1:41" ht="15" customHeight="1" x14ac:dyDescent="0.2">
      <c r="A497" s="141" t="s">
        <v>313</v>
      </c>
      <c r="B497" s="187" t="s">
        <v>1759</v>
      </c>
      <c r="C497" s="141">
        <v>2015</v>
      </c>
      <c r="D497" s="188">
        <v>63</v>
      </c>
      <c r="E497" s="135">
        <v>6003</v>
      </c>
      <c r="F497" s="189" t="s">
        <v>288</v>
      </c>
      <c r="G497" s="188">
        <v>1</v>
      </c>
      <c r="H497" s="188">
        <v>1</v>
      </c>
      <c r="I497" s="188">
        <v>0</v>
      </c>
      <c r="J497" s="188">
        <v>0</v>
      </c>
      <c r="K497" s="188">
        <v>1</v>
      </c>
      <c r="L497" s="188">
        <v>0</v>
      </c>
      <c r="M497" s="188">
        <v>0</v>
      </c>
      <c r="N497" s="188">
        <v>0</v>
      </c>
      <c r="O497" s="188">
        <v>0</v>
      </c>
      <c r="P497" s="188">
        <v>0</v>
      </c>
      <c r="Q497" s="188">
        <v>0</v>
      </c>
      <c r="R497" s="188">
        <v>1</v>
      </c>
      <c r="S497" s="188">
        <v>0</v>
      </c>
      <c r="T497" s="188">
        <v>0</v>
      </c>
      <c r="U497" s="188">
        <v>0</v>
      </c>
      <c r="V497" s="188">
        <v>0</v>
      </c>
      <c r="W497" s="188">
        <v>0</v>
      </c>
      <c r="X497" s="188">
        <v>0</v>
      </c>
      <c r="Y497" s="188">
        <v>0</v>
      </c>
      <c r="Z497" s="188">
        <v>0</v>
      </c>
      <c r="AA497" s="188">
        <v>0</v>
      </c>
      <c r="AB497" s="188">
        <v>0</v>
      </c>
      <c r="AC497" s="188">
        <v>0</v>
      </c>
      <c r="AD497" s="188">
        <v>0</v>
      </c>
      <c r="AE497" s="188">
        <v>0</v>
      </c>
      <c r="AF497" s="191">
        <v>0.1</v>
      </c>
      <c r="AG497" s="183">
        <v>4</v>
      </c>
    </row>
    <row r="498" spans="1:41" ht="15" customHeight="1" x14ac:dyDescent="0.2">
      <c r="A498" s="141" t="s">
        <v>313</v>
      </c>
      <c r="B498" s="187" t="s">
        <v>1759</v>
      </c>
      <c r="C498" s="141">
        <v>2015</v>
      </c>
      <c r="D498" s="188">
        <v>63</v>
      </c>
      <c r="E498" s="135">
        <v>2359</v>
      </c>
      <c r="F498" s="189" t="s">
        <v>665</v>
      </c>
      <c r="G498" s="188">
        <v>1</v>
      </c>
      <c r="H498" s="188">
        <v>1</v>
      </c>
      <c r="I498" s="188">
        <v>1</v>
      </c>
      <c r="J498" s="188">
        <v>1</v>
      </c>
      <c r="K498" s="188">
        <v>1</v>
      </c>
      <c r="L498" s="188">
        <v>1</v>
      </c>
      <c r="M498" s="188">
        <v>1</v>
      </c>
      <c r="N498" s="188">
        <v>1</v>
      </c>
      <c r="O498" s="188">
        <v>0</v>
      </c>
      <c r="P498" s="188">
        <v>1</v>
      </c>
      <c r="Q498" s="188">
        <v>1</v>
      </c>
      <c r="R498" s="188">
        <v>1</v>
      </c>
      <c r="S498" s="188">
        <v>1</v>
      </c>
      <c r="T498" s="188">
        <v>1</v>
      </c>
      <c r="U498" s="188">
        <v>1</v>
      </c>
      <c r="V498" s="188">
        <v>0</v>
      </c>
      <c r="W498" s="188">
        <v>1</v>
      </c>
      <c r="X498" s="188">
        <v>0</v>
      </c>
      <c r="Y498" s="188">
        <v>0</v>
      </c>
      <c r="Z498" s="188">
        <v>1</v>
      </c>
      <c r="AA498" s="188">
        <v>0</v>
      </c>
      <c r="AB498" s="188">
        <v>1</v>
      </c>
      <c r="AC498" s="188">
        <v>1</v>
      </c>
      <c r="AD498" s="188">
        <v>0</v>
      </c>
      <c r="AE498" s="188">
        <v>1</v>
      </c>
      <c r="AF498" s="191">
        <v>0.1</v>
      </c>
      <c r="AG498" s="183">
        <v>19</v>
      </c>
    </row>
    <row r="499" spans="1:41" ht="15" customHeight="1" x14ac:dyDescent="0.2">
      <c r="A499" s="141" t="s">
        <v>313</v>
      </c>
      <c r="B499" s="187" t="s">
        <v>1759</v>
      </c>
      <c r="C499" s="141">
        <v>2015</v>
      </c>
      <c r="D499" s="188">
        <v>63</v>
      </c>
      <c r="E499" s="135">
        <v>2362</v>
      </c>
      <c r="F499" s="189" t="s">
        <v>663</v>
      </c>
      <c r="G499" s="188">
        <v>0</v>
      </c>
      <c r="H499" s="188">
        <v>0</v>
      </c>
      <c r="I499" s="188">
        <v>1</v>
      </c>
      <c r="J499" s="188">
        <v>1</v>
      </c>
      <c r="K499" s="188">
        <v>1</v>
      </c>
      <c r="L499" s="188">
        <v>0</v>
      </c>
      <c r="M499" s="188">
        <v>1</v>
      </c>
      <c r="N499" s="188">
        <v>1</v>
      </c>
      <c r="O499" s="188">
        <v>1</v>
      </c>
      <c r="P499" s="188">
        <v>1</v>
      </c>
      <c r="Q499" s="188">
        <v>0</v>
      </c>
      <c r="R499" s="188">
        <v>0</v>
      </c>
      <c r="S499" s="188">
        <v>0</v>
      </c>
      <c r="T499" s="188">
        <v>0</v>
      </c>
      <c r="U499" s="188">
        <v>1</v>
      </c>
      <c r="V499" s="188">
        <v>0</v>
      </c>
      <c r="W499" s="188">
        <v>0</v>
      </c>
      <c r="X499" s="188">
        <v>1</v>
      </c>
      <c r="Y499" s="188">
        <v>0</v>
      </c>
      <c r="Z499" s="188">
        <v>1</v>
      </c>
      <c r="AA499" s="188">
        <v>1</v>
      </c>
      <c r="AB499" s="188">
        <v>1</v>
      </c>
      <c r="AC499" s="188">
        <v>0</v>
      </c>
      <c r="AD499" s="188">
        <v>1</v>
      </c>
      <c r="AE499" s="188">
        <v>0</v>
      </c>
      <c r="AF499" s="191">
        <v>0.1</v>
      </c>
      <c r="AG499" s="183">
        <v>13</v>
      </c>
    </row>
    <row r="500" spans="1:41" ht="15" customHeight="1" x14ac:dyDescent="0.2">
      <c r="A500" s="141" t="s">
        <v>313</v>
      </c>
      <c r="B500" s="187" t="s">
        <v>1759</v>
      </c>
      <c r="C500" s="141">
        <v>2015</v>
      </c>
      <c r="D500" s="188">
        <v>63</v>
      </c>
      <c r="E500" s="135">
        <v>2366</v>
      </c>
      <c r="F500" s="192" t="s">
        <v>660</v>
      </c>
      <c r="G500" s="188">
        <v>0</v>
      </c>
      <c r="H500" s="188">
        <v>0</v>
      </c>
      <c r="I500" s="188">
        <v>0</v>
      </c>
      <c r="J500" s="188">
        <v>0</v>
      </c>
      <c r="K500" s="188">
        <v>0</v>
      </c>
      <c r="L500" s="188">
        <v>1</v>
      </c>
      <c r="M500" s="188">
        <v>1</v>
      </c>
      <c r="N500" s="188">
        <v>0</v>
      </c>
      <c r="O500" s="188">
        <v>0</v>
      </c>
      <c r="P500" s="188">
        <v>1</v>
      </c>
      <c r="Q500" s="188">
        <v>0</v>
      </c>
      <c r="R500" s="188">
        <v>0</v>
      </c>
      <c r="S500" s="188">
        <v>0</v>
      </c>
      <c r="T500" s="188">
        <v>0</v>
      </c>
      <c r="U500" s="188">
        <v>0</v>
      </c>
      <c r="V500" s="188">
        <v>0</v>
      </c>
      <c r="W500" s="188">
        <v>0</v>
      </c>
      <c r="X500" s="188">
        <v>0</v>
      </c>
      <c r="Y500" s="188">
        <v>0</v>
      </c>
      <c r="Z500" s="188">
        <v>0</v>
      </c>
      <c r="AA500" s="188">
        <v>0</v>
      </c>
      <c r="AB500" s="188">
        <v>0</v>
      </c>
      <c r="AC500" s="188">
        <v>0</v>
      </c>
      <c r="AD500" s="188">
        <v>0</v>
      </c>
      <c r="AE500" s="188">
        <v>0</v>
      </c>
      <c r="AF500" s="191">
        <v>0.1</v>
      </c>
      <c r="AG500" s="183">
        <v>3</v>
      </c>
    </row>
    <row r="501" spans="1:41" ht="15" customHeight="1" x14ac:dyDescent="0.2">
      <c r="A501" s="141" t="s">
        <v>313</v>
      </c>
      <c r="B501" s="187" t="s">
        <v>1759</v>
      </c>
      <c r="C501" s="141">
        <v>2015</v>
      </c>
      <c r="D501" s="188">
        <v>63</v>
      </c>
      <c r="E501" s="135" t="e">
        <v>#N/A</v>
      </c>
      <c r="F501" s="192" t="s">
        <v>1767</v>
      </c>
      <c r="G501" s="188">
        <v>1</v>
      </c>
      <c r="H501" s="188">
        <v>1</v>
      </c>
      <c r="I501" s="188">
        <v>0</v>
      </c>
      <c r="J501" s="188">
        <v>0</v>
      </c>
      <c r="K501" s="188">
        <v>1</v>
      </c>
      <c r="L501" s="188">
        <v>0</v>
      </c>
      <c r="M501" s="188">
        <v>0</v>
      </c>
      <c r="N501" s="188">
        <v>0</v>
      </c>
      <c r="O501" s="188">
        <v>0</v>
      </c>
      <c r="P501" s="188">
        <v>0</v>
      </c>
      <c r="Q501" s="188">
        <v>0</v>
      </c>
      <c r="R501" s="188">
        <v>0</v>
      </c>
      <c r="S501" s="188">
        <v>0</v>
      </c>
      <c r="T501" s="188">
        <v>0</v>
      </c>
      <c r="U501" s="188">
        <v>1</v>
      </c>
      <c r="V501" s="188">
        <v>0</v>
      </c>
      <c r="W501" s="188">
        <v>1</v>
      </c>
      <c r="X501" s="188">
        <v>1</v>
      </c>
      <c r="Y501" s="188">
        <v>1</v>
      </c>
      <c r="Z501" s="188">
        <v>0</v>
      </c>
      <c r="AA501" s="188">
        <v>0</v>
      </c>
      <c r="AB501" s="188">
        <v>1</v>
      </c>
      <c r="AC501" s="188">
        <v>1</v>
      </c>
      <c r="AD501" s="188">
        <v>0</v>
      </c>
      <c r="AE501" s="188">
        <v>0</v>
      </c>
      <c r="AF501" s="191">
        <v>0.1</v>
      </c>
      <c r="AG501" s="183">
        <v>9</v>
      </c>
      <c r="AH501" s="5" t="s">
        <v>1805</v>
      </c>
      <c r="AI501" s="5" t="s">
        <v>1657</v>
      </c>
      <c r="AJ501" s="5" t="s">
        <v>1659</v>
      </c>
      <c r="AL501" s="5" t="s">
        <v>1671</v>
      </c>
      <c r="AM501" s="5" t="s">
        <v>1432</v>
      </c>
      <c r="AN501" s="5" t="s">
        <v>1676</v>
      </c>
      <c r="AO501" s="5" t="s">
        <v>1676</v>
      </c>
    </row>
    <row r="502" spans="1:41" ht="15" customHeight="1" x14ac:dyDescent="0.2">
      <c r="A502" s="141" t="s">
        <v>313</v>
      </c>
      <c r="B502" s="187" t="s">
        <v>1759</v>
      </c>
      <c r="C502" s="141">
        <v>2015</v>
      </c>
      <c r="D502" s="188">
        <v>63</v>
      </c>
      <c r="E502" s="135">
        <v>541</v>
      </c>
      <c r="F502" s="192" t="s">
        <v>1313</v>
      </c>
      <c r="G502" s="188">
        <v>1</v>
      </c>
      <c r="H502" s="188">
        <v>1</v>
      </c>
      <c r="I502" s="188">
        <v>1</v>
      </c>
      <c r="J502" s="188">
        <v>1</v>
      </c>
      <c r="K502" s="188">
        <v>1</v>
      </c>
      <c r="L502" s="188">
        <v>1</v>
      </c>
      <c r="M502" s="188">
        <v>1</v>
      </c>
      <c r="N502" s="188">
        <v>1</v>
      </c>
      <c r="O502" s="188">
        <v>1</v>
      </c>
      <c r="P502" s="188">
        <v>1</v>
      </c>
      <c r="Q502" s="188">
        <v>1</v>
      </c>
      <c r="R502" s="188">
        <v>1</v>
      </c>
      <c r="S502" s="188">
        <v>1</v>
      </c>
      <c r="T502" s="188">
        <v>1</v>
      </c>
      <c r="U502" s="188">
        <v>1</v>
      </c>
      <c r="V502" s="188">
        <v>1</v>
      </c>
      <c r="W502" s="188">
        <v>1</v>
      </c>
      <c r="X502" s="188">
        <v>1</v>
      </c>
      <c r="Y502" s="188">
        <v>1</v>
      </c>
      <c r="Z502" s="188">
        <v>1</v>
      </c>
      <c r="AA502" s="188">
        <v>1</v>
      </c>
      <c r="AB502" s="188">
        <v>1</v>
      </c>
      <c r="AC502" s="188">
        <v>1</v>
      </c>
      <c r="AD502" s="188">
        <v>1</v>
      </c>
      <c r="AE502" s="188">
        <v>1</v>
      </c>
      <c r="AF502" s="191">
        <v>20</v>
      </c>
      <c r="AG502" s="183">
        <v>25</v>
      </c>
    </row>
    <row r="503" spans="1:41" ht="15" customHeight="1" x14ac:dyDescent="0.2">
      <c r="A503" s="141" t="s">
        <v>313</v>
      </c>
      <c r="B503" s="187" t="s">
        <v>1759</v>
      </c>
      <c r="C503" s="141">
        <v>2015</v>
      </c>
      <c r="D503" s="188">
        <v>63</v>
      </c>
      <c r="E503" s="135">
        <v>2695</v>
      </c>
      <c r="F503" s="192" t="s">
        <v>569</v>
      </c>
      <c r="G503" s="188">
        <v>0</v>
      </c>
      <c r="H503" s="188">
        <v>0</v>
      </c>
      <c r="I503" s="188">
        <v>0</v>
      </c>
      <c r="J503" s="188">
        <v>0</v>
      </c>
      <c r="K503" s="188">
        <v>0</v>
      </c>
      <c r="L503" s="188">
        <v>0</v>
      </c>
      <c r="M503" s="188">
        <v>0</v>
      </c>
      <c r="N503" s="188">
        <v>0</v>
      </c>
      <c r="O503" s="188">
        <v>0</v>
      </c>
      <c r="P503" s="188">
        <v>0</v>
      </c>
      <c r="Q503" s="188">
        <v>0</v>
      </c>
      <c r="R503" s="188">
        <v>0</v>
      </c>
      <c r="S503" s="188">
        <v>0</v>
      </c>
      <c r="T503" s="188">
        <v>0</v>
      </c>
      <c r="U503" s="188">
        <v>0</v>
      </c>
      <c r="V503" s="188">
        <v>0</v>
      </c>
      <c r="W503" s="188">
        <v>0</v>
      </c>
      <c r="X503" s="188">
        <v>0</v>
      </c>
      <c r="Y503" s="188">
        <v>1</v>
      </c>
      <c r="Z503" s="188">
        <v>0</v>
      </c>
      <c r="AA503" s="188">
        <v>0</v>
      </c>
      <c r="AB503" s="188">
        <v>0</v>
      </c>
      <c r="AC503" s="188">
        <v>0</v>
      </c>
      <c r="AD503" s="188">
        <v>0</v>
      </c>
      <c r="AE503" s="188">
        <v>0</v>
      </c>
      <c r="AF503" s="191">
        <v>0.1</v>
      </c>
      <c r="AG503" s="183">
        <v>1</v>
      </c>
    </row>
    <row r="504" spans="1:41" ht="15" customHeight="1" x14ac:dyDescent="0.2">
      <c r="A504" s="141" t="s">
        <v>313</v>
      </c>
      <c r="B504" s="187" t="s">
        <v>1759</v>
      </c>
      <c r="C504" s="141">
        <v>2015</v>
      </c>
      <c r="D504" s="141">
        <v>63</v>
      </c>
      <c r="E504" s="135" t="e">
        <v>#N/A</v>
      </c>
      <c r="F504" s="192" t="s">
        <v>1773</v>
      </c>
      <c r="G504" s="141">
        <v>0</v>
      </c>
      <c r="H504" s="141">
        <v>0</v>
      </c>
      <c r="I504" s="141">
        <v>0</v>
      </c>
      <c r="J504" s="141">
        <v>0</v>
      </c>
      <c r="K504" s="141">
        <v>0</v>
      </c>
      <c r="L504" s="141">
        <v>0</v>
      </c>
      <c r="M504" s="141">
        <v>0</v>
      </c>
      <c r="N504" s="141">
        <v>0</v>
      </c>
      <c r="O504" s="141">
        <v>0</v>
      </c>
      <c r="P504" s="141">
        <v>0</v>
      </c>
      <c r="Q504" s="141">
        <v>0</v>
      </c>
      <c r="R504" s="141">
        <v>0</v>
      </c>
      <c r="S504" s="141">
        <v>0</v>
      </c>
      <c r="T504" s="141">
        <v>0</v>
      </c>
      <c r="U504" s="141">
        <v>0</v>
      </c>
      <c r="V504" s="141">
        <v>1</v>
      </c>
      <c r="W504" s="141">
        <v>0</v>
      </c>
      <c r="X504" s="141">
        <v>0</v>
      </c>
      <c r="Y504" s="141">
        <v>0</v>
      </c>
      <c r="Z504" s="141">
        <v>0</v>
      </c>
      <c r="AA504" s="141">
        <v>0</v>
      </c>
      <c r="AB504" s="141">
        <v>0</v>
      </c>
      <c r="AC504" s="141">
        <v>0</v>
      </c>
      <c r="AD504" s="141">
        <v>0</v>
      </c>
      <c r="AE504" s="141">
        <v>0</v>
      </c>
      <c r="AF504" s="148">
        <v>0.1</v>
      </c>
      <c r="AG504" s="183">
        <v>1</v>
      </c>
      <c r="AH504" s="4"/>
      <c r="AL504" s="5" t="s">
        <v>1434</v>
      </c>
      <c r="AO504" s="5" t="s">
        <v>1434</v>
      </c>
    </row>
    <row r="505" spans="1:41" ht="15" customHeight="1" x14ac:dyDescent="0.2">
      <c r="A505" s="141" t="s">
        <v>313</v>
      </c>
      <c r="B505" s="187" t="s">
        <v>1759</v>
      </c>
      <c r="C505" s="141">
        <v>2015</v>
      </c>
      <c r="D505" s="188">
        <v>63</v>
      </c>
      <c r="E505" s="135">
        <v>2620</v>
      </c>
      <c r="F505" s="192" t="s">
        <v>605</v>
      </c>
      <c r="G505" s="188">
        <v>0</v>
      </c>
      <c r="H505" s="188">
        <v>0</v>
      </c>
      <c r="I505" s="188">
        <v>0</v>
      </c>
      <c r="J505" s="188">
        <v>0</v>
      </c>
      <c r="K505" s="188">
        <v>0</v>
      </c>
      <c r="L505" s="188">
        <v>1</v>
      </c>
      <c r="M505" s="188">
        <v>0</v>
      </c>
      <c r="N505" s="188">
        <v>0</v>
      </c>
      <c r="O505" s="188">
        <v>0</v>
      </c>
      <c r="P505" s="188">
        <v>1</v>
      </c>
      <c r="Q505" s="188">
        <v>0</v>
      </c>
      <c r="R505" s="188">
        <v>0</v>
      </c>
      <c r="S505" s="188">
        <v>0</v>
      </c>
      <c r="T505" s="188">
        <v>1</v>
      </c>
      <c r="U505" s="188">
        <v>1</v>
      </c>
      <c r="V505" s="188">
        <v>0</v>
      </c>
      <c r="W505" s="188">
        <v>1</v>
      </c>
      <c r="X505" s="188">
        <v>0</v>
      </c>
      <c r="Y505" s="188">
        <v>1</v>
      </c>
      <c r="Z505" s="188">
        <v>1</v>
      </c>
      <c r="AA505" s="188">
        <v>0</v>
      </c>
      <c r="AB505" s="188">
        <v>0</v>
      </c>
      <c r="AC505" s="188">
        <v>0</v>
      </c>
      <c r="AD505" s="188">
        <v>0</v>
      </c>
      <c r="AE505" s="188">
        <v>0</v>
      </c>
      <c r="AF505" s="191">
        <v>0.1</v>
      </c>
      <c r="AG505" s="183">
        <v>7</v>
      </c>
    </row>
    <row r="506" spans="1:41" ht="15" customHeight="1" x14ac:dyDescent="0.2">
      <c r="A506" s="141" t="s">
        <v>313</v>
      </c>
      <c r="B506" s="187" t="s">
        <v>1759</v>
      </c>
      <c r="C506" s="141">
        <v>2015</v>
      </c>
      <c r="D506" s="188">
        <v>63</v>
      </c>
      <c r="E506" s="135">
        <v>1894</v>
      </c>
      <c r="F506" s="192" t="s">
        <v>795</v>
      </c>
      <c r="G506" s="188">
        <v>0</v>
      </c>
      <c r="H506" s="188">
        <v>0</v>
      </c>
      <c r="I506" s="188">
        <v>0</v>
      </c>
      <c r="J506" s="188">
        <v>0</v>
      </c>
      <c r="K506" s="188">
        <v>0</v>
      </c>
      <c r="L506" s="188">
        <v>0</v>
      </c>
      <c r="M506" s="188">
        <v>0</v>
      </c>
      <c r="N506" s="188">
        <v>0</v>
      </c>
      <c r="O506" s="188">
        <v>0</v>
      </c>
      <c r="P506" s="188">
        <v>0</v>
      </c>
      <c r="Q506" s="188">
        <v>0</v>
      </c>
      <c r="R506" s="188">
        <v>0</v>
      </c>
      <c r="S506" s="188">
        <v>0</v>
      </c>
      <c r="T506" s="188">
        <v>0</v>
      </c>
      <c r="U506" s="188">
        <v>0</v>
      </c>
      <c r="V506" s="188">
        <v>0</v>
      </c>
      <c r="W506" s="188">
        <v>1</v>
      </c>
      <c r="X506" s="188">
        <v>0</v>
      </c>
      <c r="Y506" s="188">
        <v>0</v>
      </c>
      <c r="Z506" s="188">
        <v>0</v>
      </c>
      <c r="AA506" s="188">
        <v>0</v>
      </c>
      <c r="AB506" s="188">
        <v>0</v>
      </c>
      <c r="AC506" s="188">
        <v>0</v>
      </c>
      <c r="AD506" s="188">
        <v>0</v>
      </c>
      <c r="AE506" s="188">
        <v>0</v>
      </c>
      <c r="AF506" s="190">
        <v>0.1</v>
      </c>
      <c r="AG506" s="183">
        <v>1</v>
      </c>
    </row>
    <row r="507" spans="1:41" ht="15" customHeight="1" x14ac:dyDescent="0.2">
      <c r="A507" s="141" t="s">
        <v>313</v>
      </c>
      <c r="B507" s="187" t="s">
        <v>1759</v>
      </c>
      <c r="C507" s="141">
        <v>2015</v>
      </c>
      <c r="D507" s="141">
        <v>63</v>
      </c>
      <c r="E507" s="135" t="e">
        <v>#N/A</v>
      </c>
      <c r="F507" s="192" t="s">
        <v>1772</v>
      </c>
      <c r="G507" s="141">
        <v>1</v>
      </c>
      <c r="H507" s="141">
        <v>1</v>
      </c>
      <c r="I507" s="141">
        <v>1</v>
      </c>
      <c r="J507" s="141">
        <v>1</v>
      </c>
      <c r="K507" s="141">
        <v>1</v>
      </c>
      <c r="L507" s="141">
        <v>1</v>
      </c>
      <c r="M507" s="141">
        <v>1</v>
      </c>
      <c r="N507" s="141">
        <v>1</v>
      </c>
      <c r="O507" s="141">
        <v>1</v>
      </c>
      <c r="P507" s="141">
        <v>1</v>
      </c>
      <c r="Q507" s="141">
        <v>1</v>
      </c>
      <c r="R507" s="141">
        <v>1</v>
      </c>
      <c r="S507" s="141">
        <v>1</v>
      </c>
      <c r="T507" s="141">
        <v>1</v>
      </c>
      <c r="U507" s="141">
        <v>1</v>
      </c>
      <c r="V507" s="141">
        <v>1</v>
      </c>
      <c r="W507" s="141">
        <v>1</v>
      </c>
      <c r="X507" s="141">
        <v>1</v>
      </c>
      <c r="Y507" s="141">
        <v>0</v>
      </c>
      <c r="Z507" s="141">
        <v>0</v>
      </c>
      <c r="AA507" s="141">
        <v>0</v>
      </c>
      <c r="AB507" s="141">
        <v>1</v>
      </c>
      <c r="AC507" s="141">
        <v>1</v>
      </c>
      <c r="AD507" s="141">
        <v>0</v>
      </c>
      <c r="AE507" s="141">
        <v>1</v>
      </c>
      <c r="AF507" s="148">
        <v>20</v>
      </c>
      <c r="AG507" s="183">
        <v>21</v>
      </c>
      <c r="AH507" s="4"/>
      <c r="AL507" s="5" t="s">
        <v>1434</v>
      </c>
      <c r="AO507" s="5" t="s">
        <v>1434</v>
      </c>
    </row>
    <row r="508" spans="1:41" ht="15" customHeight="1" x14ac:dyDescent="0.2">
      <c r="A508" s="141" t="s">
        <v>313</v>
      </c>
      <c r="B508" s="187" t="s">
        <v>1759</v>
      </c>
      <c r="C508" s="141">
        <v>2015</v>
      </c>
      <c r="D508" s="188">
        <v>65</v>
      </c>
      <c r="E508" s="135">
        <v>278</v>
      </c>
      <c r="F508" s="192" t="s">
        <v>132</v>
      </c>
      <c r="G508" s="188">
        <v>1</v>
      </c>
      <c r="H508" s="188">
        <v>1</v>
      </c>
      <c r="I508" s="188">
        <v>1</v>
      </c>
      <c r="J508" s="188">
        <v>1</v>
      </c>
      <c r="K508" s="188">
        <v>1</v>
      </c>
      <c r="L508" s="188">
        <v>1</v>
      </c>
      <c r="M508" s="188">
        <v>1</v>
      </c>
      <c r="N508" s="188">
        <v>1</v>
      </c>
      <c r="O508" s="188">
        <v>1</v>
      </c>
      <c r="P508" s="188">
        <v>1</v>
      </c>
      <c r="Q508" s="188">
        <v>1</v>
      </c>
      <c r="R508" s="188">
        <v>1</v>
      </c>
      <c r="S508" s="188">
        <v>1</v>
      </c>
      <c r="T508" s="188">
        <v>1</v>
      </c>
      <c r="U508" s="188">
        <v>1</v>
      </c>
      <c r="V508" s="188">
        <v>1</v>
      </c>
      <c r="W508" s="188">
        <v>1</v>
      </c>
      <c r="X508" s="188">
        <v>1</v>
      </c>
      <c r="Y508" s="188">
        <v>1</v>
      </c>
      <c r="Z508" s="188">
        <v>1</v>
      </c>
      <c r="AA508" s="188">
        <v>1</v>
      </c>
      <c r="AB508" s="188">
        <v>1</v>
      </c>
      <c r="AC508" s="188">
        <v>1</v>
      </c>
      <c r="AD508" s="188">
        <v>1</v>
      </c>
      <c r="AE508" s="188">
        <v>1</v>
      </c>
      <c r="AF508" s="191">
        <v>60</v>
      </c>
      <c r="AG508" s="183">
        <v>25</v>
      </c>
    </row>
    <row r="509" spans="1:41" ht="15" customHeight="1" x14ac:dyDescent="0.2">
      <c r="A509" s="141" t="s">
        <v>313</v>
      </c>
      <c r="B509" s="187" t="s">
        <v>1759</v>
      </c>
      <c r="C509" s="141">
        <v>2015</v>
      </c>
      <c r="D509" s="188">
        <v>65</v>
      </c>
      <c r="E509" s="135">
        <v>1576</v>
      </c>
      <c r="F509" s="192" t="s">
        <v>882</v>
      </c>
      <c r="G509" s="188">
        <v>1</v>
      </c>
      <c r="H509" s="188">
        <v>1</v>
      </c>
      <c r="I509" s="188">
        <v>1</v>
      </c>
      <c r="J509" s="188">
        <v>1</v>
      </c>
      <c r="K509" s="188">
        <v>1</v>
      </c>
      <c r="L509" s="188">
        <v>1</v>
      </c>
      <c r="M509" s="188">
        <v>1</v>
      </c>
      <c r="N509" s="188">
        <v>1</v>
      </c>
      <c r="O509" s="188">
        <v>1</v>
      </c>
      <c r="P509" s="188">
        <v>1</v>
      </c>
      <c r="Q509" s="188">
        <v>1</v>
      </c>
      <c r="R509" s="188">
        <v>1</v>
      </c>
      <c r="S509" s="188">
        <v>1</v>
      </c>
      <c r="T509" s="188">
        <v>1</v>
      </c>
      <c r="U509" s="188">
        <v>1</v>
      </c>
      <c r="V509" s="188">
        <v>1</v>
      </c>
      <c r="W509" s="188">
        <v>1</v>
      </c>
      <c r="X509" s="188">
        <v>1</v>
      </c>
      <c r="Y509" s="188">
        <v>1</v>
      </c>
      <c r="Z509" s="188">
        <v>1</v>
      </c>
      <c r="AA509" s="188">
        <v>1</v>
      </c>
      <c r="AB509" s="188">
        <v>1</v>
      </c>
      <c r="AC509" s="188">
        <v>1</v>
      </c>
      <c r="AD509" s="188">
        <v>1</v>
      </c>
      <c r="AE509" s="188">
        <v>1</v>
      </c>
      <c r="AF509" s="191">
        <v>60</v>
      </c>
      <c r="AG509" s="183">
        <v>25</v>
      </c>
    </row>
    <row r="510" spans="1:41" ht="15" customHeight="1" x14ac:dyDescent="0.2">
      <c r="A510" s="141" t="s">
        <v>313</v>
      </c>
      <c r="B510" s="187" t="s">
        <v>1759</v>
      </c>
      <c r="C510" s="141">
        <v>2015</v>
      </c>
      <c r="D510" s="188">
        <v>65</v>
      </c>
      <c r="E510" s="135">
        <v>2694</v>
      </c>
      <c r="F510" s="192" t="s">
        <v>570</v>
      </c>
      <c r="G510" s="188">
        <v>0</v>
      </c>
      <c r="H510" s="188">
        <v>0</v>
      </c>
      <c r="I510" s="188">
        <v>0</v>
      </c>
      <c r="J510" s="188">
        <v>1</v>
      </c>
      <c r="K510" s="188">
        <v>1</v>
      </c>
      <c r="L510" s="188">
        <v>1</v>
      </c>
      <c r="M510" s="188">
        <v>0</v>
      </c>
      <c r="N510" s="188">
        <v>1</v>
      </c>
      <c r="O510" s="188">
        <v>1</v>
      </c>
      <c r="P510" s="188">
        <v>1</v>
      </c>
      <c r="Q510" s="188">
        <v>0</v>
      </c>
      <c r="R510" s="188">
        <v>1</v>
      </c>
      <c r="S510" s="188">
        <v>0</v>
      </c>
      <c r="T510" s="188">
        <v>1</v>
      </c>
      <c r="U510" s="188">
        <v>1</v>
      </c>
      <c r="V510" s="188">
        <v>0</v>
      </c>
      <c r="W510" s="188">
        <v>0</v>
      </c>
      <c r="X510" s="188">
        <v>1</v>
      </c>
      <c r="Y510" s="188">
        <v>1</v>
      </c>
      <c r="Z510" s="188">
        <v>1</v>
      </c>
      <c r="AA510" s="188">
        <v>1</v>
      </c>
      <c r="AB510" s="188">
        <v>1</v>
      </c>
      <c r="AC510" s="188">
        <v>1</v>
      </c>
      <c r="AD510" s="188">
        <v>1</v>
      </c>
      <c r="AE510" s="188">
        <v>1</v>
      </c>
      <c r="AF510" s="190">
        <v>0.1</v>
      </c>
      <c r="AG510" s="183">
        <v>17</v>
      </c>
      <c r="AH510" s="5" t="s">
        <v>1854</v>
      </c>
      <c r="AI510" s="5" t="s">
        <v>1655</v>
      </c>
      <c r="AL510" s="5" t="s">
        <v>1668</v>
      </c>
      <c r="AM510" s="5" t="s">
        <v>1672</v>
      </c>
      <c r="AO510" s="5" t="s">
        <v>1672</v>
      </c>
    </row>
    <row r="511" spans="1:41" ht="15" customHeight="1" x14ac:dyDescent="0.2">
      <c r="A511" s="141" t="s">
        <v>313</v>
      </c>
      <c r="B511" s="187" t="s">
        <v>1759</v>
      </c>
      <c r="C511" s="141">
        <v>2015</v>
      </c>
      <c r="D511" s="188">
        <v>65</v>
      </c>
      <c r="E511" s="135">
        <v>2366</v>
      </c>
      <c r="F511" s="192" t="s">
        <v>660</v>
      </c>
      <c r="G511" s="188">
        <v>0</v>
      </c>
      <c r="H511" s="188">
        <v>1</v>
      </c>
      <c r="I511" s="188">
        <v>0</v>
      </c>
      <c r="J511" s="188">
        <v>0</v>
      </c>
      <c r="K511" s="188">
        <v>1</v>
      </c>
      <c r="L511" s="188">
        <v>0</v>
      </c>
      <c r="M511" s="188">
        <v>1</v>
      </c>
      <c r="N511" s="188">
        <v>0</v>
      </c>
      <c r="O511" s="188">
        <v>0</v>
      </c>
      <c r="P511" s="188">
        <v>1</v>
      </c>
      <c r="Q511" s="188">
        <v>0</v>
      </c>
      <c r="R511" s="188">
        <v>1</v>
      </c>
      <c r="S511" s="188">
        <v>0</v>
      </c>
      <c r="T511" s="188">
        <v>1</v>
      </c>
      <c r="U511" s="188">
        <v>1</v>
      </c>
      <c r="V511" s="188">
        <v>0</v>
      </c>
      <c r="W511" s="188">
        <v>0</v>
      </c>
      <c r="X511" s="188">
        <v>0</v>
      </c>
      <c r="Y511" s="188">
        <v>0</v>
      </c>
      <c r="Z511" s="188">
        <v>1</v>
      </c>
      <c r="AA511" s="188">
        <v>0</v>
      </c>
      <c r="AB511" s="188">
        <v>0</v>
      </c>
      <c r="AC511" s="188">
        <v>1</v>
      </c>
      <c r="AD511" s="188">
        <v>0</v>
      </c>
      <c r="AE511" s="188">
        <v>0</v>
      </c>
      <c r="AF511" s="190">
        <v>0.1</v>
      </c>
      <c r="AG511" s="183">
        <v>9</v>
      </c>
      <c r="AI511" s="5" t="s">
        <v>1655</v>
      </c>
      <c r="AL511" s="5" t="s">
        <v>1668</v>
      </c>
      <c r="AO511" s="5" t="s">
        <v>1668</v>
      </c>
    </row>
    <row r="512" spans="1:41" ht="15" customHeight="1" x14ac:dyDescent="0.2">
      <c r="A512" s="141" t="s">
        <v>313</v>
      </c>
      <c r="B512" s="187" t="s">
        <v>1759</v>
      </c>
      <c r="C512" s="141">
        <v>2015</v>
      </c>
      <c r="D512" s="188">
        <v>65</v>
      </c>
      <c r="E512" s="135">
        <v>541</v>
      </c>
      <c r="F512" s="192" t="s">
        <v>1313</v>
      </c>
      <c r="G512" s="188">
        <v>1</v>
      </c>
      <c r="H512" s="188">
        <v>1</v>
      </c>
      <c r="I512" s="188">
        <v>1</v>
      </c>
      <c r="J512" s="188">
        <v>1</v>
      </c>
      <c r="K512" s="188">
        <v>1</v>
      </c>
      <c r="L512" s="188">
        <v>1</v>
      </c>
      <c r="M512" s="188">
        <v>1</v>
      </c>
      <c r="N512" s="188">
        <v>1</v>
      </c>
      <c r="O512" s="188">
        <v>1</v>
      </c>
      <c r="P512" s="188">
        <v>1</v>
      </c>
      <c r="Q512" s="188">
        <v>1</v>
      </c>
      <c r="R512" s="188">
        <v>1</v>
      </c>
      <c r="S512" s="188">
        <v>1</v>
      </c>
      <c r="T512" s="188">
        <v>1</v>
      </c>
      <c r="U512" s="188">
        <v>1</v>
      </c>
      <c r="V512" s="188">
        <v>1</v>
      </c>
      <c r="W512" s="188">
        <v>1</v>
      </c>
      <c r="X512" s="188">
        <v>1</v>
      </c>
      <c r="Y512" s="188">
        <v>1</v>
      </c>
      <c r="Z512" s="188">
        <v>1</v>
      </c>
      <c r="AA512" s="188">
        <v>1</v>
      </c>
      <c r="AB512" s="188">
        <v>1</v>
      </c>
      <c r="AC512" s="188">
        <v>1</v>
      </c>
      <c r="AD512" s="188">
        <v>1</v>
      </c>
      <c r="AE512" s="188">
        <v>1</v>
      </c>
      <c r="AF512" s="190">
        <v>15</v>
      </c>
      <c r="AG512" s="183">
        <v>25</v>
      </c>
    </row>
    <row r="513" spans="1:41" ht="15" customHeight="1" x14ac:dyDescent="0.2">
      <c r="A513" s="141" t="s">
        <v>313</v>
      </c>
      <c r="B513" s="187" t="s">
        <v>1759</v>
      </c>
      <c r="C513" s="141">
        <v>2015</v>
      </c>
      <c r="D513" s="188">
        <v>65</v>
      </c>
      <c r="E513" s="135">
        <v>2620</v>
      </c>
      <c r="F513" s="192" t="s">
        <v>605</v>
      </c>
      <c r="G513" s="188">
        <v>0</v>
      </c>
      <c r="H513" s="188">
        <v>0</v>
      </c>
      <c r="I513" s="188">
        <v>0</v>
      </c>
      <c r="J513" s="188">
        <v>0</v>
      </c>
      <c r="K513" s="188">
        <v>0</v>
      </c>
      <c r="L513" s="188">
        <v>0</v>
      </c>
      <c r="M513" s="188">
        <v>0</v>
      </c>
      <c r="N513" s="188">
        <v>0</v>
      </c>
      <c r="O513" s="188">
        <v>0</v>
      </c>
      <c r="P513" s="188">
        <v>0</v>
      </c>
      <c r="Q513" s="188">
        <v>0</v>
      </c>
      <c r="R513" s="188">
        <v>0</v>
      </c>
      <c r="S513" s="188">
        <v>0</v>
      </c>
      <c r="T513" s="188">
        <v>0</v>
      </c>
      <c r="U513" s="188">
        <v>0</v>
      </c>
      <c r="V513" s="188">
        <v>0</v>
      </c>
      <c r="W513" s="188">
        <v>1</v>
      </c>
      <c r="X513" s="188">
        <v>0</v>
      </c>
      <c r="Y513" s="188">
        <v>0</v>
      </c>
      <c r="Z513" s="188">
        <v>0</v>
      </c>
      <c r="AA513" s="188">
        <v>0</v>
      </c>
      <c r="AB513" s="188">
        <v>0</v>
      </c>
      <c r="AC513" s="188">
        <v>0</v>
      </c>
      <c r="AD513" s="188">
        <v>0</v>
      </c>
      <c r="AE513" s="188">
        <v>0</v>
      </c>
      <c r="AF513" s="190">
        <v>0.1</v>
      </c>
      <c r="AG513" s="183">
        <v>1</v>
      </c>
      <c r="AI513" s="5" t="s">
        <v>1655</v>
      </c>
      <c r="AL513" s="5" t="s">
        <v>1668</v>
      </c>
      <c r="AO513" s="5" t="s">
        <v>1668</v>
      </c>
    </row>
    <row r="514" spans="1:41" ht="15" customHeight="1" x14ac:dyDescent="0.2">
      <c r="A514" s="141" t="s">
        <v>313</v>
      </c>
      <c r="B514" s="187" t="s">
        <v>1759</v>
      </c>
      <c r="C514" s="141">
        <v>2015</v>
      </c>
      <c r="D514" s="188">
        <v>65</v>
      </c>
      <c r="E514" s="135">
        <v>1894</v>
      </c>
      <c r="F514" s="192" t="s">
        <v>795</v>
      </c>
      <c r="G514" s="188">
        <v>0</v>
      </c>
      <c r="H514" s="188">
        <v>0</v>
      </c>
      <c r="I514" s="188">
        <v>0</v>
      </c>
      <c r="J514" s="188">
        <v>1</v>
      </c>
      <c r="K514" s="188">
        <v>1</v>
      </c>
      <c r="L514" s="188">
        <v>0</v>
      </c>
      <c r="M514" s="188">
        <v>0</v>
      </c>
      <c r="N514" s="188">
        <v>0</v>
      </c>
      <c r="O514" s="188">
        <v>0</v>
      </c>
      <c r="P514" s="188">
        <v>1</v>
      </c>
      <c r="Q514" s="188">
        <v>1</v>
      </c>
      <c r="R514" s="188">
        <v>0</v>
      </c>
      <c r="S514" s="188">
        <v>0</v>
      </c>
      <c r="T514" s="188">
        <v>0</v>
      </c>
      <c r="U514" s="188">
        <v>0</v>
      </c>
      <c r="V514" s="188">
        <v>0</v>
      </c>
      <c r="W514" s="188">
        <v>0</v>
      </c>
      <c r="X514" s="188">
        <v>0</v>
      </c>
      <c r="Y514" s="188">
        <v>1</v>
      </c>
      <c r="Z514" s="188">
        <v>1</v>
      </c>
      <c r="AA514" s="188">
        <v>1</v>
      </c>
      <c r="AB514" s="188">
        <v>0</v>
      </c>
      <c r="AC514" s="188">
        <v>0</v>
      </c>
      <c r="AD514" s="188">
        <v>1</v>
      </c>
      <c r="AE514" s="188">
        <v>0</v>
      </c>
      <c r="AF514" s="191">
        <v>0.1</v>
      </c>
      <c r="AG514" s="183">
        <v>8</v>
      </c>
      <c r="AI514" s="5" t="s">
        <v>1655</v>
      </c>
      <c r="AL514" s="5" t="s">
        <v>1668</v>
      </c>
      <c r="AO514" s="5" t="s">
        <v>1668</v>
      </c>
    </row>
    <row r="515" spans="1:41" ht="15" customHeight="1" x14ac:dyDescent="0.2">
      <c r="A515" s="141" t="s">
        <v>313</v>
      </c>
      <c r="B515" s="187" t="s">
        <v>1759</v>
      </c>
      <c r="C515" s="141">
        <v>2015</v>
      </c>
      <c r="D515" s="141">
        <v>65</v>
      </c>
      <c r="E515" s="135" t="e">
        <v>#N/A</v>
      </c>
      <c r="F515" s="192" t="s">
        <v>1772</v>
      </c>
      <c r="G515" s="141">
        <v>0</v>
      </c>
      <c r="H515" s="141">
        <v>1</v>
      </c>
      <c r="I515" s="141">
        <v>1</v>
      </c>
      <c r="J515" s="141">
        <v>1</v>
      </c>
      <c r="K515" s="141">
        <v>1</v>
      </c>
      <c r="L515" s="141">
        <v>1</v>
      </c>
      <c r="M515" s="141">
        <v>1</v>
      </c>
      <c r="N515" s="141">
        <v>0</v>
      </c>
      <c r="O515" s="141">
        <v>1</v>
      </c>
      <c r="P515" s="141">
        <v>1</v>
      </c>
      <c r="Q515" s="141">
        <v>1</v>
      </c>
      <c r="R515" s="141">
        <v>1</v>
      </c>
      <c r="S515" s="141">
        <v>1</v>
      </c>
      <c r="T515" s="141">
        <v>1</v>
      </c>
      <c r="U515" s="141">
        <v>1</v>
      </c>
      <c r="V515" s="141">
        <v>1</v>
      </c>
      <c r="W515" s="141">
        <v>1</v>
      </c>
      <c r="X515" s="141">
        <v>1</v>
      </c>
      <c r="Y515" s="141">
        <v>1</v>
      </c>
      <c r="Z515" s="141">
        <v>1</v>
      </c>
      <c r="AA515" s="141">
        <v>1</v>
      </c>
      <c r="AB515" s="141">
        <v>1</v>
      </c>
      <c r="AC515" s="141">
        <v>1</v>
      </c>
      <c r="AD515" s="141">
        <v>1</v>
      </c>
      <c r="AE515" s="141">
        <v>1</v>
      </c>
      <c r="AF515" s="148">
        <v>25</v>
      </c>
      <c r="AG515" s="183">
        <v>23</v>
      </c>
      <c r="AH515" s="4"/>
      <c r="AL515" s="5" t="s">
        <v>1434</v>
      </c>
      <c r="AO515" s="5" t="s">
        <v>1434</v>
      </c>
    </row>
    <row r="516" spans="1:41" ht="15" customHeight="1" x14ac:dyDescent="0.2">
      <c r="A516" s="141" t="s">
        <v>313</v>
      </c>
      <c r="B516" s="187" t="s">
        <v>1759</v>
      </c>
      <c r="C516" s="141">
        <v>2015</v>
      </c>
      <c r="D516" s="188">
        <v>66</v>
      </c>
      <c r="E516" s="135">
        <v>278</v>
      </c>
      <c r="F516" s="192" t="s">
        <v>132</v>
      </c>
      <c r="G516" s="188">
        <v>1</v>
      </c>
      <c r="H516" s="188">
        <v>1</v>
      </c>
      <c r="I516" s="188">
        <v>1</v>
      </c>
      <c r="J516" s="188">
        <v>1</v>
      </c>
      <c r="K516" s="188">
        <v>1</v>
      </c>
      <c r="L516" s="188">
        <v>0</v>
      </c>
      <c r="M516" s="188">
        <v>0</v>
      </c>
      <c r="N516" s="188">
        <v>1</v>
      </c>
      <c r="O516" s="188">
        <v>0</v>
      </c>
      <c r="P516" s="188">
        <v>0</v>
      </c>
      <c r="Q516" s="188">
        <v>1</v>
      </c>
      <c r="R516" s="188">
        <v>1</v>
      </c>
      <c r="S516" s="188">
        <v>0</v>
      </c>
      <c r="T516" s="188">
        <v>1</v>
      </c>
      <c r="U516" s="188">
        <v>0</v>
      </c>
      <c r="V516" s="188">
        <v>1</v>
      </c>
      <c r="W516" s="188">
        <v>0</v>
      </c>
      <c r="X516" s="188">
        <v>1</v>
      </c>
      <c r="Y516" s="188">
        <v>1</v>
      </c>
      <c r="Z516" s="188">
        <v>0</v>
      </c>
      <c r="AA516" s="188">
        <v>1</v>
      </c>
      <c r="AB516" s="188">
        <v>1</v>
      </c>
      <c r="AC516" s="188">
        <v>1</v>
      </c>
      <c r="AD516" s="188">
        <v>1</v>
      </c>
      <c r="AE516" s="188">
        <v>1</v>
      </c>
      <c r="AF516" s="191">
        <v>12</v>
      </c>
      <c r="AG516" s="183">
        <v>17</v>
      </c>
    </row>
    <row r="517" spans="1:41" ht="15" customHeight="1" x14ac:dyDescent="0.2">
      <c r="A517" s="141" t="s">
        <v>313</v>
      </c>
      <c r="B517" s="187" t="s">
        <v>1759</v>
      </c>
      <c r="C517" s="141">
        <v>2015</v>
      </c>
      <c r="D517" s="188">
        <v>66</v>
      </c>
      <c r="E517" s="135">
        <v>1576</v>
      </c>
      <c r="F517" s="192" t="s">
        <v>882</v>
      </c>
      <c r="G517" s="188">
        <v>0</v>
      </c>
      <c r="H517" s="188">
        <v>0</v>
      </c>
      <c r="I517" s="188">
        <v>0</v>
      </c>
      <c r="J517" s="188">
        <v>1</v>
      </c>
      <c r="K517" s="188">
        <v>1</v>
      </c>
      <c r="L517" s="188">
        <v>1</v>
      </c>
      <c r="M517" s="188">
        <v>1</v>
      </c>
      <c r="N517" s="188">
        <v>1</v>
      </c>
      <c r="O517" s="188">
        <v>1</v>
      </c>
      <c r="P517" s="188">
        <v>1</v>
      </c>
      <c r="Q517" s="188">
        <v>1</v>
      </c>
      <c r="R517" s="188">
        <v>1</v>
      </c>
      <c r="S517" s="188">
        <v>1</v>
      </c>
      <c r="T517" s="188">
        <v>1</v>
      </c>
      <c r="U517" s="188">
        <v>1</v>
      </c>
      <c r="V517" s="188">
        <v>1</v>
      </c>
      <c r="W517" s="188">
        <v>1</v>
      </c>
      <c r="X517" s="188">
        <v>1</v>
      </c>
      <c r="Y517" s="188">
        <v>0</v>
      </c>
      <c r="Z517" s="188">
        <v>1</v>
      </c>
      <c r="AA517" s="188">
        <v>1</v>
      </c>
      <c r="AB517" s="188">
        <v>1</v>
      </c>
      <c r="AC517" s="188">
        <v>1</v>
      </c>
      <c r="AD517" s="188">
        <v>1</v>
      </c>
      <c r="AE517" s="188">
        <v>1</v>
      </c>
      <c r="AF517" s="190">
        <v>60</v>
      </c>
      <c r="AG517" s="183">
        <v>21</v>
      </c>
    </row>
    <row r="518" spans="1:41" ht="15" customHeight="1" x14ac:dyDescent="0.2">
      <c r="A518" s="141" t="s">
        <v>313</v>
      </c>
      <c r="B518" s="187" t="s">
        <v>1759</v>
      </c>
      <c r="C518" s="141">
        <v>2015</v>
      </c>
      <c r="D518" s="188">
        <v>66</v>
      </c>
      <c r="E518" s="135">
        <v>6003</v>
      </c>
      <c r="F518" s="192" t="s">
        <v>288</v>
      </c>
      <c r="G518" s="188">
        <v>0</v>
      </c>
      <c r="H518" s="188">
        <v>0</v>
      </c>
      <c r="I518" s="188">
        <v>0</v>
      </c>
      <c r="J518" s="188">
        <v>0</v>
      </c>
      <c r="K518" s="188">
        <v>0</v>
      </c>
      <c r="L518" s="188">
        <v>0</v>
      </c>
      <c r="M518" s="188">
        <v>0</v>
      </c>
      <c r="N518" s="188">
        <v>0</v>
      </c>
      <c r="O518" s="188">
        <v>0</v>
      </c>
      <c r="P518" s="188">
        <v>1</v>
      </c>
      <c r="Q518" s="188">
        <v>0</v>
      </c>
      <c r="R518" s="188">
        <v>0</v>
      </c>
      <c r="S518" s="188">
        <v>0</v>
      </c>
      <c r="T518" s="188">
        <v>0</v>
      </c>
      <c r="U518" s="188">
        <v>0</v>
      </c>
      <c r="V518" s="188">
        <v>0</v>
      </c>
      <c r="W518" s="188">
        <v>0</v>
      </c>
      <c r="X518" s="188">
        <v>0</v>
      </c>
      <c r="Y518" s="188">
        <v>0</v>
      </c>
      <c r="Z518" s="188">
        <v>0</v>
      </c>
      <c r="AA518" s="188">
        <v>1</v>
      </c>
      <c r="AB518" s="188">
        <v>0</v>
      </c>
      <c r="AC518" s="188">
        <v>0</v>
      </c>
      <c r="AD518" s="188">
        <v>0</v>
      </c>
      <c r="AE518" s="188">
        <v>0</v>
      </c>
      <c r="AF518" s="191">
        <v>0.1</v>
      </c>
      <c r="AG518" s="183">
        <v>2</v>
      </c>
    </row>
    <row r="519" spans="1:41" ht="15" customHeight="1" x14ac:dyDescent="0.2">
      <c r="A519" s="141" t="s">
        <v>313</v>
      </c>
      <c r="B519" s="187" t="s">
        <v>1759</v>
      </c>
      <c r="C519" s="141">
        <v>2015</v>
      </c>
      <c r="D519" s="188">
        <v>66</v>
      </c>
      <c r="E519" s="135">
        <v>2359</v>
      </c>
      <c r="F519" s="192" t="s">
        <v>665</v>
      </c>
      <c r="G519" s="188">
        <v>0</v>
      </c>
      <c r="H519" s="188">
        <v>0</v>
      </c>
      <c r="I519" s="188">
        <v>0</v>
      </c>
      <c r="J519" s="188">
        <v>1</v>
      </c>
      <c r="K519" s="188">
        <v>1</v>
      </c>
      <c r="L519" s="188">
        <v>1</v>
      </c>
      <c r="M519" s="188">
        <v>1</v>
      </c>
      <c r="N519" s="188">
        <v>1</v>
      </c>
      <c r="O519" s="188">
        <v>0</v>
      </c>
      <c r="P519" s="188">
        <v>1</v>
      </c>
      <c r="Q519" s="188">
        <v>1</v>
      </c>
      <c r="R519" s="188">
        <v>1</v>
      </c>
      <c r="S519" s="188">
        <v>1</v>
      </c>
      <c r="T519" s="188">
        <v>0</v>
      </c>
      <c r="U519" s="188">
        <v>1</v>
      </c>
      <c r="V519" s="188">
        <v>1</v>
      </c>
      <c r="W519" s="188">
        <v>1</v>
      </c>
      <c r="X519" s="188">
        <v>1</v>
      </c>
      <c r="Y519" s="188">
        <v>1</v>
      </c>
      <c r="Z519" s="188">
        <v>0</v>
      </c>
      <c r="AA519" s="188">
        <v>1</v>
      </c>
      <c r="AB519" s="188">
        <v>1</v>
      </c>
      <c r="AC519" s="188">
        <v>1</v>
      </c>
      <c r="AD519" s="188">
        <v>1</v>
      </c>
      <c r="AE519" s="188">
        <v>1</v>
      </c>
      <c r="AF519" s="191">
        <v>1</v>
      </c>
      <c r="AG519" s="183">
        <v>19</v>
      </c>
    </row>
    <row r="520" spans="1:41" ht="15" customHeight="1" x14ac:dyDescent="0.2">
      <c r="A520" s="141" t="s">
        <v>313</v>
      </c>
      <c r="B520" s="187" t="s">
        <v>1759</v>
      </c>
      <c r="C520" s="141">
        <v>2015</v>
      </c>
      <c r="D520" s="188">
        <v>66</v>
      </c>
      <c r="E520" s="135">
        <v>2360</v>
      </c>
      <c r="F520" s="192" t="s">
        <v>664</v>
      </c>
      <c r="G520" s="188">
        <v>0</v>
      </c>
      <c r="H520" s="188">
        <v>0</v>
      </c>
      <c r="I520" s="188">
        <v>0</v>
      </c>
      <c r="J520" s="188">
        <v>0</v>
      </c>
      <c r="K520" s="188">
        <v>0</v>
      </c>
      <c r="L520" s="188">
        <v>1</v>
      </c>
      <c r="M520" s="188">
        <v>0</v>
      </c>
      <c r="N520" s="188">
        <v>0</v>
      </c>
      <c r="O520" s="188">
        <v>0</v>
      </c>
      <c r="P520" s="188">
        <v>0</v>
      </c>
      <c r="Q520" s="188">
        <v>0</v>
      </c>
      <c r="R520" s="188">
        <v>0</v>
      </c>
      <c r="S520" s="188">
        <v>1</v>
      </c>
      <c r="T520" s="188">
        <v>0</v>
      </c>
      <c r="U520" s="188">
        <v>0</v>
      </c>
      <c r="V520" s="188">
        <v>0</v>
      </c>
      <c r="W520" s="188">
        <v>0</v>
      </c>
      <c r="X520" s="188">
        <v>0</v>
      </c>
      <c r="Y520" s="188">
        <v>0</v>
      </c>
      <c r="Z520" s="188">
        <v>0</v>
      </c>
      <c r="AA520" s="188">
        <v>0</v>
      </c>
      <c r="AB520" s="188">
        <v>0</v>
      </c>
      <c r="AC520" s="188">
        <v>0</v>
      </c>
      <c r="AD520" s="188">
        <v>0</v>
      </c>
      <c r="AE520" s="188">
        <v>0</v>
      </c>
      <c r="AF520" s="191">
        <v>0.1</v>
      </c>
      <c r="AG520" s="183">
        <v>2</v>
      </c>
    </row>
    <row r="521" spans="1:41" ht="15" customHeight="1" x14ac:dyDescent="0.2">
      <c r="A521" s="141" t="s">
        <v>313</v>
      </c>
      <c r="B521" s="187" t="s">
        <v>1759</v>
      </c>
      <c r="C521" s="141">
        <v>2015</v>
      </c>
      <c r="D521" s="188">
        <v>66</v>
      </c>
      <c r="E521" s="135">
        <v>2362</v>
      </c>
      <c r="F521" s="192" t="s">
        <v>663</v>
      </c>
      <c r="G521" s="188">
        <v>0</v>
      </c>
      <c r="H521" s="188">
        <v>0</v>
      </c>
      <c r="I521" s="188">
        <v>0</v>
      </c>
      <c r="J521" s="188">
        <v>1</v>
      </c>
      <c r="K521" s="188">
        <v>1</v>
      </c>
      <c r="L521" s="188">
        <v>1</v>
      </c>
      <c r="M521" s="188">
        <v>1</v>
      </c>
      <c r="N521" s="188">
        <v>0</v>
      </c>
      <c r="O521" s="188">
        <v>1</v>
      </c>
      <c r="P521" s="188">
        <v>1</v>
      </c>
      <c r="Q521" s="188">
        <v>1</v>
      </c>
      <c r="R521" s="188">
        <v>1</v>
      </c>
      <c r="S521" s="188">
        <v>1</v>
      </c>
      <c r="T521" s="188">
        <v>1</v>
      </c>
      <c r="U521" s="188">
        <v>1</v>
      </c>
      <c r="V521" s="188">
        <v>1</v>
      </c>
      <c r="W521" s="188">
        <v>1</v>
      </c>
      <c r="X521" s="188">
        <v>0</v>
      </c>
      <c r="Y521" s="188">
        <v>0</v>
      </c>
      <c r="Z521" s="188">
        <v>0</v>
      </c>
      <c r="AA521" s="188">
        <v>1</v>
      </c>
      <c r="AB521" s="188">
        <v>1</v>
      </c>
      <c r="AC521" s="188">
        <v>0</v>
      </c>
      <c r="AD521" s="188">
        <v>0</v>
      </c>
      <c r="AE521" s="188">
        <v>1</v>
      </c>
      <c r="AF521" s="191">
        <v>0.1</v>
      </c>
      <c r="AG521" s="183">
        <v>16</v>
      </c>
      <c r="AH521" s="5" t="s">
        <v>1807</v>
      </c>
      <c r="AI521" s="5" t="s">
        <v>1659</v>
      </c>
      <c r="AL521" s="5" t="s">
        <v>1432</v>
      </c>
      <c r="AM521" s="5" t="s">
        <v>1671</v>
      </c>
      <c r="AN521" s="5" t="s">
        <v>1676</v>
      </c>
      <c r="AO521" s="5" t="s">
        <v>1676</v>
      </c>
    </row>
    <row r="522" spans="1:41" ht="15" customHeight="1" x14ac:dyDescent="0.2">
      <c r="A522" s="141" t="s">
        <v>313</v>
      </c>
      <c r="B522" s="187" t="s">
        <v>1759</v>
      </c>
      <c r="C522" s="141">
        <v>2015</v>
      </c>
      <c r="D522" s="188">
        <v>66</v>
      </c>
      <c r="E522" s="135">
        <v>2366</v>
      </c>
      <c r="F522" s="192" t="s">
        <v>660</v>
      </c>
      <c r="G522" s="188">
        <v>0</v>
      </c>
      <c r="H522" s="188">
        <v>0</v>
      </c>
      <c r="I522" s="188">
        <v>0</v>
      </c>
      <c r="J522" s="188">
        <v>0</v>
      </c>
      <c r="K522" s="188">
        <v>0</v>
      </c>
      <c r="L522" s="188">
        <v>0</v>
      </c>
      <c r="M522" s="188">
        <v>0</v>
      </c>
      <c r="N522" s="188">
        <v>0</v>
      </c>
      <c r="O522" s="188">
        <v>0</v>
      </c>
      <c r="P522" s="188">
        <v>1</v>
      </c>
      <c r="Q522" s="188">
        <v>0</v>
      </c>
      <c r="R522" s="188">
        <v>0</v>
      </c>
      <c r="S522" s="188">
        <v>0</v>
      </c>
      <c r="T522" s="188">
        <v>0</v>
      </c>
      <c r="U522" s="188">
        <v>0</v>
      </c>
      <c r="V522" s="188">
        <v>0</v>
      </c>
      <c r="W522" s="188">
        <v>0</v>
      </c>
      <c r="X522" s="188">
        <v>0</v>
      </c>
      <c r="Y522" s="188">
        <v>0</v>
      </c>
      <c r="Z522" s="188">
        <v>0</v>
      </c>
      <c r="AA522" s="188">
        <v>0</v>
      </c>
      <c r="AB522" s="188">
        <v>0</v>
      </c>
      <c r="AC522" s="188">
        <v>0</v>
      </c>
      <c r="AD522" s="188">
        <v>0</v>
      </c>
      <c r="AE522" s="188">
        <v>0</v>
      </c>
      <c r="AF522" s="191">
        <v>0.1</v>
      </c>
      <c r="AG522" s="183">
        <v>1</v>
      </c>
    </row>
    <row r="523" spans="1:41" ht="15" customHeight="1" x14ac:dyDescent="0.2">
      <c r="A523" s="141" t="s">
        <v>313</v>
      </c>
      <c r="B523" s="187" t="s">
        <v>1759</v>
      </c>
      <c r="C523" s="141">
        <v>2015</v>
      </c>
      <c r="D523" s="188">
        <v>66</v>
      </c>
      <c r="E523" s="135">
        <v>2383</v>
      </c>
      <c r="F523" s="192" t="s">
        <v>649</v>
      </c>
      <c r="G523" s="188">
        <v>0</v>
      </c>
      <c r="H523" s="188">
        <v>0</v>
      </c>
      <c r="I523" s="188">
        <v>0</v>
      </c>
      <c r="J523" s="188">
        <v>0</v>
      </c>
      <c r="K523" s="188">
        <v>0</v>
      </c>
      <c r="L523" s="188">
        <v>1</v>
      </c>
      <c r="M523" s="188">
        <v>0</v>
      </c>
      <c r="N523" s="188">
        <v>0</v>
      </c>
      <c r="O523" s="188">
        <v>1</v>
      </c>
      <c r="P523" s="188">
        <v>1</v>
      </c>
      <c r="Q523" s="188">
        <v>1</v>
      </c>
      <c r="R523" s="188">
        <v>1</v>
      </c>
      <c r="S523" s="188">
        <v>1</v>
      </c>
      <c r="T523" s="188">
        <v>1</v>
      </c>
      <c r="U523" s="188">
        <v>0</v>
      </c>
      <c r="V523" s="188">
        <v>1</v>
      </c>
      <c r="W523" s="188">
        <v>0</v>
      </c>
      <c r="X523" s="188">
        <v>1</v>
      </c>
      <c r="Y523" s="188">
        <v>0</v>
      </c>
      <c r="Z523" s="188">
        <v>0</v>
      </c>
      <c r="AA523" s="188">
        <v>1</v>
      </c>
      <c r="AB523" s="188">
        <v>1</v>
      </c>
      <c r="AC523" s="188">
        <v>1</v>
      </c>
      <c r="AD523" s="188">
        <v>0</v>
      </c>
      <c r="AE523" s="188">
        <v>1</v>
      </c>
      <c r="AF523" s="191">
        <v>0.1</v>
      </c>
      <c r="AG523" s="183">
        <v>13</v>
      </c>
    </row>
    <row r="524" spans="1:41" ht="15" customHeight="1" x14ac:dyDescent="0.2">
      <c r="A524" s="141" t="s">
        <v>313</v>
      </c>
      <c r="B524" s="187" t="s">
        <v>1759</v>
      </c>
      <c r="C524" s="141">
        <v>2015</v>
      </c>
      <c r="D524" s="188">
        <v>66</v>
      </c>
      <c r="E524" s="135">
        <v>2388</v>
      </c>
      <c r="F524" s="189" t="s">
        <v>646</v>
      </c>
      <c r="G524" s="188">
        <v>0</v>
      </c>
      <c r="H524" s="188">
        <v>0</v>
      </c>
      <c r="I524" s="188">
        <v>0</v>
      </c>
      <c r="J524" s="188">
        <v>1</v>
      </c>
      <c r="K524" s="188">
        <v>1</v>
      </c>
      <c r="L524" s="188">
        <v>1</v>
      </c>
      <c r="M524" s="188">
        <v>1</v>
      </c>
      <c r="N524" s="188">
        <v>1</v>
      </c>
      <c r="O524" s="188">
        <v>0</v>
      </c>
      <c r="P524" s="188">
        <v>1</v>
      </c>
      <c r="Q524" s="188">
        <v>1</v>
      </c>
      <c r="R524" s="188">
        <v>1</v>
      </c>
      <c r="S524" s="188">
        <v>1</v>
      </c>
      <c r="T524" s="188">
        <v>1</v>
      </c>
      <c r="U524" s="188">
        <v>0</v>
      </c>
      <c r="V524" s="188">
        <v>1</v>
      </c>
      <c r="W524" s="188">
        <v>1</v>
      </c>
      <c r="X524" s="188">
        <v>1</v>
      </c>
      <c r="Y524" s="188">
        <v>0</v>
      </c>
      <c r="Z524" s="188">
        <v>0</v>
      </c>
      <c r="AA524" s="188">
        <v>1</v>
      </c>
      <c r="AB524" s="188">
        <v>1</v>
      </c>
      <c r="AC524" s="188">
        <v>1</v>
      </c>
      <c r="AD524" s="188">
        <v>1</v>
      </c>
      <c r="AE524" s="188">
        <v>0</v>
      </c>
      <c r="AF524" s="190">
        <v>0.1</v>
      </c>
      <c r="AG524" s="183">
        <v>17</v>
      </c>
      <c r="AH524" s="5" t="s">
        <v>1808</v>
      </c>
      <c r="AI524" s="5" t="s">
        <v>1659</v>
      </c>
      <c r="AL524" s="5" t="s">
        <v>1432</v>
      </c>
      <c r="AM524" s="5" t="s">
        <v>1671</v>
      </c>
      <c r="AN524" s="5" t="s">
        <v>1676</v>
      </c>
      <c r="AO524" s="5" t="s">
        <v>1676</v>
      </c>
    </row>
    <row r="525" spans="1:41" ht="15" customHeight="1" x14ac:dyDescent="0.2">
      <c r="A525" s="141" t="s">
        <v>313</v>
      </c>
      <c r="B525" s="187" t="s">
        <v>1759</v>
      </c>
      <c r="C525" s="141">
        <v>2015</v>
      </c>
      <c r="D525" s="188">
        <v>66</v>
      </c>
      <c r="E525" s="135">
        <v>478</v>
      </c>
      <c r="F525" s="192" t="s">
        <v>24</v>
      </c>
      <c r="G525" s="188">
        <v>1</v>
      </c>
      <c r="H525" s="188">
        <v>1</v>
      </c>
      <c r="I525" s="188">
        <v>0</v>
      </c>
      <c r="J525" s="188">
        <v>1</v>
      </c>
      <c r="K525" s="188">
        <v>0</v>
      </c>
      <c r="L525" s="188">
        <v>1</v>
      </c>
      <c r="M525" s="188">
        <v>1</v>
      </c>
      <c r="N525" s="188">
        <v>1</v>
      </c>
      <c r="O525" s="188">
        <v>1</v>
      </c>
      <c r="P525" s="188">
        <v>1</v>
      </c>
      <c r="Q525" s="188">
        <v>1</v>
      </c>
      <c r="R525" s="188">
        <v>1</v>
      </c>
      <c r="S525" s="188">
        <v>1</v>
      </c>
      <c r="T525" s="188">
        <v>1</v>
      </c>
      <c r="U525" s="188">
        <v>0</v>
      </c>
      <c r="V525" s="188">
        <v>1</v>
      </c>
      <c r="W525" s="188">
        <v>1</v>
      </c>
      <c r="X525" s="188">
        <v>1</v>
      </c>
      <c r="Y525" s="188">
        <v>1</v>
      </c>
      <c r="Z525" s="188">
        <v>1</v>
      </c>
      <c r="AA525" s="188">
        <v>1</v>
      </c>
      <c r="AB525" s="188">
        <v>0</v>
      </c>
      <c r="AC525" s="188">
        <v>1</v>
      </c>
      <c r="AD525" s="188">
        <v>1</v>
      </c>
      <c r="AE525" s="188">
        <v>1</v>
      </c>
      <c r="AF525" s="191">
        <v>5</v>
      </c>
      <c r="AG525" s="183">
        <v>21</v>
      </c>
    </row>
    <row r="526" spans="1:41" ht="15" customHeight="1" x14ac:dyDescent="0.2">
      <c r="A526" s="141" t="s">
        <v>313</v>
      </c>
      <c r="B526" s="187" t="s">
        <v>1759</v>
      </c>
      <c r="C526" s="141">
        <v>2015</v>
      </c>
      <c r="D526" s="188">
        <v>66</v>
      </c>
      <c r="E526" s="135">
        <v>541</v>
      </c>
      <c r="F526" s="192" t="s">
        <v>1313</v>
      </c>
      <c r="G526" s="188">
        <v>0</v>
      </c>
      <c r="H526" s="188">
        <v>1</v>
      </c>
      <c r="I526" s="188">
        <v>1</v>
      </c>
      <c r="J526" s="188">
        <v>1</v>
      </c>
      <c r="K526" s="188">
        <v>0</v>
      </c>
      <c r="L526" s="188">
        <v>1</v>
      </c>
      <c r="M526" s="188">
        <v>1</v>
      </c>
      <c r="N526" s="188">
        <v>0</v>
      </c>
      <c r="O526" s="188">
        <v>1</v>
      </c>
      <c r="P526" s="188">
        <v>0</v>
      </c>
      <c r="Q526" s="188">
        <v>1</v>
      </c>
      <c r="R526" s="188">
        <v>1</v>
      </c>
      <c r="S526" s="188">
        <v>0</v>
      </c>
      <c r="T526" s="188">
        <v>1</v>
      </c>
      <c r="U526" s="188">
        <v>0</v>
      </c>
      <c r="V526" s="188">
        <v>1</v>
      </c>
      <c r="W526" s="188">
        <v>1</v>
      </c>
      <c r="X526" s="188">
        <v>1</v>
      </c>
      <c r="Y526" s="188">
        <v>1</v>
      </c>
      <c r="Z526" s="188">
        <v>1</v>
      </c>
      <c r="AA526" s="188">
        <v>1</v>
      </c>
      <c r="AB526" s="188">
        <v>1</v>
      </c>
      <c r="AC526" s="188">
        <v>1</v>
      </c>
      <c r="AD526" s="188">
        <v>1</v>
      </c>
      <c r="AE526" s="188">
        <v>1</v>
      </c>
      <c r="AF526" s="191">
        <v>15</v>
      </c>
      <c r="AG526" s="183">
        <v>19</v>
      </c>
    </row>
    <row r="527" spans="1:41" ht="15" customHeight="1" x14ac:dyDescent="0.2">
      <c r="A527" s="141" t="s">
        <v>313</v>
      </c>
      <c r="B527" s="187" t="s">
        <v>1759</v>
      </c>
      <c r="C527" s="141">
        <v>2015</v>
      </c>
      <c r="D527" s="141">
        <v>66</v>
      </c>
      <c r="E527" s="135" t="e">
        <v>#N/A</v>
      </c>
      <c r="F527" s="192" t="s">
        <v>1773</v>
      </c>
      <c r="G527" s="141">
        <v>0</v>
      </c>
      <c r="H527" s="141">
        <v>0</v>
      </c>
      <c r="I527" s="141">
        <v>0</v>
      </c>
      <c r="J527" s="141">
        <v>0</v>
      </c>
      <c r="K527" s="141">
        <v>0</v>
      </c>
      <c r="L527" s="141">
        <v>0</v>
      </c>
      <c r="M527" s="141">
        <v>0</v>
      </c>
      <c r="N527" s="141">
        <v>0</v>
      </c>
      <c r="O527" s="141">
        <v>0</v>
      </c>
      <c r="P527" s="141">
        <v>0</v>
      </c>
      <c r="Q527" s="141">
        <v>0</v>
      </c>
      <c r="R527" s="141">
        <v>0</v>
      </c>
      <c r="S527" s="141">
        <v>0</v>
      </c>
      <c r="T527" s="141">
        <v>0</v>
      </c>
      <c r="U527" s="141">
        <v>0</v>
      </c>
      <c r="V527" s="141">
        <v>0</v>
      </c>
      <c r="W527" s="141">
        <v>1</v>
      </c>
      <c r="X527" s="141">
        <v>0</v>
      </c>
      <c r="Y527" s="141">
        <v>0</v>
      </c>
      <c r="Z527" s="141">
        <v>0</v>
      </c>
      <c r="AA527" s="141">
        <v>0</v>
      </c>
      <c r="AB527" s="141">
        <v>0</v>
      </c>
      <c r="AC527" s="141">
        <v>0</v>
      </c>
      <c r="AD527" s="141">
        <v>0</v>
      </c>
      <c r="AE527" s="141">
        <v>0</v>
      </c>
      <c r="AF527" s="148">
        <v>0.1</v>
      </c>
      <c r="AG527" s="183">
        <v>1</v>
      </c>
      <c r="AH527" s="4"/>
      <c r="AL527" s="5" t="s">
        <v>1434</v>
      </c>
      <c r="AO527" s="5" t="s">
        <v>1434</v>
      </c>
    </row>
    <row r="528" spans="1:41" ht="15" customHeight="1" x14ac:dyDescent="0.2">
      <c r="A528" s="141" t="s">
        <v>313</v>
      </c>
      <c r="B528" s="187" t="s">
        <v>1759</v>
      </c>
      <c r="C528" s="141">
        <v>2015</v>
      </c>
      <c r="D528" s="188">
        <v>66</v>
      </c>
      <c r="E528" s="135">
        <v>1894</v>
      </c>
      <c r="F528" s="192" t="s">
        <v>795</v>
      </c>
      <c r="G528" s="188">
        <v>0</v>
      </c>
      <c r="H528" s="188">
        <v>0</v>
      </c>
      <c r="I528" s="188">
        <v>0</v>
      </c>
      <c r="J528" s="188">
        <v>1</v>
      </c>
      <c r="K528" s="188">
        <v>1</v>
      </c>
      <c r="L528" s="188">
        <v>1</v>
      </c>
      <c r="M528" s="188">
        <v>1</v>
      </c>
      <c r="N528" s="188">
        <v>1</v>
      </c>
      <c r="O528" s="188">
        <v>1</v>
      </c>
      <c r="P528" s="188">
        <v>1</v>
      </c>
      <c r="Q528" s="188">
        <v>1</v>
      </c>
      <c r="R528" s="188">
        <v>1</v>
      </c>
      <c r="S528" s="188">
        <v>1</v>
      </c>
      <c r="T528" s="188">
        <v>1</v>
      </c>
      <c r="U528" s="188">
        <v>1</v>
      </c>
      <c r="V528" s="188">
        <v>1</v>
      </c>
      <c r="W528" s="188">
        <v>1</v>
      </c>
      <c r="X528" s="188">
        <v>1</v>
      </c>
      <c r="Y528" s="188">
        <v>0</v>
      </c>
      <c r="Z528" s="188">
        <v>1</v>
      </c>
      <c r="AA528" s="188">
        <v>1</v>
      </c>
      <c r="AB528" s="188">
        <v>1</v>
      </c>
      <c r="AC528" s="188">
        <v>1</v>
      </c>
      <c r="AD528" s="188">
        <v>1</v>
      </c>
      <c r="AE528" s="188">
        <v>1</v>
      </c>
      <c r="AF528" s="191">
        <v>7</v>
      </c>
      <c r="AG528" s="183">
        <v>21</v>
      </c>
    </row>
    <row r="529" spans="1:41" ht="15" customHeight="1" x14ac:dyDescent="0.2">
      <c r="A529" s="141" t="s">
        <v>313</v>
      </c>
      <c r="B529" s="187" t="s">
        <v>1759</v>
      </c>
      <c r="C529" s="141">
        <v>2015</v>
      </c>
      <c r="D529" s="141">
        <v>66</v>
      </c>
      <c r="E529" s="135" t="e">
        <v>#N/A</v>
      </c>
      <c r="F529" s="192" t="s">
        <v>1772</v>
      </c>
      <c r="G529" s="141">
        <v>1</v>
      </c>
      <c r="H529" s="141">
        <v>1</v>
      </c>
      <c r="I529" s="141">
        <v>1</v>
      </c>
      <c r="J529" s="141">
        <v>1</v>
      </c>
      <c r="K529" s="141">
        <v>1</v>
      </c>
      <c r="L529" s="141">
        <v>1</v>
      </c>
      <c r="M529" s="141">
        <v>1</v>
      </c>
      <c r="N529" s="141">
        <v>1</v>
      </c>
      <c r="O529" s="141">
        <v>1</v>
      </c>
      <c r="P529" s="141">
        <v>0</v>
      </c>
      <c r="Q529" s="141">
        <v>0</v>
      </c>
      <c r="R529" s="141">
        <v>0</v>
      </c>
      <c r="S529" s="141">
        <v>0</v>
      </c>
      <c r="T529" s="141">
        <v>1</v>
      </c>
      <c r="U529" s="141">
        <v>1</v>
      </c>
      <c r="V529" s="141">
        <v>0</v>
      </c>
      <c r="W529" s="141">
        <v>0</v>
      </c>
      <c r="X529" s="141">
        <v>1</v>
      </c>
      <c r="Y529" s="141">
        <v>1</v>
      </c>
      <c r="Z529" s="141">
        <v>1</v>
      </c>
      <c r="AA529" s="141">
        <v>0</v>
      </c>
      <c r="AB529" s="141">
        <v>0</v>
      </c>
      <c r="AC529" s="141">
        <v>1</v>
      </c>
      <c r="AD529" s="141">
        <v>1</v>
      </c>
      <c r="AE529" s="141">
        <v>1</v>
      </c>
      <c r="AF529" s="148">
        <v>40</v>
      </c>
      <c r="AG529" s="183">
        <v>17</v>
      </c>
      <c r="AH529" s="4"/>
      <c r="AL529" s="5" t="s">
        <v>1434</v>
      </c>
      <c r="AO529" s="5" t="s">
        <v>1434</v>
      </c>
    </row>
    <row r="530" spans="1:41" ht="15" customHeight="1" x14ac:dyDescent="0.2">
      <c r="A530" s="141" t="s">
        <v>313</v>
      </c>
      <c r="B530" s="187" t="s">
        <v>1759</v>
      </c>
      <c r="C530" s="141">
        <v>2015</v>
      </c>
      <c r="D530" s="188">
        <v>68</v>
      </c>
      <c r="E530" s="135">
        <v>278</v>
      </c>
      <c r="F530" s="192" t="s">
        <v>132</v>
      </c>
      <c r="G530" s="188">
        <v>1</v>
      </c>
      <c r="H530" s="188">
        <v>1</v>
      </c>
      <c r="I530" s="188">
        <v>1</v>
      </c>
      <c r="J530" s="188">
        <v>1</v>
      </c>
      <c r="K530" s="188">
        <v>1</v>
      </c>
      <c r="L530" s="188">
        <v>1</v>
      </c>
      <c r="M530" s="188">
        <v>1</v>
      </c>
      <c r="N530" s="188">
        <v>1</v>
      </c>
      <c r="O530" s="188">
        <v>1</v>
      </c>
      <c r="P530" s="188">
        <v>1</v>
      </c>
      <c r="Q530" s="188">
        <v>1</v>
      </c>
      <c r="R530" s="188">
        <v>1</v>
      </c>
      <c r="S530" s="188">
        <v>1</v>
      </c>
      <c r="T530" s="188">
        <v>1</v>
      </c>
      <c r="U530" s="188">
        <v>1</v>
      </c>
      <c r="V530" s="188">
        <v>1</v>
      </c>
      <c r="W530" s="188">
        <v>1</v>
      </c>
      <c r="X530" s="188">
        <v>1</v>
      </c>
      <c r="Y530" s="188">
        <v>1</v>
      </c>
      <c r="Z530" s="188">
        <v>1</v>
      </c>
      <c r="AA530" s="188">
        <v>1</v>
      </c>
      <c r="AB530" s="188">
        <v>1</v>
      </c>
      <c r="AC530" s="188">
        <v>1</v>
      </c>
      <c r="AD530" s="188">
        <v>1</v>
      </c>
      <c r="AE530" s="188">
        <v>1</v>
      </c>
      <c r="AF530" s="191">
        <v>70</v>
      </c>
      <c r="AG530" s="183">
        <v>25</v>
      </c>
    </row>
    <row r="531" spans="1:41" ht="15" customHeight="1" x14ac:dyDescent="0.2">
      <c r="A531" s="141" t="s">
        <v>313</v>
      </c>
      <c r="B531" s="187" t="s">
        <v>1759</v>
      </c>
      <c r="C531" s="141">
        <v>2015</v>
      </c>
      <c r="D531" s="188">
        <v>68</v>
      </c>
      <c r="E531" s="135">
        <v>1576</v>
      </c>
      <c r="F531" s="192" t="s">
        <v>882</v>
      </c>
      <c r="G531" s="188">
        <v>1</v>
      </c>
      <c r="H531" s="188">
        <v>1</v>
      </c>
      <c r="I531" s="188">
        <v>1</v>
      </c>
      <c r="J531" s="188">
        <v>1</v>
      </c>
      <c r="K531" s="188">
        <v>1</v>
      </c>
      <c r="L531" s="188">
        <v>1</v>
      </c>
      <c r="M531" s="188">
        <v>1</v>
      </c>
      <c r="N531" s="188">
        <v>1</v>
      </c>
      <c r="O531" s="188">
        <v>1</v>
      </c>
      <c r="P531" s="188">
        <v>1</v>
      </c>
      <c r="Q531" s="188">
        <v>1</v>
      </c>
      <c r="R531" s="188">
        <v>1</v>
      </c>
      <c r="S531" s="188">
        <v>1</v>
      </c>
      <c r="T531" s="188">
        <v>1</v>
      </c>
      <c r="U531" s="188">
        <v>1</v>
      </c>
      <c r="V531" s="188">
        <v>1</v>
      </c>
      <c r="W531" s="188">
        <v>0</v>
      </c>
      <c r="X531" s="188">
        <v>1</v>
      </c>
      <c r="Y531" s="188">
        <v>1</v>
      </c>
      <c r="Z531" s="188">
        <v>1</v>
      </c>
      <c r="AA531" s="188">
        <v>1</v>
      </c>
      <c r="AB531" s="188">
        <v>1</v>
      </c>
      <c r="AC531" s="188">
        <v>1</v>
      </c>
      <c r="AD531" s="188">
        <v>1</v>
      </c>
      <c r="AE531" s="188">
        <v>1</v>
      </c>
      <c r="AF531" s="191">
        <v>60</v>
      </c>
      <c r="AG531" s="183">
        <v>24</v>
      </c>
      <c r="AH531" s="5" t="s">
        <v>1809</v>
      </c>
      <c r="AI531" s="5" t="s">
        <v>1656</v>
      </c>
      <c r="AL531" s="5" t="s">
        <v>1434</v>
      </c>
      <c r="AO531" s="5" t="s">
        <v>1434</v>
      </c>
    </row>
    <row r="532" spans="1:41" ht="15" customHeight="1" x14ac:dyDescent="0.2">
      <c r="A532" s="141" t="s">
        <v>313</v>
      </c>
      <c r="B532" s="187" t="s">
        <v>1759</v>
      </c>
      <c r="C532" s="141">
        <v>2015</v>
      </c>
      <c r="D532" s="141">
        <v>68</v>
      </c>
      <c r="E532" s="135">
        <v>2824</v>
      </c>
      <c r="F532" s="189" t="s">
        <v>1977</v>
      </c>
      <c r="G532" s="141">
        <v>0</v>
      </c>
      <c r="H532" s="141">
        <v>0</v>
      </c>
      <c r="I532" s="141">
        <v>0</v>
      </c>
      <c r="J532" s="141">
        <v>1</v>
      </c>
      <c r="K532" s="141">
        <v>0</v>
      </c>
      <c r="L532" s="141">
        <v>0</v>
      </c>
      <c r="M532" s="141">
        <v>0</v>
      </c>
      <c r="N532" s="141">
        <v>0</v>
      </c>
      <c r="O532" s="141">
        <v>0</v>
      </c>
      <c r="P532" s="141">
        <v>0</v>
      </c>
      <c r="Q532" s="141">
        <v>1</v>
      </c>
      <c r="R532" s="141">
        <v>0</v>
      </c>
      <c r="S532" s="141">
        <v>0</v>
      </c>
      <c r="T532" s="141">
        <v>0</v>
      </c>
      <c r="U532" s="141">
        <v>0</v>
      </c>
      <c r="V532" s="141">
        <v>0</v>
      </c>
      <c r="W532" s="141">
        <v>0</v>
      </c>
      <c r="X532" s="141">
        <v>0</v>
      </c>
      <c r="Y532" s="141">
        <v>0</v>
      </c>
      <c r="Z532" s="141">
        <v>0</v>
      </c>
      <c r="AA532" s="141">
        <v>0</v>
      </c>
      <c r="AB532" s="141">
        <v>0</v>
      </c>
      <c r="AC532" s="141">
        <v>0</v>
      </c>
      <c r="AD532" s="141">
        <v>0</v>
      </c>
      <c r="AE532" s="141">
        <v>0</v>
      </c>
      <c r="AF532" s="148">
        <v>0.1</v>
      </c>
      <c r="AG532" s="183">
        <v>2</v>
      </c>
      <c r="AH532" s="4"/>
    </row>
    <row r="533" spans="1:41" ht="15" customHeight="1" x14ac:dyDescent="0.2">
      <c r="A533" s="141" t="s">
        <v>313</v>
      </c>
      <c r="B533" s="187" t="s">
        <v>1759</v>
      </c>
      <c r="C533" s="141">
        <v>2015</v>
      </c>
      <c r="D533" s="188">
        <v>68</v>
      </c>
      <c r="E533" s="135">
        <v>6003</v>
      </c>
      <c r="F533" s="189" t="s">
        <v>288</v>
      </c>
      <c r="G533" s="188">
        <v>0</v>
      </c>
      <c r="H533" s="188">
        <v>0</v>
      </c>
      <c r="I533" s="188">
        <v>0</v>
      </c>
      <c r="J533" s="188">
        <v>0</v>
      </c>
      <c r="K533" s="188">
        <v>0</v>
      </c>
      <c r="L533" s="188">
        <v>0</v>
      </c>
      <c r="M533" s="188">
        <v>0</v>
      </c>
      <c r="N533" s="188">
        <v>0</v>
      </c>
      <c r="O533" s="188">
        <v>0</v>
      </c>
      <c r="P533" s="188">
        <v>0</v>
      </c>
      <c r="Q533" s="188">
        <v>0</v>
      </c>
      <c r="R533" s="188">
        <v>0</v>
      </c>
      <c r="S533" s="188">
        <v>0</v>
      </c>
      <c r="T533" s="188">
        <v>0</v>
      </c>
      <c r="U533" s="188">
        <v>0</v>
      </c>
      <c r="V533" s="188">
        <v>1</v>
      </c>
      <c r="W533" s="188">
        <v>0</v>
      </c>
      <c r="X533" s="188">
        <v>0</v>
      </c>
      <c r="Y533" s="188">
        <v>0</v>
      </c>
      <c r="Z533" s="188">
        <v>0</v>
      </c>
      <c r="AA533" s="188">
        <v>0</v>
      </c>
      <c r="AB533" s="188">
        <v>0</v>
      </c>
      <c r="AC533" s="188">
        <v>0</v>
      </c>
      <c r="AD533" s="188">
        <v>0</v>
      </c>
      <c r="AE533" s="188">
        <v>0</v>
      </c>
      <c r="AF533" s="190">
        <v>0.1</v>
      </c>
      <c r="AG533" s="183">
        <v>1</v>
      </c>
    </row>
    <row r="534" spans="1:41" ht="15" customHeight="1" x14ac:dyDescent="0.2">
      <c r="A534" s="141" t="s">
        <v>313</v>
      </c>
      <c r="B534" s="187" t="s">
        <v>1759</v>
      </c>
      <c r="C534" s="141">
        <v>2015</v>
      </c>
      <c r="D534" s="188">
        <v>68</v>
      </c>
      <c r="E534" s="135">
        <v>2359</v>
      </c>
      <c r="F534" s="192" t="s">
        <v>665</v>
      </c>
      <c r="G534" s="188">
        <v>1</v>
      </c>
      <c r="H534" s="188">
        <v>1</v>
      </c>
      <c r="I534" s="188">
        <v>1</v>
      </c>
      <c r="J534" s="188">
        <v>1</v>
      </c>
      <c r="K534" s="188">
        <v>1</v>
      </c>
      <c r="L534" s="188">
        <v>1</v>
      </c>
      <c r="M534" s="188">
        <v>1</v>
      </c>
      <c r="N534" s="188">
        <v>1</v>
      </c>
      <c r="O534" s="188">
        <v>1</v>
      </c>
      <c r="P534" s="188">
        <v>1</v>
      </c>
      <c r="Q534" s="188">
        <v>1</v>
      </c>
      <c r="R534" s="188">
        <v>1</v>
      </c>
      <c r="S534" s="188">
        <v>1</v>
      </c>
      <c r="T534" s="188">
        <v>1</v>
      </c>
      <c r="U534" s="188">
        <v>1</v>
      </c>
      <c r="V534" s="188">
        <v>1</v>
      </c>
      <c r="W534" s="188">
        <v>1</v>
      </c>
      <c r="X534" s="188">
        <v>0</v>
      </c>
      <c r="Y534" s="188">
        <v>1</v>
      </c>
      <c r="Z534" s="188">
        <v>1</v>
      </c>
      <c r="AA534" s="188">
        <v>1</v>
      </c>
      <c r="AB534" s="188">
        <v>1</v>
      </c>
      <c r="AC534" s="188">
        <v>1</v>
      </c>
      <c r="AD534" s="188">
        <v>1</v>
      </c>
      <c r="AE534" s="188">
        <v>0</v>
      </c>
      <c r="AF534" s="191">
        <v>0.5</v>
      </c>
      <c r="AG534" s="183">
        <v>23</v>
      </c>
    </row>
    <row r="535" spans="1:41" ht="15" customHeight="1" x14ac:dyDescent="0.2">
      <c r="A535" s="141" t="s">
        <v>313</v>
      </c>
      <c r="B535" s="187" t="s">
        <v>1759</v>
      </c>
      <c r="C535" s="141">
        <v>2015</v>
      </c>
      <c r="D535" s="188">
        <v>68</v>
      </c>
      <c r="E535" s="135">
        <v>2360</v>
      </c>
      <c r="F535" s="192" t="s">
        <v>664</v>
      </c>
      <c r="G535" s="188">
        <v>0</v>
      </c>
      <c r="H535" s="188">
        <v>0</v>
      </c>
      <c r="I535" s="188">
        <v>0</v>
      </c>
      <c r="J535" s="188">
        <v>0</v>
      </c>
      <c r="K535" s="188">
        <v>0</v>
      </c>
      <c r="L535" s="188">
        <v>0</v>
      </c>
      <c r="M535" s="188">
        <v>1</v>
      </c>
      <c r="N535" s="188">
        <v>0</v>
      </c>
      <c r="O535" s="188">
        <v>0</v>
      </c>
      <c r="P535" s="188">
        <v>1</v>
      </c>
      <c r="Q535" s="188">
        <v>0</v>
      </c>
      <c r="R535" s="188">
        <v>1</v>
      </c>
      <c r="S535" s="188">
        <v>1</v>
      </c>
      <c r="T535" s="188">
        <v>0</v>
      </c>
      <c r="U535" s="188">
        <v>1</v>
      </c>
      <c r="V535" s="188">
        <v>0</v>
      </c>
      <c r="W535" s="188">
        <v>0</v>
      </c>
      <c r="X535" s="188">
        <v>0</v>
      </c>
      <c r="Y535" s="188">
        <v>0</v>
      </c>
      <c r="Z535" s="188">
        <v>1</v>
      </c>
      <c r="AA535" s="188">
        <v>1</v>
      </c>
      <c r="AB535" s="188">
        <v>0</v>
      </c>
      <c r="AC535" s="188">
        <v>0</v>
      </c>
      <c r="AD535" s="188">
        <v>0</v>
      </c>
      <c r="AE535" s="188">
        <v>0</v>
      </c>
      <c r="AF535" s="190">
        <v>0.1</v>
      </c>
      <c r="AG535" s="183">
        <v>7</v>
      </c>
      <c r="AH535" s="5" t="s">
        <v>1810</v>
      </c>
      <c r="AI535" s="5" t="s">
        <v>1659</v>
      </c>
      <c r="AL535" s="5" t="s">
        <v>1432</v>
      </c>
      <c r="AM535" s="5" t="s">
        <v>1671</v>
      </c>
      <c r="AN535" s="5" t="s">
        <v>1676</v>
      </c>
      <c r="AO535" s="5" t="s">
        <v>1676</v>
      </c>
    </row>
    <row r="536" spans="1:41" ht="15" customHeight="1" x14ac:dyDescent="0.2">
      <c r="A536" s="141" t="s">
        <v>313</v>
      </c>
      <c r="B536" s="187" t="s">
        <v>1759</v>
      </c>
      <c r="C536" s="141">
        <v>2015</v>
      </c>
      <c r="D536" s="188">
        <v>68</v>
      </c>
      <c r="E536" s="135">
        <v>2366</v>
      </c>
      <c r="F536" s="192" t="s">
        <v>660</v>
      </c>
      <c r="G536" s="188">
        <v>1</v>
      </c>
      <c r="H536" s="188">
        <v>1</v>
      </c>
      <c r="I536" s="188">
        <v>1</v>
      </c>
      <c r="J536" s="188">
        <v>1</v>
      </c>
      <c r="K536" s="188">
        <v>1</v>
      </c>
      <c r="L536" s="188">
        <v>1</v>
      </c>
      <c r="M536" s="188">
        <v>1</v>
      </c>
      <c r="N536" s="188">
        <v>0</v>
      </c>
      <c r="O536" s="188">
        <v>1</v>
      </c>
      <c r="P536" s="188">
        <v>1</v>
      </c>
      <c r="Q536" s="188">
        <v>0</v>
      </c>
      <c r="R536" s="188">
        <v>0</v>
      </c>
      <c r="S536" s="188">
        <v>1</v>
      </c>
      <c r="T536" s="188">
        <v>1</v>
      </c>
      <c r="U536" s="188">
        <v>0</v>
      </c>
      <c r="V536" s="188">
        <v>1</v>
      </c>
      <c r="W536" s="188">
        <v>0</v>
      </c>
      <c r="X536" s="188">
        <v>0</v>
      </c>
      <c r="Y536" s="188">
        <v>1</v>
      </c>
      <c r="Z536" s="188">
        <v>0</v>
      </c>
      <c r="AA536" s="188">
        <v>1</v>
      </c>
      <c r="AB536" s="188">
        <v>1</v>
      </c>
      <c r="AC536" s="188">
        <v>0</v>
      </c>
      <c r="AD536" s="188">
        <v>0</v>
      </c>
      <c r="AE536" s="188">
        <v>1</v>
      </c>
      <c r="AF536" s="191">
        <v>0.5</v>
      </c>
      <c r="AG536" s="183">
        <v>16</v>
      </c>
    </row>
    <row r="537" spans="1:41" ht="15" customHeight="1" x14ac:dyDescent="0.2">
      <c r="A537" s="141" t="s">
        <v>313</v>
      </c>
      <c r="B537" s="187" t="s">
        <v>1759</v>
      </c>
      <c r="C537" s="141">
        <v>2015</v>
      </c>
      <c r="D537" s="141">
        <v>68</v>
      </c>
      <c r="E537" s="135" t="e">
        <v>#N/A</v>
      </c>
      <c r="F537" s="192" t="s">
        <v>1767</v>
      </c>
      <c r="G537" s="141">
        <v>0</v>
      </c>
      <c r="H537" s="141">
        <v>0</v>
      </c>
      <c r="I537" s="141">
        <v>1</v>
      </c>
      <c r="J537" s="141">
        <v>1</v>
      </c>
      <c r="K537" s="141">
        <v>1</v>
      </c>
      <c r="L537" s="141">
        <v>1</v>
      </c>
      <c r="M537" s="141">
        <v>1</v>
      </c>
      <c r="N537" s="141">
        <v>1</v>
      </c>
      <c r="O537" s="141">
        <v>1</v>
      </c>
      <c r="P537" s="141">
        <v>1</v>
      </c>
      <c r="Q537" s="141">
        <v>1</v>
      </c>
      <c r="R537" s="141">
        <v>1</v>
      </c>
      <c r="S537" s="141">
        <v>1</v>
      </c>
      <c r="T537" s="141">
        <v>0</v>
      </c>
      <c r="U537" s="141">
        <v>0</v>
      </c>
      <c r="V537" s="141">
        <v>1</v>
      </c>
      <c r="W537" s="141">
        <v>0</v>
      </c>
      <c r="X537" s="141">
        <v>0</v>
      </c>
      <c r="Y537" s="141">
        <v>1</v>
      </c>
      <c r="Z537" s="141">
        <v>0</v>
      </c>
      <c r="AA537" s="141">
        <v>1</v>
      </c>
      <c r="AB537" s="141">
        <v>1</v>
      </c>
      <c r="AC537" s="141">
        <v>1</v>
      </c>
      <c r="AD537" s="141">
        <v>0</v>
      </c>
      <c r="AE537" s="141">
        <v>0</v>
      </c>
      <c r="AF537" s="148">
        <v>0.1</v>
      </c>
      <c r="AG537" s="183">
        <v>16</v>
      </c>
      <c r="AH537" s="4"/>
      <c r="AL537" s="5" t="s">
        <v>1434</v>
      </c>
      <c r="AO537" s="5" t="s">
        <v>1434</v>
      </c>
    </row>
    <row r="538" spans="1:41" ht="15" customHeight="1" x14ac:dyDescent="0.2">
      <c r="A538" s="141" t="s">
        <v>313</v>
      </c>
      <c r="B538" s="187" t="s">
        <v>1759</v>
      </c>
      <c r="C538" s="141">
        <v>2015</v>
      </c>
      <c r="D538" s="188">
        <v>68</v>
      </c>
      <c r="E538" s="135">
        <v>2383</v>
      </c>
      <c r="F538" s="192" t="s">
        <v>649</v>
      </c>
      <c r="G538" s="188">
        <v>1</v>
      </c>
      <c r="H538" s="188">
        <v>0</v>
      </c>
      <c r="I538" s="188">
        <v>0</v>
      </c>
      <c r="J538" s="188">
        <v>1</v>
      </c>
      <c r="K538" s="188">
        <v>1</v>
      </c>
      <c r="L538" s="188">
        <v>1</v>
      </c>
      <c r="M538" s="188">
        <v>1</v>
      </c>
      <c r="N538" s="188">
        <v>1</v>
      </c>
      <c r="O538" s="188">
        <v>1</v>
      </c>
      <c r="P538" s="188">
        <v>1</v>
      </c>
      <c r="Q538" s="188">
        <v>1</v>
      </c>
      <c r="R538" s="188">
        <v>1</v>
      </c>
      <c r="S538" s="188">
        <v>1</v>
      </c>
      <c r="T538" s="188">
        <v>1</v>
      </c>
      <c r="U538" s="188">
        <v>1</v>
      </c>
      <c r="V538" s="188">
        <v>1</v>
      </c>
      <c r="W538" s="188">
        <v>1</v>
      </c>
      <c r="X538" s="188">
        <v>0</v>
      </c>
      <c r="Y538" s="188">
        <v>1</v>
      </c>
      <c r="Z538" s="188">
        <v>1</v>
      </c>
      <c r="AA538" s="188">
        <v>0</v>
      </c>
      <c r="AB538" s="188">
        <v>0</v>
      </c>
      <c r="AC538" s="188">
        <v>0</v>
      </c>
      <c r="AD538" s="188">
        <v>0</v>
      </c>
      <c r="AE538" s="188">
        <v>1</v>
      </c>
      <c r="AF538" s="190">
        <v>0.1</v>
      </c>
      <c r="AG538" s="183">
        <v>18</v>
      </c>
    </row>
    <row r="539" spans="1:41" ht="15" customHeight="1" x14ac:dyDescent="0.2">
      <c r="A539" s="141" t="s">
        <v>313</v>
      </c>
      <c r="B539" s="187" t="s">
        <v>1759</v>
      </c>
      <c r="C539" s="141">
        <v>2015</v>
      </c>
      <c r="D539" s="188">
        <v>68</v>
      </c>
      <c r="E539" s="135">
        <v>541</v>
      </c>
      <c r="F539" s="192" t="s">
        <v>1313</v>
      </c>
      <c r="G539" s="188">
        <v>1</v>
      </c>
      <c r="H539" s="188">
        <v>1</v>
      </c>
      <c r="I539" s="188">
        <v>1</v>
      </c>
      <c r="J539" s="188">
        <v>1</v>
      </c>
      <c r="K539" s="188">
        <v>1</v>
      </c>
      <c r="L539" s="188">
        <v>1</v>
      </c>
      <c r="M539" s="188">
        <v>1</v>
      </c>
      <c r="N539" s="188">
        <v>1</v>
      </c>
      <c r="O539" s="188">
        <v>1</v>
      </c>
      <c r="P539" s="188">
        <v>1</v>
      </c>
      <c r="Q539" s="188">
        <v>1</v>
      </c>
      <c r="R539" s="188">
        <v>1</v>
      </c>
      <c r="S539" s="188">
        <v>1</v>
      </c>
      <c r="T539" s="188">
        <v>1</v>
      </c>
      <c r="U539" s="188">
        <v>1</v>
      </c>
      <c r="V539" s="188">
        <v>1</v>
      </c>
      <c r="W539" s="188">
        <v>0</v>
      </c>
      <c r="X539" s="188">
        <v>1</v>
      </c>
      <c r="Y539" s="188">
        <v>1</v>
      </c>
      <c r="Z539" s="188">
        <v>1</v>
      </c>
      <c r="AA539" s="188">
        <v>1</v>
      </c>
      <c r="AB539" s="188">
        <v>1</v>
      </c>
      <c r="AC539" s="188">
        <v>1</v>
      </c>
      <c r="AD539" s="188">
        <v>1</v>
      </c>
      <c r="AE539" s="188">
        <v>1</v>
      </c>
      <c r="AF539" s="191">
        <v>7</v>
      </c>
      <c r="AG539" s="183">
        <v>24</v>
      </c>
    </row>
    <row r="540" spans="1:41" ht="15" customHeight="1" x14ac:dyDescent="0.2">
      <c r="A540" s="141" t="s">
        <v>313</v>
      </c>
      <c r="B540" s="187" t="s">
        <v>1759</v>
      </c>
      <c r="C540" s="141">
        <v>2015</v>
      </c>
      <c r="D540" s="188">
        <v>68</v>
      </c>
      <c r="E540" s="135">
        <v>2695</v>
      </c>
      <c r="F540" s="192" t="s">
        <v>569</v>
      </c>
      <c r="G540" s="188">
        <v>1</v>
      </c>
      <c r="H540" s="188">
        <v>0</v>
      </c>
      <c r="I540" s="188">
        <v>0</v>
      </c>
      <c r="J540" s="188">
        <v>0</v>
      </c>
      <c r="K540" s="188">
        <v>0</v>
      </c>
      <c r="L540" s="188">
        <v>0</v>
      </c>
      <c r="M540" s="188">
        <v>0</v>
      </c>
      <c r="N540" s="188">
        <v>0</v>
      </c>
      <c r="O540" s="188">
        <v>0</v>
      </c>
      <c r="P540" s="188">
        <v>0</v>
      </c>
      <c r="Q540" s="188">
        <v>0</v>
      </c>
      <c r="R540" s="188">
        <v>0</v>
      </c>
      <c r="S540" s="188">
        <v>0</v>
      </c>
      <c r="T540" s="188">
        <v>0</v>
      </c>
      <c r="U540" s="188">
        <v>0</v>
      </c>
      <c r="V540" s="188">
        <v>0</v>
      </c>
      <c r="W540" s="188">
        <v>0</v>
      </c>
      <c r="X540" s="188">
        <v>0</v>
      </c>
      <c r="Y540" s="188">
        <v>0</v>
      </c>
      <c r="Z540" s="188">
        <v>0</v>
      </c>
      <c r="AA540" s="188">
        <v>0</v>
      </c>
      <c r="AB540" s="188">
        <v>0</v>
      </c>
      <c r="AC540" s="188">
        <v>0</v>
      </c>
      <c r="AD540" s="188">
        <v>0</v>
      </c>
      <c r="AE540" s="188">
        <v>0</v>
      </c>
      <c r="AF540" s="191"/>
      <c r="AG540" s="183">
        <v>1</v>
      </c>
      <c r="AH540" s="5" t="s">
        <v>1863</v>
      </c>
      <c r="AI540" s="5" t="s">
        <v>1653</v>
      </c>
      <c r="AL540" s="5" t="s">
        <v>1432</v>
      </c>
      <c r="AM540" s="5" t="s">
        <v>1673</v>
      </c>
      <c r="AN540" s="5" t="s">
        <v>1676</v>
      </c>
      <c r="AO540" s="5" t="s">
        <v>1676</v>
      </c>
    </row>
    <row r="541" spans="1:41" ht="15" customHeight="1" x14ac:dyDescent="0.2">
      <c r="A541" s="141" t="s">
        <v>313</v>
      </c>
      <c r="B541" s="187" t="s">
        <v>1759</v>
      </c>
      <c r="C541" s="141">
        <v>2015</v>
      </c>
      <c r="D541" s="141">
        <v>68</v>
      </c>
      <c r="E541" s="135" t="e">
        <v>#N/A</v>
      </c>
      <c r="F541" s="192" t="s">
        <v>1773</v>
      </c>
      <c r="G541" s="141">
        <v>0</v>
      </c>
      <c r="H541" s="141">
        <v>0</v>
      </c>
      <c r="I541" s="141">
        <v>0</v>
      </c>
      <c r="J541" s="141">
        <v>0</v>
      </c>
      <c r="K541" s="141">
        <v>0</v>
      </c>
      <c r="L541" s="141">
        <v>0</v>
      </c>
      <c r="M541" s="141">
        <v>0</v>
      </c>
      <c r="N541" s="141">
        <v>0</v>
      </c>
      <c r="O541" s="141">
        <v>0</v>
      </c>
      <c r="P541" s="141">
        <v>0</v>
      </c>
      <c r="Q541" s="141">
        <v>0</v>
      </c>
      <c r="R541" s="141">
        <v>0</v>
      </c>
      <c r="S541" s="141">
        <v>0</v>
      </c>
      <c r="T541" s="141">
        <v>1</v>
      </c>
      <c r="U541" s="141">
        <v>0</v>
      </c>
      <c r="V541" s="141">
        <v>1</v>
      </c>
      <c r="W541" s="141">
        <v>0</v>
      </c>
      <c r="X541" s="141">
        <v>0</v>
      </c>
      <c r="Y541" s="141">
        <v>1</v>
      </c>
      <c r="Z541" s="141">
        <v>0</v>
      </c>
      <c r="AA541" s="141">
        <v>0</v>
      </c>
      <c r="AB541" s="141">
        <v>1</v>
      </c>
      <c r="AC541" s="141">
        <v>0</v>
      </c>
      <c r="AD541" s="141">
        <v>0</v>
      </c>
      <c r="AE541" s="141">
        <v>1</v>
      </c>
      <c r="AF541" s="148">
        <v>0.1</v>
      </c>
      <c r="AG541" s="183">
        <v>5</v>
      </c>
      <c r="AH541" s="4"/>
      <c r="AI541" s="5" t="s">
        <v>1656</v>
      </c>
      <c r="AL541" s="5" t="s">
        <v>1434</v>
      </c>
      <c r="AO541" s="5" t="s">
        <v>1434</v>
      </c>
    </row>
    <row r="542" spans="1:41" ht="15" customHeight="1" x14ac:dyDescent="0.2">
      <c r="A542" s="141" t="s">
        <v>313</v>
      </c>
      <c r="B542" s="187" t="s">
        <v>1759</v>
      </c>
      <c r="C542" s="141">
        <v>2015</v>
      </c>
      <c r="D542" s="188">
        <v>68</v>
      </c>
      <c r="E542" s="135">
        <v>2620</v>
      </c>
      <c r="F542" s="192" t="s">
        <v>605</v>
      </c>
      <c r="G542" s="188">
        <v>1</v>
      </c>
      <c r="H542" s="188">
        <v>0</v>
      </c>
      <c r="I542" s="188">
        <v>0</v>
      </c>
      <c r="J542" s="188">
        <v>0</v>
      </c>
      <c r="K542" s="188">
        <v>0</v>
      </c>
      <c r="L542" s="188">
        <v>0</v>
      </c>
      <c r="M542" s="188">
        <v>0</v>
      </c>
      <c r="N542" s="188">
        <v>0</v>
      </c>
      <c r="O542" s="188">
        <v>0</v>
      </c>
      <c r="P542" s="188">
        <v>0</v>
      </c>
      <c r="Q542" s="188">
        <v>1</v>
      </c>
      <c r="R542" s="188">
        <v>0</v>
      </c>
      <c r="S542" s="188">
        <v>0</v>
      </c>
      <c r="T542" s="188">
        <v>0</v>
      </c>
      <c r="U542" s="188">
        <v>0</v>
      </c>
      <c r="V542" s="188">
        <v>0</v>
      </c>
      <c r="W542" s="188">
        <v>0</v>
      </c>
      <c r="X542" s="188">
        <v>0</v>
      </c>
      <c r="Y542" s="188">
        <v>0</v>
      </c>
      <c r="Z542" s="188">
        <v>0</v>
      </c>
      <c r="AA542" s="188">
        <v>0</v>
      </c>
      <c r="AB542" s="188">
        <v>0</v>
      </c>
      <c r="AC542" s="188">
        <v>0</v>
      </c>
      <c r="AD542" s="188">
        <v>0</v>
      </c>
      <c r="AE542" s="188">
        <v>0</v>
      </c>
      <c r="AF542" s="191">
        <v>0.1</v>
      </c>
      <c r="AG542" s="183">
        <v>2</v>
      </c>
    </row>
    <row r="543" spans="1:41" ht="15" customHeight="1" x14ac:dyDescent="0.2">
      <c r="A543" s="141" t="s">
        <v>313</v>
      </c>
      <c r="B543" s="187" t="s">
        <v>1759</v>
      </c>
      <c r="C543" s="141">
        <v>2015</v>
      </c>
      <c r="D543" s="188">
        <v>68</v>
      </c>
      <c r="E543" s="135">
        <v>1894</v>
      </c>
      <c r="F543" s="192" t="s">
        <v>795</v>
      </c>
      <c r="G543" s="188">
        <v>1</v>
      </c>
      <c r="H543" s="188">
        <v>0</v>
      </c>
      <c r="I543" s="188">
        <v>0</v>
      </c>
      <c r="J543" s="188">
        <v>0</v>
      </c>
      <c r="K543" s="188">
        <v>0</v>
      </c>
      <c r="L543" s="188">
        <v>0</v>
      </c>
      <c r="M543" s="188">
        <v>0</v>
      </c>
      <c r="N543" s="188">
        <v>0</v>
      </c>
      <c r="O543" s="188">
        <v>0</v>
      </c>
      <c r="P543" s="188">
        <v>0</v>
      </c>
      <c r="Q543" s="188">
        <v>0</v>
      </c>
      <c r="R543" s="188">
        <v>0</v>
      </c>
      <c r="S543" s="188">
        <v>0</v>
      </c>
      <c r="T543" s="188">
        <v>0</v>
      </c>
      <c r="U543" s="188">
        <v>0</v>
      </c>
      <c r="V543" s="188">
        <v>0</v>
      </c>
      <c r="W543" s="188">
        <v>0</v>
      </c>
      <c r="X543" s="188">
        <v>0</v>
      </c>
      <c r="Y543" s="188">
        <v>0</v>
      </c>
      <c r="Z543" s="188">
        <v>0</v>
      </c>
      <c r="AA543" s="188">
        <v>0</v>
      </c>
      <c r="AB543" s="188">
        <v>0</v>
      </c>
      <c r="AC543" s="188">
        <v>0</v>
      </c>
      <c r="AD543" s="188">
        <v>0</v>
      </c>
      <c r="AE543" s="188">
        <v>0</v>
      </c>
      <c r="AF543" s="191"/>
      <c r="AG543" s="183">
        <v>1</v>
      </c>
      <c r="AH543" s="5" t="s">
        <v>1863</v>
      </c>
      <c r="AI543" s="5" t="s">
        <v>1653</v>
      </c>
      <c r="AL543" s="5" t="s">
        <v>1432</v>
      </c>
      <c r="AM543" s="5" t="s">
        <v>1673</v>
      </c>
      <c r="AN543" s="5" t="s">
        <v>1676</v>
      </c>
      <c r="AO543" s="5" t="s">
        <v>1676</v>
      </c>
    </row>
    <row r="544" spans="1:41" ht="15" customHeight="1" x14ac:dyDescent="0.2">
      <c r="A544" s="141" t="s">
        <v>313</v>
      </c>
      <c r="B544" s="187" t="s">
        <v>1759</v>
      </c>
      <c r="C544" s="141">
        <v>2015</v>
      </c>
      <c r="D544" s="141">
        <v>68</v>
      </c>
      <c r="E544" s="135" t="e">
        <v>#N/A</v>
      </c>
      <c r="F544" s="192" t="s">
        <v>1772</v>
      </c>
      <c r="G544" s="141">
        <v>0</v>
      </c>
      <c r="H544" s="141">
        <v>0</v>
      </c>
      <c r="I544" s="141">
        <v>0</v>
      </c>
      <c r="J544" s="141">
        <v>0</v>
      </c>
      <c r="K544" s="141">
        <v>0</v>
      </c>
      <c r="L544" s="141">
        <v>0</v>
      </c>
      <c r="M544" s="141">
        <v>0</v>
      </c>
      <c r="N544" s="141">
        <v>0</v>
      </c>
      <c r="O544" s="141">
        <v>0</v>
      </c>
      <c r="P544" s="141">
        <v>0</v>
      </c>
      <c r="Q544" s="141">
        <v>1</v>
      </c>
      <c r="R544" s="141">
        <v>1</v>
      </c>
      <c r="S544" s="141">
        <v>0</v>
      </c>
      <c r="T544" s="141">
        <v>1</v>
      </c>
      <c r="U544" s="141">
        <v>1</v>
      </c>
      <c r="V544" s="141">
        <v>1</v>
      </c>
      <c r="W544" s="141">
        <v>1</v>
      </c>
      <c r="X544" s="141">
        <v>1</v>
      </c>
      <c r="Y544" s="141">
        <v>0</v>
      </c>
      <c r="Z544" s="141">
        <v>0</v>
      </c>
      <c r="AA544" s="141">
        <v>1</v>
      </c>
      <c r="AB544" s="141">
        <v>1</v>
      </c>
      <c r="AC544" s="141">
        <v>1</v>
      </c>
      <c r="AD544" s="141">
        <v>0</v>
      </c>
      <c r="AE544" s="141">
        <v>0</v>
      </c>
      <c r="AF544" s="148">
        <v>16</v>
      </c>
      <c r="AG544" s="183">
        <v>10</v>
      </c>
      <c r="AH544" s="4"/>
      <c r="AL544" s="5" t="s">
        <v>1434</v>
      </c>
      <c r="AO544" s="5" t="s">
        <v>1434</v>
      </c>
    </row>
    <row r="545" spans="1:41" ht="15" customHeight="1" x14ac:dyDescent="0.2">
      <c r="A545" s="141" t="s">
        <v>313</v>
      </c>
      <c r="B545" s="187" t="s">
        <v>1759</v>
      </c>
      <c r="C545" s="141">
        <v>2015</v>
      </c>
      <c r="D545" s="188">
        <v>69</v>
      </c>
      <c r="E545" s="135">
        <v>278</v>
      </c>
      <c r="F545" s="189" t="s">
        <v>132</v>
      </c>
      <c r="G545" s="188">
        <v>1</v>
      </c>
      <c r="H545" s="188">
        <v>1</v>
      </c>
      <c r="I545" s="188">
        <v>1</v>
      </c>
      <c r="J545" s="188">
        <v>1</v>
      </c>
      <c r="K545" s="188">
        <v>1</v>
      </c>
      <c r="L545" s="188">
        <v>1</v>
      </c>
      <c r="M545" s="188">
        <v>1</v>
      </c>
      <c r="N545" s="188">
        <v>1</v>
      </c>
      <c r="O545" s="188">
        <v>1</v>
      </c>
      <c r="P545" s="188">
        <v>1</v>
      </c>
      <c r="Q545" s="188">
        <v>1</v>
      </c>
      <c r="R545" s="188">
        <v>1</v>
      </c>
      <c r="S545" s="188">
        <v>1</v>
      </c>
      <c r="T545" s="188">
        <v>1</v>
      </c>
      <c r="U545" s="188">
        <v>1</v>
      </c>
      <c r="V545" s="188">
        <v>1</v>
      </c>
      <c r="W545" s="188">
        <v>1</v>
      </c>
      <c r="X545" s="188">
        <v>1</v>
      </c>
      <c r="Y545" s="188">
        <v>1</v>
      </c>
      <c r="Z545" s="188">
        <v>1</v>
      </c>
      <c r="AA545" s="188">
        <v>1</v>
      </c>
      <c r="AB545" s="188">
        <v>1</v>
      </c>
      <c r="AC545" s="188">
        <v>1</v>
      </c>
      <c r="AD545" s="188">
        <v>1</v>
      </c>
      <c r="AE545" s="188">
        <v>1</v>
      </c>
      <c r="AF545" s="190">
        <v>97</v>
      </c>
      <c r="AG545" s="183">
        <v>25</v>
      </c>
    </row>
    <row r="546" spans="1:41" ht="15" customHeight="1" x14ac:dyDescent="0.2">
      <c r="A546" s="141" t="s">
        <v>313</v>
      </c>
      <c r="B546" s="187" t="s">
        <v>1759</v>
      </c>
      <c r="C546" s="141">
        <v>2015</v>
      </c>
      <c r="D546" s="188">
        <v>69</v>
      </c>
      <c r="E546" s="135">
        <v>4282</v>
      </c>
      <c r="F546" s="192" t="s">
        <v>372</v>
      </c>
      <c r="G546" s="188">
        <v>0</v>
      </c>
      <c r="H546" s="188">
        <v>0</v>
      </c>
      <c r="I546" s="188">
        <v>0</v>
      </c>
      <c r="J546" s="188">
        <v>0</v>
      </c>
      <c r="K546" s="188">
        <v>0</v>
      </c>
      <c r="L546" s="188">
        <v>0</v>
      </c>
      <c r="M546" s="188">
        <v>0</v>
      </c>
      <c r="N546" s="188">
        <v>0</v>
      </c>
      <c r="O546" s="188">
        <v>0</v>
      </c>
      <c r="P546" s="188">
        <v>0</v>
      </c>
      <c r="Q546" s="188">
        <v>0</v>
      </c>
      <c r="R546" s="188">
        <v>0</v>
      </c>
      <c r="S546" s="188">
        <v>0</v>
      </c>
      <c r="T546" s="188">
        <v>0</v>
      </c>
      <c r="U546" s="188">
        <v>0</v>
      </c>
      <c r="V546" s="188">
        <v>0</v>
      </c>
      <c r="W546" s="188">
        <v>0</v>
      </c>
      <c r="X546" s="188">
        <v>0</v>
      </c>
      <c r="Y546" s="188">
        <v>0</v>
      </c>
      <c r="Z546" s="188">
        <v>1</v>
      </c>
      <c r="AA546" s="188">
        <v>0</v>
      </c>
      <c r="AB546" s="188">
        <v>0</v>
      </c>
      <c r="AC546" s="188">
        <v>0</v>
      </c>
      <c r="AD546" s="188">
        <v>0</v>
      </c>
      <c r="AE546" s="188">
        <v>0</v>
      </c>
      <c r="AF546" s="191">
        <v>0.1</v>
      </c>
      <c r="AG546" s="183">
        <v>1</v>
      </c>
      <c r="AH546" s="5" t="s">
        <v>1854</v>
      </c>
      <c r="AL546" s="5" t="s">
        <v>1671</v>
      </c>
      <c r="AM546" s="5" t="s">
        <v>1672</v>
      </c>
      <c r="AO546" s="5" t="s">
        <v>1672</v>
      </c>
    </row>
    <row r="547" spans="1:41" ht="15" customHeight="1" x14ac:dyDescent="0.2">
      <c r="A547" s="141" t="s">
        <v>313</v>
      </c>
      <c r="B547" s="187" t="s">
        <v>1759</v>
      </c>
      <c r="C547" s="141">
        <v>2015</v>
      </c>
      <c r="D547" s="188">
        <v>69</v>
      </c>
      <c r="E547" s="135">
        <v>2694</v>
      </c>
      <c r="F547" s="192" t="s">
        <v>570</v>
      </c>
      <c r="G547" s="188">
        <v>0</v>
      </c>
      <c r="H547" s="188">
        <v>0</v>
      </c>
      <c r="I547" s="188">
        <v>0</v>
      </c>
      <c r="J547" s="188">
        <v>0</v>
      </c>
      <c r="K547" s="188">
        <v>0</v>
      </c>
      <c r="L547" s="188">
        <v>0</v>
      </c>
      <c r="M547" s="188">
        <v>0</v>
      </c>
      <c r="N547" s="188">
        <v>0</v>
      </c>
      <c r="O547" s="188">
        <v>0</v>
      </c>
      <c r="P547" s="188">
        <v>0</v>
      </c>
      <c r="Q547" s="188">
        <v>0</v>
      </c>
      <c r="R547" s="188">
        <v>0</v>
      </c>
      <c r="S547" s="188">
        <v>0</v>
      </c>
      <c r="T547" s="188">
        <v>0</v>
      </c>
      <c r="U547" s="188">
        <v>0</v>
      </c>
      <c r="V547" s="188">
        <v>0</v>
      </c>
      <c r="W547" s="188">
        <v>0</v>
      </c>
      <c r="X547" s="188">
        <v>0</v>
      </c>
      <c r="Y547" s="188">
        <v>0</v>
      </c>
      <c r="Z547" s="188">
        <v>1</v>
      </c>
      <c r="AA547" s="188">
        <v>0</v>
      </c>
      <c r="AB547" s="188">
        <v>0</v>
      </c>
      <c r="AC547" s="188">
        <v>0</v>
      </c>
      <c r="AD547" s="188">
        <v>0</v>
      </c>
      <c r="AE547" s="188">
        <v>0</v>
      </c>
      <c r="AF547" s="191">
        <v>0.1</v>
      </c>
      <c r="AG547" s="183">
        <v>1</v>
      </c>
      <c r="AH547" s="5" t="s">
        <v>1854</v>
      </c>
      <c r="AI547" s="5" t="s">
        <v>1658</v>
      </c>
      <c r="AL547" s="5" t="s">
        <v>1672</v>
      </c>
      <c r="AO547" s="5" t="s">
        <v>1672</v>
      </c>
    </row>
    <row r="548" spans="1:41" ht="15" customHeight="1" x14ac:dyDescent="0.2">
      <c r="A548" s="141" t="s">
        <v>313</v>
      </c>
      <c r="B548" s="187" t="s">
        <v>1759</v>
      </c>
      <c r="C548" s="141">
        <v>2015</v>
      </c>
      <c r="D548" s="188">
        <v>69</v>
      </c>
      <c r="E548" s="135">
        <v>2362</v>
      </c>
      <c r="F548" s="192" t="s">
        <v>663</v>
      </c>
      <c r="G548" s="188">
        <v>0</v>
      </c>
      <c r="H548" s="188">
        <v>0</v>
      </c>
      <c r="I548" s="188">
        <v>0</v>
      </c>
      <c r="J548" s="188">
        <v>0</v>
      </c>
      <c r="K548" s="188">
        <v>0</v>
      </c>
      <c r="L548" s="188">
        <v>0</v>
      </c>
      <c r="M548" s="188">
        <v>0</v>
      </c>
      <c r="N548" s="188">
        <v>0</v>
      </c>
      <c r="O548" s="188">
        <v>0</v>
      </c>
      <c r="P548" s="188">
        <v>0</v>
      </c>
      <c r="Q548" s="188">
        <v>0</v>
      </c>
      <c r="R548" s="188">
        <v>0</v>
      </c>
      <c r="S548" s="188">
        <v>0</v>
      </c>
      <c r="T548" s="188">
        <v>0</v>
      </c>
      <c r="U548" s="188">
        <v>0</v>
      </c>
      <c r="V548" s="188">
        <v>0</v>
      </c>
      <c r="W548" s="188">
        <v>0</v>
      </c>
      <c r="X548" s="188">
        <v>0</v>
      </c>
      <c r="Y548" s="188">
        <v>0</v>
      </c>
      <c r="Z548" s="188">
        <v>1</v>
      </c>
      <c r="AA548" s="188">
        <v>0</v>
      </c>
      <c r="AB548" s="188">
        <v>0</v>
      </c>
      <c r="AC548" s="188">
        <v>0</v>
      </c>
      <c r="AD548" s="188">
        <v>0</v>
      </c>
      <c r="AE548" s="188">
        <v>0</v>
      </c>
      <c r="AF548" s="190">
        <v>0.1</v>
      </c>
      <c r="AG548" s="183">
        <v>1</v>
      </c>
    </row>
    <row r="549" spans="1:41" ht="15" customHeight="1" x14ac:dyDescent="0.2">
      <c r="A549" s="141" t="s">
        <v>313</v>
      </c>
      <c r="B549" s="187" t="s">
        <v>1759</v>
      </c>
      <c r="C549" s="141">
        <v>2015</v>
      </c>
      <c r="D549" s="188">
        <v>69</v>
      </c>
      <c r="E549" s="135">
        <v>2856</v>
      </c>
      <c r="F549" s="192" t="s">
        <v>503</v>
      </c>
      <c r="G549" s="188"/>
      <c r="H549" s="188"/>
      <c r="I549" s="188"/>
      <c r="J549" s="188"/>
      <c r="K549" s="188"/>
      <c r="L549" s="188"/>
      <c r="M549" s="188"/>
      <c r="N549" s="188"/>
      <c r="O549" s="188"/>
      <c r="P549" s="188"/>
      <c r="Q549" s="188"/>
      <c r="R549" s="188"/>
      <c r="S549" s="188"/>
      <c r="T549" s="188"/>
      <c r="U549" s="188"/>
      <c r="V549" s="188"/>
      <c r="W549" s="188"/>
      <c r="X549" s="188"/>
      <c r="Y549" s="188"/>
      <c r="Z549" s="188"/>
      <c r="AA549" s="188"/>
      <c r="AB549" s="188"/>
      <c r="AC549" s="188"/>
      <c r="AD549" s="188"/>
      <c r="AE549" s="188"/>
      <c r="AF549" s="190"/>
      <c r="AG549" s="183">
        <v>0</v>
      </c>
      <c r="AH549" s="5" t="s">
        <v>1865</v>
      </c>
      <c r="AI549" s="5" t="s">
        <v>1653</v>
      </c>
      <c r="AL549" s="5" t="s">
        <v>1676</v>
      </c>
      <c r="AO549" s="5" t="s">
        <v>1676</v>
      </c>
    </row>
    <row r="550" spans="1:41" ht="15" customHeight="1" x14ac:dyDescent="0.2">
      <c r="A550" s="141" t="s">
        <v>313</v>
      </c>
      <c r="B550" s="187" t="s">
        <v>1759</v>
      </c>
      <c r="C550" s="141">
        <v>2015</v>
      </c>
      <c r="D550" s="188">
        <v>69</v>
      </c>
      <c r="E550" s="135">
        <v>2695</v>
      </c>
      <c r="F550" s="192" t="s">
        <v>569</v>
      </c>
      <c r="G550" s="188">
        <v>1</v>
      </c>
      <c r="H550" s="188">
        <v>1</v>
      </c>
      <c r="I550" s="188">
        <v>1</v>
      </c>
      <c r="J550" s="188">
        <v>1</v>
      </c>
      <c r="K550" s="188">
        <v>1</v>
      </c>
      <c r="L550" s="188">
        <v>1</v>
      </c>
      <c r="M550" s="188">
        <v>1</v>
      </c>
      <c r="N550" s="188">
        <v>1</v>
      </c>
      <c r="O550" s="188">
        <v>1</v>
      </c>
      <c r="P550" s="188">
        <v>1</v>
      </c>
      <c r="Q550" s="188">
        <v>1</v>
      </c>
      <c r="R550" s="188">
        <v>1</v>
      </c>
      <c r="S550" s="188">
        <v>1</v>
      </c>
      <c r="T550" s="188">
        <v>1</v>
      </c>
      <c r="U550" s="188">
        <v>1</v>
      </c>
      <c r="V550" s="188">
        <v>1</v>
      </c>
      <c r="W550" s="188">
        <v>1</v>
      </c>
      <c r="X550" s="188">
        <v>1</v>
      </c>
      <c r="Y550" s="188">
        <v>1</v>
      </c>
      <c r="Z550" s="188">
        <v>1</v>
      </c>
      <c r="AA550" s="188">
        <v>1</v>
      </c>
      <c r="AB550" s="188">
        <v>1</v>
      </c>
      <c r="AC550" s="188">
        <v>1</v>
      </c>
      <c r="AD550" s="188">
        <v>1</v>
      </c>
      <c r="AE550" s="188">
        <v>1</v>
      </c>
      <c r="AF550" s="191">
        <v>40</v>
      </c>
      <c r="AG550" s="183">
        <v>25</v>
      </c>
      <c r="AH550" s="5" t="s">
        <v>1811</v>
      </c>
      <c r="AI550" s="5" t="s">
        <v>1659</v>
      </c>
      <c r="AL550" s="5" t="s">
        <v>1669</v>
      </c>
      <c r="AM550" s="5" t="s">
        <v>1671</v>
      </c>
      <c r="AN550" s="5" t="s">
        <v>1676</v>
      </c>
      <c r="AO550" s="5" t="s">
        <v>1676</v>
      </c>
    </row>
    <row r="551" spans="1:41" ht="15" customHeight="1" x14ac:dyDescent="0.2">
      <c r="A551" s="141" t="s">
        <v>313</v>
      </c>
      <c r="B551" s="187" t="s">
        <v>1759</v>
      </c>
      <c r="C551" s="141">
        <v>2015</v>
      </c>
      <c r="D551" s="188">
        <v>69</v>
      </c>
      <c r="E551" s="135">
        <v>1677</v>
      </c>
      <c r="F551" s="192" t="s">
        <v>851</v>
      </c>
      <c r="G551" s="188">
        <v>1</v>
      </c>
      <c r="H551" s="188">
        <v>1</v>
      </c>
      <c r="I551" s="188">
        <v>1</v>
      </c>
      <c r="J551" s="188">
        <v>0</v>
      </c>
      <c r="K551" s="188">
        <v>0</v>
      </c>
      <c r="L551" s="188">
        <v>0</v>
      </c>
      <c r="M551" s="188">
        <v>0</v>
      </c>
      <c r="N551" s="188">
        <v>0</v>
      </c>
      <c r="O551" s="188">
        <v>0</v>
      </c>
      <c r="P551" s="188">
        <v>0</v>
      </c>
      <c r="Q551" s="188">
        <v>0</v>
      </c>
      <c r="R551" s="188">
        <v>0</v>
      </c>
      <c r="S551" s="188">
        <v>0</v>
      </c>
      <c r="T551" s="188">
        <v>0</v>
      </c>
      <c r="U551" s="188">
        <v>0</v>
      </c>
      <c r="V551" s="188">
        <v>0</v>
      </c>
      <c r="W551" s="188">
        <v>0</v>
      </c>
      <c r="X551" s="188">
        <v>0</v>
      </c>
      <c r="Y551" s="188">
        <v>0</v>
      </c>
      <c r="Z551" s="188">
        <v>0</v>
      </c>
      <c r="AA551" s="188">
        <v>0</v>
      </c>
      <c r="AB551" s="188">
        <v>0</v>
      </c>
      <c r="AC551" s="188">
        <v>0</v>
      </c>
      <c r="AD551" s="188">
        <v>0</v>
      </c>
      <c r="AE551" s="188">
        <v>0</v>
      </c>
      <c r="AF551" s="191"/>
      <c r="AG551" s="183">
        <v>3</v>
      </c>
      <c r="AH551" s="5" t="s">
        <v>1866</v>
      </c>
      <c r="AI551" s="5" t="s">
        <v>1467</v>
      </c>
      <c r="AJ551" s="5" t="s">
        <v>1659</v>
      </c>
      <c r="AL551" s="5" t="s">
        <v>1432</v>
      </c>
      <c r="AM551" s="5" t="s">
        <v>1671</v>
      </c>
      <c r="AN551" s="5" t="s">
        <v>1676</v>
      </c>
      <c r="AO551" s="5" t="s">
        <v>1676</v>
      </c>
    </row>
    <row r="552" spans="1:41" ht="15" customHeight="1" x14ac:dyDescent="0.2">
      <c r="A552" s="141" t="s">
        <v>313</v>
      </c>
      <c r="B552" s="187" t="s">
        <v>1759</v>
      </c>
      <c r="C552" s="141">
        <v>2015</v>
      </c>
      <c r="D552" s="188">
        <v>69</v>
      </c>
      <c r="E552" s="135">
        <v>2634</v>
      </c>
      <c r="F552" s="192" t="s">
        <v>594</v>
      </c>
      <c r="G552" s="188">
        <v>0</v>
      </c>
      <c r="H552" s="188">
        <v>0</v>
      </c>
      <c r="I552" s="188">
        <v>0</v>
      </c>
      <c r="J552" s="188">
        <v>0</v>
      </c>
      <c r="K552" s="188">
        <v>0</v>
      </c>
      <c r="L552" s="188">
        <v>0</v>
      </c>
      <c r="M552" s="188">
        <v>0</v>
      </c>
      <c r="N552" s="188">
        <v>0</v>
      </c>
      <c r="O552" s="188">
        <v>0</v>
      </c>
      <c r="P552" s="188">
        <v>0</v>
      </c>
      <c r="Q552" s="188">
        <v>0</v>
      </c>
      <c r="R552" s="188">
        <v>0</v>
      </c>
      <c r="S552" s="188">
        <v>0</v>
      </c>
      <c r="T552" s="188">
        <v>0</v>
      </c>
      <c r="U552" s="188">
        <v>1</v>
      </c>
      <c r="V552" s="188">
        <v>0</v>
      </c>
      <c r="W552" s="188">
        <v>0</v>
      </c>
      <c r="X552" s="188">
        <v>0</v>
      </c>
      <c r="Y552" s="188">
        <v>0</v>
      </c>
      <c r="Z552" s="188">
        <v>0</v>
      </c>
      <c r="AA552" s="188">
        <v>0</v>
      </c>
      <c r="AB552" s="188">
        <v>0</v>
      </c>
      <c r="AC552" s="188">
        <v>0</v>
      </c>
      <c r="AD552" s="188">
        <v>0</v>
      </c>
      <c r="AE552" s="188">
        <v>0</v>
      </c>
      <c r="AF552" s="191">
        <v>0.1</v>
      </c>
      <c r="AG552" s="183">
        <v>1</v>
      </c>
    </row>
    <row r="553" spans="1:41" ht="15" customHeight="1" x14ac:dyDescent="0.2">
      <c r="A553" s="141" t="s">
        <v>313</v>
      </c>
      <c r="B553" s="187" t="s">
        <v>1759</v>
      </c>
      <c r="C553" s="141">
        <v>2015</v>
      </c>
      <c r="D553" s="141">
        <v>69</v>
      </c>
      <c r="E553" s="135" t="e">
        <v>#N/A</v>
      </c>
      <c r="F553" s="192" t="s">
        <v>1772</v>
      </c>
      <c r="G553" s="141">
        <v>0</v>
      </c>
      <c r="H553" s="141">
        <v>0</v>
      </c>
      <c r="I553" s="141">
        <v>0</v>
      </c>
      <c r="J553" s="141">
        <v>0</v>
      </c>
      <c r="K553" s="141">
        <v>0</v>
      </c>
      <c r="L553" s="141">
        <v>0</v>
      </c>
      <c r="M553" s="141">
        <v>0</v>
      </c>
      <c r="N553" s="141">
        <v>0</v>
      </c>
      <c r="O553" s="141">
        <v>0</v>
      </c>
      <c r="P553" s="141">
        <v>0</v>
      </c>
      <c r="Q553" s="141">
        <v>0</v>
      </c>
      <c r="R553" s="141">
        <v>1</v>
      </c>
      <c r="S553" s="141">
        <v>0</v>
      </c>
      <c r="T553" s="141">
        <v>0</v>
      </c>
      <c r="U553" s="141">
        <v>0</v>
      </c>
      <c r="V553" s="141">
        <v>0</v>
      </c>
      <c r="W553" s="141">
        <v>1</v>
      </c>
      <c r="X553" s="141">
        <v>1</v>
      </c>
      <c r="Y553" s="141">
        <v>0</v>
      </c>
      <c r="Z553" s="141">
        <v>0</v>
      </c>
      <c r="AA553" s="141">
        <v>1</v>
      </c>
      <c r="AB553" s="141">
        <v>1</v>
      </c>
      <c r="AC553" s="141">
        <v>1</v>
      </c>
      <c r="AD553" s="141">
        <v>0</v>
      </c>
      <c r="AE553" s="141">
        <v>0</v>
      </c>
      <c r="AF553" s="148">
        <v>4</v>
      </c>
      <c r="AG553" s="183">
        <v>6</v>
      </c>
      <c r="AH553" s="4"/>
      <c r="AL553" s="5" t="s">
        <v>1434</v>
      </c>
      <c r="AO553" s="5" t="s">
        <v>1434</v>
      </c>
    </row>
    <row r="554" spans="1:41" ht="15" customHeight="1" x14ac:dyDescent="0.2">
      <c r="A554" s="141" t="s">
        <v>313</v>
      </c>
      <c r="B554" s="187" t="s">
        <v>1759</v>
      </c>
      <c r="C554" s="141">
        <v>2015</v>
      </c>
      <c r="D554" s="188">
        <v>70</v>
      </c>
      <c r="E554" s="135">
        <v>278</v>
      </c>
      <c r="F554" s="192" t="s">
        <v>132</v>
      </c>
      <c r="G554" s="188">
        <v>1</v>
      </c>
      <c r="H554" s="188">
        <v>1</v>
      </c>
      <c r="I554" s="188">
        <v>0</v>
      </c>
      <c r="J554" s="188">
        <v>0</v>
      </c>
      <c r="K554" s="188">
        <v>0</v>
      </c>
      <c r="L554" s="188">
        <v>1</v>
      </c>
      <c r="M554" s="188">
        <v>1</v>
      </c>
      <c r="N554" s="188">
        <v>0</v>
      </c>
      <c r="O554" s="188">
        <v>0</v>
      </c>
      <c r="P554" s="188">
        <v>0</v>
      </c>
      <c r="Q554" s="188">
        <v>1</v>
      </c>
      <c r="R554" s="188">
        <v>1</v>
      </c>
      <c r="S554" s="188">
        <v>0</v>
      </c>
      <c r="T554" s="188">
        <v>0</v>
      </c>
      <c r="U554" s="188">
        <v>0</v>
      </c>
      <c r="V554" s="188">
        <v>0</v>
      </c>
      <c r="W554" s="188">
        <v>1</v>
      </c>
      <c r="X554" s="188">
        <v>1</v>
      </c>
      <c r="Y554" s="188">
        <v>1</v>
      </c>
      <c r="Z554" s="188">
        <v>0</v>
      </c>
      <c r="AA554" s="188">
        <v>0</v>
      </c>
      <c r="AB554" s="188">
        <v>0</v>
      </c>
      <c r="AC554" s="188">
        <v>1</v>
      </c>
      <c r="AD554" s="188">
        <v>0</v>
      </c>
      <c r="AE554" s="188">
        <v>1</v>
      </c>
      <c r="AF554" s="190">
        <v>15</v>
      </c>
      <c r="AG554" s="183">
        <v>11</v>
      </c>
    </row>
    <row r="555" spans="1:41" ht="15" customHeight="1" x14ac:dyDescent="0.2">
      <c r="A555" s="141" t="s">
        <v>313</v>
      </c>
      <c r="B555" s="187" t="s">
        <v>1759</v>
      </c>
      <c r="C555" s="141">
        <v>2015</v>
      </c>
      <c r="D555" s="188">
        <v>70</v>
      </c>
      <c r="E555" s="135">
        <v>1576</v>
      </c>
      <c r="F555" s="192" t="s">
        <v>882</v>
      </c>
      <c r="G555" s="188">
        <v>1</v>
      </c>
      <c r="H555" s="188">
        <v>1</v>
      </c>
      <c r="I555" s="188">
        <v>1</v>
      </c>
      <c r="J555" s="188">
        <v>1</v>
      </c>
      <c r="K555" s="188">
        <v>1</v>
      </c>
      <c r="L555" s="188">
        <v>1</v>
      </c>
      <c r="M555" s="188">
        <v>0</v>
      </c>
      <c r="N555" s="188">
        <v>1</v>
      </c>
      <c r="O555" s="188">
        <v>1</v>
      </c>
      <c r="P555" s="188">
        <v>1</v>
      </c>
      <c r="Q555" s="188">
        <v>1</v>
      </c>
      <c r="R555" s="188">
        <v>1</v>
      </c>
      <c r="S555" s="188">
        <v>1</v>
      </c>
      <c r="T555" s="188">
        <v>1</v>
      </c>
      <c r="U555" s="188">
        <v>1</v>
      </c>
      <c r="V555" s="188">
        <v>1</v>
      </c>
      <c r="W555" s="188">
        <v>1</v>
      </c>
      <c r="X555" s="188">
        <v>1</v>
      </c>
      <c r="Y555" s="188">
        <v>1</v>
      </c>
      <c r="Z555" s="188">
        <v>1</v>
      </c>
      <c r="AA555" s="188">
        <v>1</v>
      </c>
      <c r="AB555" s="188">
        <v>1</v>
      </c>
      <c r="AC555" s="188">
        <v>1</v>
      </c>
      <c r="AD555" s="188">
        <v>1</v>
      </c>
      <c r="AE555" s="188">
        <v>1</v>
      </c>
      <c r="AF555" s="190">
        <v>20</v>
      </c>
      <c r="AG555" s="183">
        <v>24</v>
      </c>
    </row>
    <row r="556" spans="1:41" ht="15" customHeight="1" x14ac:dyDescent="0.2">
      <c r="A556" s="141" t="s">
        <v>313</v>
      </c>
      <c r="B556" s="187" t="s">
        <v>1759</v>
      </c>
      <c r="C556" s="141">
        <v>2015</v>
      </c>
      <c r="D556" s="141">
        <v>70</v>
      </c>
      <c r="E556" s="135">
        <v>2824</v>
      </c>
      <c r="F556" s="189" t="s">
        <v>1977</v>
      </c>
      <c r="G556" s="141">
        <v>0</v>
      </c>
      <c r="H556" s="141">
        <v>0</v>
      </c>
      <c r="I556" s="141">
        <v>0</v>
      </c>
      <c r="J556" s="141">
        <v>0</v>
      </c>
      <c r="K556" s="141">
        <v>0</v>
      </c>
      <c r="L556" s="141">
        <v>0</v>
      </c>
      <c r="M556" s="141">
        <v>0</v>
      </c>
      <c r="N556" s="141">
        <v>0</v>
      </c>
      <c r="O556" s="141">
        <v>0</v>
      </c>
      <c r="P556" s="141">
        <v>1</v>
      </c>
      <c r="Q556" s="141">
        <v>1</v>
      </c>
      <c r="R556" s="141">
        <v>0</v>
      </c>
      <c r="S556" s="141">
        <v>0</v>
      </c>
      <c r="T556" s="141">
        <v>0</v>
      </c>
      <c r="U556" s="141">
        <v>0</v>
      </c>
      <c r="V556" s="141">
        <v>0</v>
      </c>
      <c r="W556" s="141">
        <v>1</v>
      </c>
      <c r="X556" s="141">
        <v>1</v>
      </c>
      <c r="Y556" s="141">
        <v>1</v>
      </c>
      <c r="Z556" s="141">
        <v>0</v>
      </c>
      <c r="AA556" s="141">
        <v>0</v>
      </c>
      <c r="AB556" s="141">
        <v>1</v>
      </c>
      <c r="AC556" s="141">
        <v>0</v>
      </c>
      <c r="AD556" s="141">
        <v>1</v>
      </c>
      <c r="AE556" s="141">
        <v>1</v>
      </c>
      <c r="AF556" s="148">
        <v>0.1</v>
      </c>
      <c r="AG556" s="183">
        <v>8</v>
      </c>
      <c r="AH556" s="4"/>
    </row>
    <row r="557" spans="1:41" ht="15" customHeight="1" x14ac:dyDescent="0.2">
      <c r="A557" s="141" t="s">
        <v>313</v>
      </c>
      <c r="B557" s="187" t="s">
        <v>1759</v>
      </c>
      <c r="C557" s="141">
        <v>2015</v>
      </c>
      <c r="D557" s="188">
        <v>70</v>
      </c>
      <c r="E557" s="135">
        <v>2359</v>
      </c>
      <c r="F557" s="192" t="s">
        <v>665</v>
      </c>
      <c r="G557" s="188">
        <v>1</v>
      </c>
      <c r="H557" s="188">
        <v>1</v>
      </c>
      <c r="I557" s="188">
        <v>1</v>
      </c>
      <c r="J557" s="188">
        <v>1</v>
      </c>
      <c r="K557" s="188">
        <v>1</v>
      </c>
      <c r="L557" s="188">
        <v>0</v>
      </c>
      <c r="M557" s="188">
        <v>1</v>
      </c>
      <c r="N557" s="188">
        <v>1</v>
      </c>
      <c r="O557" s="188">
        <v>1</v>
      </c>
      <c r="P557" s="188">
        <v>1</v>
      </c>
      <c r="Q557" s="188">
        <v>1</v>
      </c>
      <c r="R557" s="188">
        <v>1</v>
      </c>
      <c r="S557" s="188">
        <v>0</v>
      </c>
      <c r="T557" s="188">
        <v>1</v>
      </c>
      <c r="U557" s="188">
        <v>1</v>
      </c>
      <c r="V557" s="188">
        <v>1</v>
      </c>
      <c r="W557" s="188">
        <v>1</v>
      </c>
      <c r="X557" s="188">
        <v>1</v>
      </c>
      <c r="Y557" s="188">
        <v>1</v>
      </c>
      <c r="Z557" s="188">
        <v>1</v>
      </c>
      <c r="AA557" s="188">
        <v>1</v>
      </c>
      <c r="AB557" s="188">
        <v>0</v>
      </c>
      <c r="AC557" s="188">
        <v>1</v>
      </c>
      <c r="AD557" s="188">
        <v>1</v>
      </c>
      <c r="AE557" s="188">
        <v>1</v>
      </c>
      <c r="AF557" s="191">
        <v>0.1</v>
      </c>
      <c r="AG557" s="183">
        <v>22</v>
      </c>
      <c r="AI557" s="5" t="s">
        <v>1655</v>
      </c>
      <c r="AL557" s="5" t="s">
        <v>1668</v>
      </c>
      <c r="AO557" s="5" t="s">
        <v>1668</v>
      </c>
    </row>
    <row r="558" spans="1:41" ht="15" customHeight="1" x14ac:dyDescent="0.2">
      <c r="A558" s="141" t="s">
        <v>313</v>
      </c>
      <c r="B558" s="187" t="s">
        <v>1759</v>
      </c>
      <c r="C558" s="141">
        <v>2015</v>
      </c>
      <c r="D558" s="188">
        <v>70</v>
      </c>
      <c r="E558" s="135">
        <v>2362</v>
      </c>
      <c r="F558" s="192" t="s">
        <v>663</v>
      </c>
      <c r="G558" s="188">
        <v>1</v>
      </c>
      <c r="H558" s="188">
        <v>1</v>
      </c>
      <c r="I558" s="188">
        <v>1</v>
      </c>
      <c r="J558" s="188">
        <v>1</v>
      </c>
      <c r="K558" s="188">
        <v>1</v>
      </c>
      <c r="L558" s="188">
        <v>0</v>
      </c>
      <c r="M558" s="188">
        <v>0</v>
      </c>
      <c r="N558" s="188">
        <v>0</v>
      </c>
      <c r="O558" s="188">
        <v>1</v>
      </c>
      <c r="P558" s="188">
        <v>0</v>
      </c>
      <c r="Q558" s="188">
        <v>0</v>
      </c>
      <c r="R558" s="188">
        <v>0</v>
      </c>
      <c r="S558" s="188">
        <v>0</v>
      </c>
      <c r="T558" s="188">
        <v>1</v>
      </c>
      <c r="U558" s="188">
        <v>1</v>
      </c>
      <c r="V558" s="188">
        <v>1</v>
      </c>
      <c r="W558" s="188">
        <v>1</v>
      </c>
      <c r="X558" s="188">
        <v>1</v>
      </c>
      <c r="Y558" s="188">
        <v>1</v>
      </c>
      <c r="Z558" s="188">
        <v>1</v>
      </c>
      <c r="AA558" s="188">
        <v>0</v>
      </c>
      <c r="AB558" s="188">
        <v>0</v>
      </c>
      <c r="AC558" s="188">
        <v>1</v>
      </c>
      <c r="AD558" s="188">
        <v>0</v>
      </c>
      <c r="AE558" s="188">
        <v>1</v>
      </c>
      <c r="AF558" s="191">
        <v>0.1</v>
      </c>
      <c r="AG558" s="183">
        <v>15</v>
      </c>
      <c r="AI558" s="5" t="s">
        <v>1655</v>
      </c>
      <c r="AL558" s="5" t="s">
        <v>1668</v>
      </c>
      <c r="AO558" s="5" t="s">
        <v>1668</v>
      </c>
    </row>
    <row r="559" spans="1:41" ht="15" customHeight="1" x14ac:dyDescent="0.2">
      <c r="A559" s="141" t="s">
        <v>313</v>
      </c>
      <c r="B559" s="187" t="s">
        <v>1759</v>
      </c>
      <c r="C559" s="141">
        <v>2015</v>
      </c>
      <c r="D559" s="188">
        <v>70</v>
      </c>
      <c r="E559" s="135">
        <v>2363</v>
      </c>
      <c r="F559" s="192" t="s">
        <v>662</v>
      </c>
      <c r="G559" s="188">
        <v>0</v>
      </c>
      <c r="H559" s="188">
        <v>0</v>
      </c>
      <c r="I559" s="188">
        <v>0</v>
      </c>
      <c r="J559" s="188">
        <v>0</v>
      </c>
      <c r="K559" s="188">
        <v>0</v>
      </c>
      <c r="L559" s="188">
        <v>0</v>
      </c>
      <c r="M559" s="188">
        <v>0</v>
      </c>
      <c r="N559" s="188">
        <v>0</v>
      </c>
      <c r="O559" s="188">
        <v>0</v>
      </c>
      <c r="P559" s="188">
        <v>1</v>
      </c>
      <c r="Q559" s="188">
        <v>0</v>
      </c>
      <c r="R559" s="188">
        <v>0</v>
      </c>
      <c r="S559" s="188">
        <v>0</v>
      </c>
      <c r="T559" s="188">
        <v>0</v>
      </c>
      <c r="U559" s="188">
        <v>0</v>
      </c>
      <c r="V559" s="188">
        <v>0</v>
      </c>
      <c r="W559" s="188">
        <v>0</v>
      </c>
      <c r="X559" s="188">
        <v>0</v>
      </c>
      <c r="Y559" s="188">
        <v>0</v>
      </c>
      <c r="Z559" s="188">
        <v>0</v>
      </c>
      <c r="AA559" s="188">
        <v>0</v>
      </c>
      <c r="AB559" s="188">
        <v>0</v>
      </c>
      <c r="AC559" s="188">
        <v>0</v>
      </c>
      <c r="AD559" s="188">
        <v>0</v>
      </c>
      <c r="AE559" s="188">
        <v>0</v>
      </c>
      <c r="AF559" s="190">
        <v>0.1</v>
      </c>
      <c r="AG559" s="183">
        <v>1</v>
      </c>
    </row>
    <row r="560" spans="1:41" ht="15" customHeight="1" x14ac:dyDescent="0.2">
      <c r="A560" s="141" t="s">
        <v>313</v>
      </c>
      <c r="B560" s="187" t="s">
        <v>1759</v>
      </c>
      <c r="C560" s="141">
        <v>2015</v>
      </c>
      <c r="D560" s="188">
        <v>70</v>
      </c>
      <c r="E560" s="135">
        <v>2366</v>
      </c>
      <c r="F560" s="192" t="s">
        <v>660</v>
      </c>
      <c r="G560" s="188">
        <v>1</v>
      </c>
      <c r="H560" s="188">
        <v>1</v>
      </c>
      <c r="I560" s="188">
        <v>0</v>
      </c>
      <c r="J560" s="188">
        <v>0</v>
      </c>
      <c r="K560" s="188">
        <v>0</v>
      </c>
      <c r="L560" s="188">
        <v>0</v>
      </c>
      <c r="M560" s="188">
        <v>0</v>
      </c>
      <c r="N560" s="188">
        <v>0</v>
      </c>
      <c r="O560" s="188">
        <v>0</v>
      </c>
      <c r="P560" s="188">
        <v>0</v>
      </c>
      <c r="Q560" s="188">
        <v>0</v>
      </c>
      <c r="R560" s="188">
        <v>0</v>
      </c>
      <c r="S560" s="188">
        <v>0</v>
      </c>
      <c r="T560" s="188">
        <v>0</v>
      </c>
      <c r="U560" s="188">
        <v>0</v>
      </c>
      <c r="V560" s="188">
        <v>0</v>
      </c>
      <c r="W560" s="188">
        <v>0</v>
      </c>
      <c r="X560" s="188">
        <v>0</v>
      </c>
      <c r="Y560" s="188">
        <v>0</v>
      </c>
      <c r="Z560" s="188">
        <v>0</v>
      </c>
      <c r="AA560" s="188">
        <v>0</v>
      </c>
      <c r="AB560" s="188">
        <v>0</v>
      </c>
      <c r="AC560" s="188">
        <v>0</v>
      </c>
      <c r="AD560" s="188">
        <v>0</v>
      </c>
      <c r="AE560" s="188">
        <v>0</v>
      </c>
      <c r="AF560" s="191">
        <v>0.1</v>
      </c>
      <c r="AG560" s="183">
        <v>2</v>
      </c>
      <c r="AI560" s="5" t="s">
        <v>1655</v>
      </c>
      <c r="AL560" s="5" t="s">
        <v>1668</v>
      </c>
      <c r="AO560" s="5" t="s">
        <v>1668</v>
      </c>
    </row>
    <row r="561" spans="1:41" ht="15" customHeight="1" x14ac:dyDescent="0.2">
      <c r="A561" s="141" t="s">
        <v>313</v>
      </c>
      <c r="B561" s="187" t="s">
        <v>1759</v>
      </c>
      <c r="C561" s="141">
        <v>2015</v>
      </c>
      <c r="D561" s="188">
        <v>70</v>
      </c>
      <c r="E561" s="135" t="e">
        <v>#N/A</v>
      </c>
      <c r="F561" s="192" t="s">
        <v>1767</v>
      </c>
      <c r="G561" s="188">
        <v>0</v>
      </c>
      <c r="H561" s="188">
        <v>0</v>
      </c>
      <c r="I561" s="188">
        <v>0</v>
      </c>
      <c r="J561" s="188">
        <v>0</v>
      </c>
      <c r="K561" s="188">
        <v>0</v>
      </c>
      <c r="L561" s="188">
        <v>0</v>
      </c>
      <c r="M561" s="188">
        <v>0</v>
      </c>
      <c r="N561" s="188">
        <v>0</v>
      </c>
      <c r="O561" s="188">
        <v>0</v>
      </c>
      <c r="P561" s="188">
        <v>0</v>
      </c>
      <c r="Q561" s="188">
        <v>0</v>
      </c>
      <c r="R561" s="188">
        <v>0</v>
      </c>
      <c r="S561" s="188">
        <v>0</v>
      </c>
      <c r="T561" s="188">
        <v>0</v>
      </c>
      <c r="U561" s="188">
        <v>0</v>
      </c>
      <c r="V561" s="188">
        <v>0</v>
      </c>
      <c r="W561" s="188">
        <v>0</v>
      </c>
      <c r="X561" s="188">
        <v>0</v>
      </c>
      <c r="Y561" s="188">
        <v>0</v>
      </c>
      <c r="Z561" s="188">
        <v>0</v>
      </c>
      <c r="AA561" s="188">
        <v>0</v>
      </c>
      <c r="AB561" s="188">
        <v>0</v>
      </c>
      <c r="AC561" s="188">
        <v>0</v>
      </c>
      <c r="AD561" s="188">
        <v>1</v>
      </c>
      <c r="AE561" s="188">
        <v>0</v>
      </c>
      <c r="AF561" s="191">
        <v>0.1</v>
      </c>
      <c r="AG561" s="183">
        <v>1</v>
      </c>
      <c r="AH561" s="4"/>
    </row>
    <row r="562" spans="1:41" ht="15" customHeight="1" x14ac:dyDescent="0.2">
      <c r="A562" s="141" t="s">
        <v>313</v>
      </c>
      <c r="B562" s="187" t="s">
        <v>1759</v>
      </c>
      <c r="C562" s="141">
        <v>2015</v>
      </c>
      <c r="D562" s="188">
        <v>70</v>
      </c>
      <c r="E562" s="135">
        <v>2388</v>
      </c>
      <c r="F562" s="192" t="s">
        <v>646</v>
      </c>
      <c r="G562" s="188">
        <v>1</v>
      </c>
      <c r="H562" s="188">
        <v>0</v>
      </c>
      <c r="I562" s="188">
        <v>0</v>
      </c>
      <c r="J562" s="188">
        <v>0</v>
      </c>
      <c r="K562" s="188">
        <v>0</v>
      </c>
      <c r="L562" s="188">
        <v>0</v>
      </c>
      <c r="M562" s="188">
        <v>0</v>
      </c>
      <c r="N562" s="188">
        <v>0</v>
      </c>
      <c r="O562" s="188">
        <v>0</v>
      </c>
      <c r="P562" s="188">
        <v>0</v>
      </c>
      <c r="Q562" s="188">
        <v>0</v>
      </c>
      <c r="R562" s="188">
        <v>0</v>
      </c>
      <c r="S562" s="188">
        <v>0</v>
      </c>
      <c r="T562" s="188">
        <v>0</v>
      </c>
      <c r="U562" s="188">
        <v>0</v>
      </c>
      <c r="V562" s="188">
        <v>0</v>
      </c>
      <c r="W562" s="188">
        <v>0</v>
      </c>
      <c r="X562" s="188">
        <v>0</v>
      </c>
      <c r="Y562" s="188">
        <v>0</v>
      </c>
      <c r="Z562" s="188">
        <v>0</v>
      </c>
      <c r="AA562" s="188">
        <v>0</v>
      </c>
      <c r="AB562" s="188">
        <v>0</v>
      </c>
      <c r="AC562" s="188">
        <v>0</v>
      </c>
      <c r="AD562" s="188">
        <v>0</v>
      </c>
      <c r="AE562" s="188">
        <v>0</v>
      </c>
      <c r="AF562" s="191"/>
      <c r="AG562" s="183">
        <v>1</v>
      </c>
      <c r="AH562" s="5" t="s">
        <v>1867</v>
      </c>
      <c r="AI562" s="5" t="s">
        <v>1653</v>
      </c>
      <c r="AL562" s="5" t="s">
        <v>1432</v>
      </c>
      <c r="AM562" s="5" t="s">
        <v>1673</v>
      </c>
      <c r="AN562" s="5" t="s">
        <v>1676</v>
      </c>
      <c r="AO562" s="5" t="s">
        <v>1676</v>
      </c>
    </row>
    <row r="563" spans="1:41" ht="15" customHeight="1" x14ac:dyDescent="0.2">
      <c r="A563" s="141" t="s">
        <v>313</v>
      </c>
      <c r="B563" s="187" t="s">
        <v>1759</v>
      </c>
      <c r="C563" s="141">
        <v>2015</v>
      </c>
      <c r="D563" s="188">
        <v>70</v>
      </c>
      <c r="E563" s="135">
        <v>478</v>
      </c>
      <c r="F563" s="189" t="s">
        <v>24</v>
      </c>
      <c r="G563" s="188">
        <v>0</v>
      </c>
      <c r="H563" s="188">
        <v>0</v>
      </c>
      <c r="I563" s="188">
        <v>0</v>
      </c>
      <c r="J563" s="188">
        <v>1</v>
      </c>
      <c r="K563" s="188">
        <v>1</v>
      </c>
      <c r="L563" s="188">
        <v>0</v>
      </c>
      <c r="M563" s="188">
        <v>0</v>
      </c>
      <c r="N563" s="188">
        <v>0</v>
      </c>
      <c r="O563" s="188">
        <v>0</v>
      </c>
      <c r="P563" s="188">
        <v>0</v>
      </c>
      <c r="Q563" s="188">
        <v>0</v>
      </c>
      <c r="R563" s="188">
        <v>0</v>
      </c>
      <c r="S563" s="188">
        <v>0</v>
      </c>
      <c r="T563" s="188">
        <v>0</v>
      </c>
      <c r="U563" s="188">
        <v>0</v>
      </c>
      <c r="V563" s="188">
        <v>0</v>
      </c>
      <c r="W563" s="188">
        <v>0</v>
      </c>
      <c r="X563" s="188">
        <v>0</v>
      </c>
      <c r="Y563" s="188">
        <v>0</v>
      </c>
      <c r="Z563" s="188">
        <v>0</v>
      </c>
      <c r="AA563" s="188">
        <v>0</v>
      </c>
      <c r="AB563" s="188">
        <v>0</v>
      </c>
      <c r="AC563" s="188">
        <v>0</v>
      </c>
      <c r="AD563" s="188">
        <v>0</v>
      </c>
      <c r="AE563" s="188">
        <v>0</v>
      </c>
      <c r="AF563" s="191">
        <v>0.1</v>
      </c>
      <c r="AG563" s="183">
        <v>2</v>
      </c>
      <c r="AI563" s="5" t="s">
        <v>1655</v>
      </c>
      <c r="AL563" s="5" t="s">
        <v>1668</v>
      </c>
      <c r="AO563" s="5" t="s">
        <v>1668</v>
      </c>
    </row>
    <row r="564" spans="1:41" ht="15" customHeight="1" x14ac:dyDescent="0.2">
      <c r="A564" s="141" t="s">
        <v>313</v>
      </c>
      <c r="B564" s="187" t="s">
        <v>1759</v>
      </c>
      <c r="C564" s="141">
        <v>2015</v>
      </c>
      <c r="D564" s="188">
        <v>70</v>
      </c>
      <c r="E564" s="135">
        <v>1638</v>
      </c>
      <c r="F564" s="189" t="s">
        <v>861</v>
      </c>
      <c r="G564" s="188">
        <v>0</v>
      </c>
      <c r="H564" s="188">
        <v>0</v>
      </c>
      <c r="I564" s="188">
        <v>0</v>
      </c>
      <c r="J564" s="188">
        <v>0</v>
      </c>
      <c r="K564" s="188">
        <v>0</v>
      </c>
      <c r="L564" s="188">
        <v>0</v>
      </c>
      <c r="M564" s="188">
        <v>1</v>
      </c>
      <c r="N564" s="188">
        <v>0</v>
      </c>
      <c r="O564" s="188">
        <v>0</v>
      </c>
      <c r="P564" s="188">
        <v>0</v>
      </c>
      <c r="Q564" s="188">
        <v>0</v>
      </c>
      <c r="R564" s="188">
        <v>0</v>
      </c>
      <c r="S564" s="188">
        <v>0</v>
      </c>
      <c r="T564" s="188">
        <v>0</v>
      </c>
      <c r="U564" s="188">
        <v>0</v>
      </c>
      <c r="V564" s="188">
        <v>0</v>
      </c>
      <c r="W564" s="188">
        <v>0</v>
      </c>
      <c r="X564" s="188">
        <v>0</v>
      </c>
      <c r="Y564" s="188">
        <v>0</v>
      </c>
      <c r="Z564" s="188">
        <v>0</v>
      </c>
      <c r="AA564" s="188">
        <v>0</v>
      </c>
      <c r="AB564" s="188">
        <v>0</v>
      </c>
      <c r="AC564" s="188">
        <v>0</v>
      </c>
      <c r="AD564" s="188">
        <v>0</v>
      </c>
      <c r="AE564" s="188">
        <v>0</v>
      </c>
      <c r="AF564" s="190">
        <v>0.1</v>
      </c>
      <c r="AG564" s="183">
        <v>1</v>
      </c>
      <c r="AI564" s="5" t="s">
        <v>1655</v>
      </c>
      <c r="AL564" s="5" t="s">
        <v>1668</v>
      </c>
      <c r="AO564" s="5" t="s">
        <v>1668</v>
      </c>
    </row>
    <row r="565" spans="1:41" ht="15" customHeight="1" x14ac:dyDescent="0.2">
      <c r="A565" s="141" t="s">
        <v>313</v>
      </c>
      <c r="B565" s="187" t="s">
        <v>1759</v>
      </c>
      <c r="C565" s="141">
        <v>2015</v>
      </c>
      <c r="D565" s="188">
        <v>70</v>
      </c>
      <c r="E565" s="135">
        <v>541</v>
      </c>
      <c r="F565" s="192" t="s">
        <v>1313</v>
      </c>
      <c r="G565" s="188">
        <v>0</v>
      </c>
      <c r="H565" s="188">
        <v>0</v>
      </c>
      <c r="I565" s="188">
        <v>0</v>
      </c>
      <c r="J565" s="188">
        <v>0</v>
      </c>
      <c r="K565" s="188">
        <v>0</v>
      </c>
      <c r="L565" s="188">
        <v>0</v>
      </c>
      <c r="M565" s="188">
        <v>0</v>
      </c>
      <c r="N565" s="188">
        <v>0</v>
      </c>
      <c r="O565" s="188">
        <v>0</v>
      </c>
      <c r="P565" s="188">
        <v>0</v>
      </c>
      <c r="Q565" s="188">
        <v>0</v>
      </c>
      <c r="R565" s="188">
        <v>0</v>
      </c>
      <c r="S565" s="188">
        <v>0</v>
      </c>
      <c r="T565" s="188">
        <v>0</v>
      </c>
      <c r="U565" s="188">
        <v>0</v>
      </c>
      <c r="V565" s="188">
        <v>0</v>
      </c>
      <c r="W565" s="188">
        <v>0</v>
      </c>
      <c r="X565" s="188">
        <v>0</v>
      </c>
      <c r="Y565" s="188">
        <v>0</v>
      </c>
      <c r="Z565" s="188">
        <v>0</v>
      </c>
      <c r="AA565" s="188">
        <v>0</v>
      </c>
      <c r="AB565" s="188">
        <v>1</v>
      </c>
      <c r="AC565" s="188">
        <v>1</v>
      </c>
      <c r="AD565" s="188">
        <v>0</v>
      </c>
      <c r="AE565" s="188">
        <v>0</v>
      </c>
      <c r="AF565" s="191">
        <v>0.1</v>
      </c>
      <c r="AG565" s="183">
        <v>2</v>
      </c>
      <c r="AI565" s="5" t="s">
        <v>1655</v>
      </c>
      <c r="AL565" s="5" t="s">
        <v>1668</v>
      </c>
      <c r="AO565" s="5" t="s">
        <v>1668</v>
      </c>
    </row>
    <row r="566" spans="1:41" ht="15" customHeight="1" x14ac:dyDescent="0.2">
      <c r="A566" s="141" t="s">
        <v>313</v>
      </c>
      <c r="B566" s="187" t="s">
        <v>1759</v>
      </c>
      <c r="C566" s="141">
        <v>2015</v>
      </c>
      <c r="D566" s="188">
        <v>70</v>
      </c>
      <c r="E566" s="135">
        <v>574</v>
      </c>
      <c r="F566" s="192" t="s">
        <v>1300</v>
      </c>
      <c r="G566" s="188">
        <v>0</v>
      </c>
      <c r="H566" s="188">
        <v>0</v>
      </c>
      <c r="I566" s="188">
        <v>0</v>
      </c>
      <c r="J566" s="188">
        <v>0</v>
      </c>
      <c r="K566" s="188">
        <v>0</v>
      </c>
      <c r="L566" s="188">
        <v>0</v>
      </c>
      <c r="M566" s="188">
        <v>1</v>
      </c>
      <c r="N566" s="188">
        <v>1</v>
      </c>
      <c r="O566" s="188">
        <v>1</v>
      </c>
      <c r="P566" s="188">
        <v>1</v>
      </c>
      <c r="Q566" s="188">
        <v>0</v>
      </c>
      <c r="R566" s="188">
        <v>0</v>
      </c>
      <c r="S566" s="188">
        <v>1</v>
      </c>
      <c r="T566" s="188">
        <v>1</v>
      </c>
      <c r="U566" s="188">
        <v>1</v>
      </c>
      <c r="V566" s="188">
        <v>0</v>
      </c>
      <c r="W566" s="188">
        <v>1</v>
      </c>
      <c r="X566" s="188">
        <v>1</v>
      </c>
      <c r="Y566" s="188">
        <v>1</v>
      </c>
      <c r="Z566" s="188">
        <v>1</v>
      </c>
      <c r="AA566" s="188">
        <v>0</v>
      </c>
      <c r="AB566" s="188">
        <v>0</v>
      </c>
      <c r="AC566" s="188">
        <v>1</v>
      </c>
      <c r="AD566" s="188">
        <v>1</v>
      </c>
      <c r="AE566" s="188">
        <v>1</v>
      </c>
      <c r="AF566" s="191">
        <v>6</v>
      </c>
      <c r="AG566" s="183">
        <v>14</v>
      </c>
    </row>
    <row r="567" spans="1:41" ht="15" customHeight="1" x14ac:dyDescent="0.2">
      <c r="A567" s="141" t="s">
        <v>313</v>
      </c>
      <c r="B567" s="187" t="s">
        <v>1759</v>
      </c>
      <c r="C567" s="141">
        <v>2015</v>
      </c>
      <c r="D567" s="188">
        <v>70</v>
      </c>
      <c r="E567" s="135">
        <v>2620</v>
      </c>
      <c r="F567" s="192" t="s">
        <v>605</v>
      </c>
      <c r="G567" s="188">
        <v>0</v>
      </c>
      <c r="H567" s="188">
        <v>0</v>
      </c>
      <c r="I567" s="188">
        <v>0</v>
      </c>
      <c r="J567" s="188">
        <v>0</v>
      </c>
      <c r="K567" s="188">
        <v>0</v>
      </c>
      <c r="L567" s="188">
        <v>0</v>
      </c>
      <c r="M567" s="188">
        <v>0</v>
      </c>
      <c r="N567" s="188">
        <v>0</v>
      </c>
      <c r="O567" s="188">
        <v>0</v>
      </c>
      <c r="P567" s="188">
        <v>0</v>
      </c>
      <c r="Q567" s="188">
        <v>0</v>
      </c>
      <c r="R567" s="188">
        <v>0</v>
      </c>
      <c r="S567" s="188">
        <v>0</v>
      </c>
      <c r="T567" s="188">
        <v>0</v>
      </c>
      <c r="U567" s="188">
        <v>0</v>
      </c>
      <c r="V567" s="188">
        <v>0</v>
      </c>
      <c r="W567" s="188">
        <v>0</v>
      </c>
      <c r="X567" s="188">
        <v>0</v>
      </c>
      <c r="Y567" s="188">
        <v>0</v>
      </c>
      <c r="Z567" s="188">
        <v>0</v>
      </c>
      <c r="AA567" s="188">
        <v>0</v>
      </c>
      <c r="AB567" s="188">
        <v>1</v>
      </c>
      <c r="AC567" s="188">
        <v>0</v>
      </c>
      <c r="AD567" s="188">
        <v>0</v>
      </c>
      <c r="AE567" s="188">
        <v>0</v>
      </c>
      <c r="AF567" s="190">
        <v>0.1</v>
      </c>
      <c r="AG567" s="183">
        <v>1</v>
      </c>
      <c r="AI567" s="5" t="s">
        <v>1655</v>
      </c>
      <c r="AL567" s="5" t="s">
        <v>1668</v>
      </c>
      <c r="AO567" s="5" t="s">
        <v>1668</v>
      </c>
    </row>
    <row r="568" spans="1:41" ht="15" customHeight="1" x14ac:dyDescent="0.2">
      <c r="A568" s="141" t="s">
        <v>313</v>
      </c>
      <c r="B568" s="187" t="s">
        <v>1759</v>
      </c>
      <c r="C568" s="141">
        <v>2015</v>
      </c>
      <c r="D568" s="188">
        <v>70</v>
      </c>
      <c r="E568" s="135">
        <v>1894</v>
      </c>
      <c r="F568" s="192" t="s">
        <v>795</v>
      </c>
      <c r="G568" s="188">
        <v>1</v>
      </c>
      <c r="H568" s="188">
        <v>1</v>
      </c>
      <c r="I568" s="188">
        <v>1</v>
      </c>
      <c r="J568" s="188">
        <v>1</v>
      </c>
      <c r="K568" s="188">
        <v>1</v>
      </c>
      <c r="L568" s="188">
        <v>1</v>
      </c>
      <c r="M568" s="188">
        <v>1</v>
      </c>
      <c r="N568" s="188">
        <v>1</v>
      </c>
      <c r="O568" s="188">
        <v>1</v>
      </c>
      <c r="P568" s="188">
        <v>1</v>
      </c>
      <c r="Q568" s="188">
        <v>1</v>
      </c>
      <c r="R568" s="188">
        <v>1</v>
      </c>
      <c r="S568" s="188">
        <v>1</v>
      </c>
      <c r="T568" s="188">
        <v>1</v>
      </c>
      <c r="U568" s="188">
        <v>1</v>
      </c>
      <c r="V568" s="188">
        <v>1</v>
      </c>
      <c r="W568" s="188">
        <v>1</v>
      </c>
      <c r="X568" s="188">
        <v>1</v>
      </c>
      <c r="Y568" s="188">
        <v>1</v>
      </c>
      <c r="Z568" s="188">
        <v>1</v>
      </c>
      <c r="AA568" s="188">
        <v>1</v>
      </c>
      <c r="AB568" s="188">
        <v>1</v>
      </c>
      <c r="AC568" s="188">
        <v>1</v>
      </c>
      <c r="AD568" s="188">
        <v>1</v>
      </c>
      <c r="AE568" s="188">
        <v>1</v>
      </c>
      <c r="AF568" s="190">
        <v>40</v>
      </c>
      <c r="AG568" s="183">
        <v>25</v>
      </c>
    </row>
    <row r="569" spans="1:41" ht="15" customHeight="1" x14ac:dyDescent="0.2">
      <c r="A569" s="141" t="s">
        <v>313</v>
      </c>
      <c r="B569" s="187" t="s">
        <v>1759</v>
      </c>
      <c r="C569" s="141">
        <v>2015</v>
      </c>
      <c r="D569" s="188">
        <v>70</v>
      </c>
      <c r="E569" s="135">
        <v>1046</v>
      </c>
      <c r="F569" s="192" t="s">
        <v>1095</v>
      </c>
      <c r="G569" s="188">
        <v>0</v>
      </c>
      <c r="H569" s="188">
        <v>0</v>
      </c>
      <c r="I569" s="188">
        <v>0</v>
      </c>
      <c r="J569" s="188">
        <v>0</v>
      </c>
      <c r="K569" s="188">
        <v>0</v>
      </c>
      <c r="L569" s="188">
        <v>0</v>
      </c>
      <c r="M569" s="188">
        <v>0</v>
      </c>
      <c r="N569" s="188">
        <v>0</v>
      </c>
      <c r="O569" s="188">
        <v>1</v>
      </c>
      <c r="P569" s="188">
        <v>0</v>
      </c>
      <c r="Q569" s="188">
        <v>0</v>
      </c>
      <c r="R569" s="188">
        <v>0</v>
      </c>
      <c r="S569" s="188">
        <v>0</v>
      </c>
      <c r="T569" s="188">
        <v>0</v>
      </c>
      <c r="U569" s="188">
        <v>0</v>
      </c>
      <c r="V569" s="188">
        <v>0</v>
      </c>
      <c r="W569" s="188">
        <v>0</v>
      </c>
      <c r="X569" s="188">
        <v>0</v>
      </c>
      <c r="Y569" s="188">
        <v>0</v>
      </c>
      <c r="Z569" s="188">
        <v>0</v>
      </c>
      <c r="AA569" s="188">
        <v>0</v>
      </c>
      <c r="AB569" s="188">
        <v>0</v>
      </c>
      <c r="AC569" s="188">
        <v>0</v>
      </c>
      <c r="AD569" s="188">
        <v>0</v>
      </c>
      <c r="AE569" s="188">
        <v>0</v>
      </c>
      <c r="AF569" s="190">
        <v>0.1</v>
      </c>
      <c r="AG569" s="183">
        <v>1</v>
      </c>
      <c r="AI569" s="5" t="s">
        <v>1655</v>
      </c>
      <c r="AL569" s="5" t="s">
        <v>1668</v>
      </c>
      <c r="AO569" s="5" t="s">
        <v>1668</v>
      </c>
    </row>
    <row r="570" spans="1:41" ht="15" customHeight="1" x14ac:dyDescent="0.2">
      <c r="A570" s="141" t="s">
        <v>313</v>
      </c>
      <c r="B570" s="187" t="s">
        <v>1759</v>
      </c>
      <c r="C570" s="141">
        <v>2015</v>
      </c>
      <c r="D570" s="188">
        <v>70</v>
      </c>
      <c r="E570" s="135">
        <v>1066</v>
      </c>
      <c r="F570" s="192" t="s">
        <v>1082</v>
      </c>
      <c r="G570" s="188">
        <v>0</v>
      </c>
      <c r="H570" s="188">
        <v>0</v>
      </c>
      <c r="I570" s="188">
        <v>0</v>
      </c>
      <c r="J570" s="188">
        <v>0</v>
      </c>
      <c r="K570" s="188">
        <v>1</v>
      </c>
      <c r="L570" s="188">
        <v>0</v>
      </c>
      <c r="M570" s="188">
        <v>0</v>
      </c>
      <c r="N570" s="188">
        <v>1</v>
      </c>
      <c r="O570" s="188">
        <v>0</v>
      </c>
      <c r="P570" s="188">
        <v>1</v>
      </c>
      <c r="Q570" s="188">
        <v>0</v>
      </c>
      <c r="R570" s="188">
        <v>0</v>
      </c>
      <c r="S570" s="188">
        <v>1</v>
      </c>
      <c r="T570" s="188">
        <v>0</v>
      </c>
      <c r="U570" s="188">
        <v>0</v>
      </c>
      <c r="V570" s="188">
        <v>0</v>
      </c>
      <c r="W570" s="188">
        <v>0</v>
      </c>
      <c r="X570" s="188">
        <v>0</v>
      </c>
      <c r="Y570" s="188">
        <v>0</v>
      </c>
      <c r="Z570" s="188">
        <v>0</v>
      </c>
      <c r="AA570" s="188">
        <v>0</v>
      </c>
      <c r="AB570" s="188">
        <v>0</v>
      </c>
      <c r="AC570" s="188">
        <v>1</v>
      </c>
      <c r="AD570" s="188">
        <v>0</v>
      </c>
      <c r="AE570" s="188">
        <v>0</v>
      </c>
      <c r="AF570" s="190">
        <v>0.1</v>
      </c>
      <c r="AG570" s="183">
        <v>5</v>
      </c>
      <c r="AI570" s="5" t="s">
        <v>1655</v>
      </c>
      <c r="AL570" s="5" t="s">
        <v>1668</v>
      </c>
      <c r="AO570" s="5" t="s">
        <v>1668</v>
      </c>
    </row>
    <row r="571" spans="1:41" ht="15" customHeight="1" x14ac:dyDescent="0.2">
      <c r="A571" s="141" t="s">
        <v>313</v>
      </c>
      <c r="B571" s="187" t="s">
        <v>1759</v>
      </c>
      <c r="C571" s="141">
        <v>2015</v>
      </c>
      <c r="D571" s="188">
        <v>70</v>
      </c>
      <c r="E571" s="135">
        <v>1140</v>
      </c>
      <c r="F571" s="192" t="s">
        <v>1052</v>
      </c>
      <c r="G571" s="188">
        <v>0</v>
      </c>
      <c r="H571" s="188">
        <v>0</v>
      </c>
      <c r="I571" s="188">
        <v>0</v>
      </c>
      <c r="J571" s="188">
        <v>0</v>
      </c>
      <c r="K571" s="188">
        <v>0</v>
      </c>
      <c r="L571" s="188">
        <v>0</v>
      </c>
      <c r="M571" s="188">
        <v>0</v>
      </c>
      <c r="N571" s="188">
        <v>0</v>
      </c>
      <c r="O571" s="188">
        <v>1</v>
      </c>
      <c r="P571" s="188">
        <v>1</v>
      </c>
      <c r="Q571" s="188">
        <v>0</v>
      </c>
      <c r="R571" s="188">
        <v>0</v>
      </c>
      <c r="S571" s="188">
        <v>0</v>
      </c>
      <c r="T571" s="188">
        <v>0</v>
      </c>
      <c r="U571" s="188">
        <v>0</v>
      </c>
      <c r="V571" s="188">
        <v>0</v>
      </c>
      <c r="W571" s="188">
        <v>0</v>
      </c>
      <c r="X571" s="188">
        <v>0</v>
      </c>
      <c r="Y571" s="188">
        <v>0</v>
      </c>
      <c r="Z571" s="188">
        <v>0</v>
      </c>
      <c r="AA571" s="188">
        <v>0</v>
      </c>
      <c r="AB571" s="188">
        <v>1</v>
      </c>
      <c r="AC571" s="188">
        <v>1</v>
      </c>
      <c r="AD571" s="188">
        <v>0</v>
      </c>
      <c r="AE571" s="188">
        <v>0</v>
      </c>
      <c r="AF571" s="190">
        <v>0.1</v>
      </c>
      <c r="AG571" s="183">
        <v>4</v>
      </c>
      <c r="AI571" s="5" t="s">
        <v>1655</v>
      </c>
      <c r="AL571" s="5" t="s">
        <v>1668</v>
      </c>
      <c r="AO571" s="5" t="s">
        <v>1668</v>
      </c>
    </row>
    <row r="572" spans="1:41" ht="15" customHeight="1" x14ac:dyDescent="0.2">
      <c r="A572" s="141" t="s">
        <v>313</v>
      </c>
      <c r="B572" s="187" t="s">
        <v>1759</v>
      </c>
      <c r="C572" s="141">
        <v>2015</v>
      </c>
      <c r="D572" s="141">
        <v>70</v>
      </c>
      <c r="E572" s="135" t="e">
        <v>#N/A</v>
      </c>
      <c r="F572" s="192" t="s">
        <v>1772</v>
      </c>
      <c r="G572" s="141">
        <v>0</v>
      </c>
      <c r="H572" s="141">
        <v>0</v>
      </c>
      <c r="I572" s="141">
        <v>0</v>
      </c>
      <c r="J572" s="141">
        <v>0</v>
      </c>
      <c r="K572" s="141">
        <v>0</v>
      </c>
      <c r="L572" s="141">
        <v>0</v>
      </c>
      <c r="M572" s="141">
        <v>0</v>
      </c>
      <c r="N572" s="141">
        <v>0</v>
      </c>
      <c r="O572" s="141">
        <v>0</v>
      </c>
      <c r="P572" s="141">
        <v>0</v>
      </c>
      <c r="Q572" s="141">
        <v>0</v>
      </c>
      <c r="R572" s="141">
        <v>0</v>
      </c>
      <c r="S572" s="141">
        <v>0</v>
      </c>
      <c r="T572" s="141">
        <v>0</v>
      </c>
      <c r="U572" s="141">
        <v>0</v>
      </c>
      <c r="V572" s="141">
        <v>0</v>
      </c>
      <c r="W572" s="141">
        <v>1</v>
      </c>
      <c r="X572" s="141">
        <v>0</v>
      </c>
      <c r="Y572" s="141">
        <v>0</v>
      </c>
      <c r="Z572" s="141">
        <v>0</v>
      </c>
      <c r="AA572" s="141">
        <v>0</v>
      </c>
      <c r="AB572" s="141">
        <v>0</v>
      </c>
      <c r="AC572" s="141">
        <v>0</v>
      </c>
      <c r="AD572" s="141">
        <v>0</v>
      </c>
      <c r="AE572" s="141">
        <v>0</v>
      </c>
      <c r="AF572" s="148">
        <v>0.1</v>
      </c>
      <c r="AG572" s="183">
        <v>1</v>
      </c>
      <c r="AH572" s="4"/>
      <c r="AI572" s="5" t="s">
        <v>1655</v>
      </c>
      <c r="AL572" s="5" t="s">
        <v>1668</v>
      </c>
      <c r="AM572" s="5" t="s">
        <v>1434</v>
      </c>
      <c r="AO572" s="5" t="s">
        <v>1434</v>
      </c>
    </row>
    <row r="573" spans="1:41" ht="15" customHeight="1" x14ac:dyDescent="0.2">
      <c r="A573" s="141" t="s">
        <v>313</v>
      </c>
      <c r="B573" s="187" t="s">
        <v>1759</v>
      </c>
      <c r="C573" s="141">
        <v>2015</v>
      </c>
      <c r="D573" s="188">
        <v>71</v>
      </c>
      <c r="E573" s="135">
        <v>278</v>
      </c>
      <c r="F573" s="192" t="s">
        <v>132</v>
      </c>
      <c r="G573" s="188">
        <v>1</v>
      </c>
      <c r="H573" s="188">
        <v>1</v>
      </c>
      <c r="I573" s="188">
        <v>1</v>
      </c>
      <c r="J573" s="188">
        <v>1</v>
      </c>
      <c r="K573" s="188">
        <v>1</v>
      </c>
      <c r="L573" s="188">
        <v>1</v>
      </c>
      <c r="M573" s="188">
        <v>1</v>
      </c>
      <c r="N573" s="188">
        <v>1</v>
      </c>
      <c r="O573" s="188">
        <v>1</v>
      </c>
      <c r="P573" s="188">
        <v>1</v>
      </c>
      <c r="Q573" s="188">
        <v>1</v>
      </c>
      <c r="R573" s="188">
        <v>1</v>
      </c>
      <c r="S573" s="188">
        <v>1</v>
      </c>
      <c r="T573" s="188">
        <v>1</v>
      </c>
      <c r="U573" s="188">
        <v>1</v>
      </c>
      <c r="V573" s="188">
        <v>0</v>
      </c>
      <c r="W573" s="188">
        <v>1</v>
      </c>
      <c r="X573" s="188">
        <v>1</v>
      </c>
      <c r="Y573" s="188">
        <v>1</v>
      </c>
      <c r="Z573" s="188">
        <v>1</v>
      </c>
      <c r="AA573" s="188">
        <v>0</v>
      </c>
      <c r="AB573" s="188">
        <v>1</v>
      </c>
      <c r="AC573" s="188">
        <v>1</v>
      </c>
      <c r="AD573" s="188">
        <v>1</v>
      </c>
      <c r="AE573" s="188">
        <v>1</v>
      </c>
      <c r="AF573" s="191">
        <v>20</v>
      </c>
      <c r="AG573" s="183">
        <v>23</v>
      </c>
    </row>
    <row r="574" spans="1:41" ht="15" customHeight="1" x14ac:dyDescent="0.2">
      <c r="A574" s="141" t="s">
        <v>313</v>
      </c>
      <c r="B574" s="187" t="s">
        <v>1759</v>
      </c>
      <c r="C574" s="141">
        <v>2015</v>
      </c>
      <c r="D574" s="188">
        <v>71</v>
      </c>
      <c r="E574" s="135">
        <v>542</v>
      </c>
      <c r="F574" s="192" t="s">
        <v>1312</v>
      </c>
      <c r="G574" s="188">
        <v>1</v>
      </c>
      <c r="H574" s="188">
        <v>1</v>
      </c>
      <c r="I574" s="188">
        <v>1</v>
      </c>
      <c r="J574" s="188">
        <v>1</v>
      </c>
      <c r="K574" s="188">
        <v>0</v>
      </c>
      <c r="L574" s="188">
        <v>0</v>
      </c>
      <c r="M574" s="188">
        <v>1</v>
      </c>
      <c r="N574" s="188">
        <v>1</v>
      </c>
      <c r="O574" s="188">
        <v>1</v>
      </c>
      <c r="P574" s="188">
        <v>1</v>
      </c>
      <c r="Q574" s="188">
        <v>0</v>
      </c>
      <c r="R574" s="188">
        <v>0</v>
      </c>
      <c r="S574" s="188">
        <v>0</v>
      </c>
      <c r="T574" s="188">
        <v>1</v>
      </c>
      <c r="U574" s="188">
        <v>1</v>
      </c>
      <c r="V574" s="188">
        <v>0</v>
      </c>
      <c r="W574" s="188">
        <v>1</v>
      </c>
      <c r="X574" s="188">
        <v>1</v>
      </c>
      <c r="Y574" s="188">
        <v>0</v>
      </c>
      <c r="Z574" s="188">
        <v>0</v>
      </c>
      <c r="AA574" s="188">
        <v>1</v>
      </c>
      <c r="AB574" s="188">
        <v>1</v>
      </c>
      <c r="AC574" s="188">
        <v>1</v>
      </c>
      <c r="AD574" s="188">
        <v>1</v>
      </c>
      <c r="AE574" s="188">
        <v>1</v>
      </c>
      <c r="AF574" s="190">
        <v>5</v>
      </c>
      <c r="AG574" s="183">
        <v>17</v>
      </c>
    </row>
    <row r="575" spans="1:41" ht="15" customHeight="1" x14ac:dyDescent="0.2">
      <c r="A575" s="141" t="s">
        <v>313</v>
      </c>
      <c r="B575" s="187" t="s">
        <v>1759</v>
      </c>
      <c r="C575" s="141">
        <v>2015</v>
      </c>
      <c r="D575" s="188">
        <v>71</v>
      </c>
      <c r="E575" s="135">
        <v>546</v>
      </c>
      <c r="F575" s="192" t="s">
        <v>1310</v>
      </c>
      <c r="G575" s="188">
        <v>0</v>
      </c>
      <c r="H575" s="188">
        <v>0</v>
      </c>
      <c r="I575" s="188">
        <v>0</v>
      </c>
      <c r="J575" s="188">
        <v>0</v>
      </c>
      <c r="K575" s="188">
        <v>0</v>
      </c>
      <c r="L575" s="188">
        <v>0</v>
      </c>
      <c r="M575" s="188">
        <v>0</v>
      </c>
      <c r="N575" s="188">
        <v>0</v>
      </c>
      <c r="O575" s="188">
        <v>0</v>
      </c>
      <c r="P575" s="188">
        <v>0</v>
      </c>
      <c r="Q575" s="188">
        <v>0</v>
      </c>
      <c r="R575" s="188">
        <v>0</v>
      </c>
      <c r="S575" s="188">
        <v>0</v>
      </c>
      <c r="T575" s="188">
        <v>0</v>
      </c>
      <c r="U575" s="188">
        <v>0</v>
      </c>
      <c r="V575" s="188">
        <v>0</v>
      </c>
      <c r="W575" s="188">
        <v>0</v>
      </c>
      <c r="X575" s="188">
        <v>0</v>
      </c>
      <c r="Y575" s="188">
        <v>0</v>
      </c>
      <c r="Z575" s="188">
        <v>0</v>
      </c>
      <c r="AA575" s="188">
        <v>0</v>
      </c>
      <c r="AB575" s="188">
        <v>0</v>
      </c>
      <c r="AC575" s="188">
        <v>0</v>
      </c>
      <c r="AD575" s="188">
        <v>1</v>
      </c>
      <c r="AE575" s="188">
        <v>1</v>
      </c>
      <c r="AF575" s="191">
        <v>1</v>
      </c>
      <c r="AG575" s="183">
        <v>2</v>
      </c>
      <c r="AH575" s="4"/>
    </row>
    <row r="576" spans="1:41" ht="15" customHeight="1" x14ac:dyDescent="0.2">
      <c r="A576" s="141" t="s">
        <v>313</v>
      </c>
      <c r="B576" s="187" t="s">
        <v>1759</v>
      </c>
      <c r="C576" s="141">
        <v>2015</v>
      </c>
      <c r="D576" s="188">
        <v>71</v>
      </c>
      <c r="E576" s="135">
        <v>730</v>
      </c>
      <c r="F576" s="192" t="s">
        <v>1225</v>
      </c>
      <c r="G576" s="188">
        <v>0</v>
      </c>
      <c r="H576" s="188">
        <v>0</v>
      </c>
      <c r="I576" s="188">
        <v>0</v>
      </c>
      <c r="J576" s="188">
        <v>0</v>
      </c>
      <c r="K576" s="188">
        <v>1</v>
      </c>
      <c r="L576" s="188">
        <v>1</v>
      </c>
      <c r="M576" s="188">
        <v>0</v>
      </c>
      <c r="N576" s="188">
        <v>0</v>
      </c>
      <c r="O576" s="188">
        <v>0</v>
      </c>
      <c r="P576" s="188">
        <v>0</v>
      </c>
      <c r="Q576" s="188">
        <v>0</v>
      </c>
      <c r="R576" s="188">
        <v>1</v>
      </c>
      <c r="S576" s="188">
        <v>1</v>
      </c>
      <c r="T576" s="188">
        <v>0</v>
      </c>
      <c r="U576" s="188">
        <v>0</v>
      </c>
      <c r="V576" s="188">
        <v>1</v>
      </c>
      <c r="W576" s="188">
        <v>0</v>
      </c>
      <c r="X576" s="188">
        <v>0</v>
      </c>
      <c r="Y576" s="188">
        <v>0</v>
      </c>
      <c r="Z576" s="188">
        <v>1</v>
      </c>
      <c r="AA576" s="188">
        <v>1</v>
      </c>
      <c r="AB576" s="188">
        <v>1</v>
      </c>
      <c r="AC576" s="188">
        <v>0</v>
      </c>
      <c r="AD576" s="188">
        <v>0</v>
      </c>
      <c r="AE576" s="188">
        <v>1</v>
      </c>
      <c r="AF576" s="191">
        <v>10</v>
      </c>
      <c r="AG576" s="183">
        <v>9</v>
      </c>
    </row>
    <row r="577" spans="1:41" ht="15" customHeight="1" x14ac:dyDescent="0.2">
      <c r="A577" s="141" t="s">
        <v>313</v>
      </c>
      <c r="B577" s="187" t="s">
        <v>1759</v>
      </c>
      <c r="C577" s="141">
        <v>2015</v>
      </c>
      <c r="D577" s="188">
        <v>71</v>
      </c>
      <c r="E577" s="135">
        <v>876</v>
      </c>
      <c r="F577" s="192" t="s">
        <v>1163</v>
      </c>
      <c r="G577" s="188">
        <v>1</v>
      </c>
      <c r="H577" s="188">
        <v>1</v>
      </c>
      <c r="I577" s="188">
        <v>1</v>
      </c>
      <c r="J577" s="188">
        <v>1</v>
      </c>
      <c r="K577" s="188">
        <v>1</v>
      </c>
      <c r="L577" s="188">
        <v>0</v>
      </c>
      <c r="M577" s="188">
        <v>1</v>
      </c>
      <c r="N577" s="188">
        <v>1</v>
      </c>
      <c r="O577" s="188">
        <v>1</v>
      </c>
      <c r="P577" s="188">
        <v>1</v>
      </c>
      <c r="Q577" s="188">
        <v>1</v>
      </c>
      <c r="R577" s="188">
        <v>1</v>
      </c>
      <c r="S577" s="188">
        <v>1</v>
      </c>
      <c r="T577" s="188">
        <v>1</v>
      </c>
      <c r="U577" s="188">
        <v>1</v>
      </c>
      <c r="V577" s="188">
        <v>1</v>
      </c>
      <c r="W577" s="188">
        <v>1</v>
      </c>
      <c r="X577" s="188">
        <v>1</v>
      </c>
      <c r="Y577" s="188">
        <v>1</v>
      </c>
      <c r="Z577" s="188">
        <v>1</v>
      </c>
      <c r="AA577" s="188">
        <v>1</v>
      </c>
      <c r="AB577" s="188">
        <v>1</v>
      </c>
      <c r="AC577" s="188">
        <v>1</v>
      </c>
      <c r="AD577" s="188">
        <v>1</v>
      </c>
      <c r="AE577" s="188">
        <v>1</v>
      </c>
      <c r="AF577" s="191">
        <v>70</v>
      </c>
      <c r="AG577" s="183">
        <v>24</v>
      </c>
    </row>
    <row r="578" spans="1:41" ht="15" customHeight="1" x14ac:dyDescent="0.2">
      <c r="A578" s="141" t="s">
        <v>313</v>
      </c>
      <c r="B578" s="187" t="s">
        <v>1759</v>
      </c>
      <c r="C578" s="141">
        <v>2015</v>
      </c>
      <c r="D578" s="188">
        <v>71</v>
      </c>
      <c r="E578" s="135">
        <v>1891</v>
      </c>
      <c r="F578" s="192" t="s">
        <v>797</v>
      </c>
      <c r="G578" s="188">
        <v>0</v>
      </c>
      <c r="H578" s="188">
        <v>0</v>
      </c>
      <c r="I578" s="188">
        <v>0</v>
      </c>
      <c r="J578" s="188">
        <v>0</v>
      </c>
      <c r="K578" s="188">
        <v>1</v>
      </c>
      <c r="L578" s="188">
        <v>0</v>
      </c>
      <c r="M578" s="188">
        <v>0</v>
      </c>
      <c r="N578" s="188">
        <v>0</v>
      </c>
      <c r="O578" s="188">
        <v>0</v>
      </c>
      <c r="P578" s="188">
        <v>1</v>
      </c>
      <c r="Q578" s="188">
        <v>1</v>
      </c>
      <c r="R578" s="188">
        <v>0</v>
      </c>
      <c r="S578" s="188">
        <v>0</v>
      </c>
      <c r="T578" s="188">
        <v>1</v>
      </c>
      <c r="U578" s="188">
        <v>1</v>
      </c>
      <c r="V578" s="188">
        <v>1</v>
      </c>
      <c r="W578" s="188">
        <v>0</v>
      </c>
      <c r="X578" s="188">
        <v>0</v>
      </c>
      <c r="Y578" s="188">
        <v>0</v>
      </c>
      <c r="Z578" s="188">
        <v>1</v>
      </c>
      <c r="AA578" s="188">
        <v>0</v>
      </c>
      <c r="AB578" s="188">
        <v>0</v>
      </c>
      <c r="AC578" s="188">
        <v>0</v>
      </c>
      <c r="AD578" s="188">
        <v>0</v>
      </c>
      <c r="AE578" s="188">
        <v>0</v>
      </c>
      <c r="AF578" s="190">
        <v>0.5</v>
      </c>
      <c r="AG578" s="183">
        <v>7</v>
      </c>
    </row>
    <row r="579" spans="1:41" ht="15" customHeight="1" x14ac:dyDescent="0.2">
      <c r="A579" s="141" t="s">
        <v>313</v>
      </c>
      <c r="B579" s="187" t="s">
        <v>1759</v>
      </c>
      <c r="C579" s="141">
        <v>2015</v>
      </c>
      <c r="D579" s="188">
        <v>71</v>
      </c>
      <c r="E579" s="135">
        <v>1960</v>
      </c>
      <c r="F579" s="192" t="s">
        <v>775</v>
      </c>
      <c r="G579" s="188">
        <v>0</v>
      </c>
      <c r="H579" s="188">
        <v>0</v>
      </c>
      <c r="I579" s="188">
        <v>0</v>
      </c>
      <c r="J579" s="188">
        <v>0</v>
      </c>
      <c r="K579" s="188">
        <v>1</v>
      </c>
      <c r="L579" s="188">
        <v>1</v>
      </c>
      <c r="M579" s="188">
        <v>0</v>
      </c>
      <c r="N579" s="188">
        <v>0</v>
      </c>
      <c r="O579" s="188">
        <v>0</v>
      </c>
      <c r="P579" s="188">
        <v>0</v>
      </c>
      <c r="Q579" s="188">
        <v>0</v>
      </c>
      <c r="R579" s="188">
        <v>0</v>
      </c>
      <c r="S579" s="188">
        <v>0</v>
      </c>
      <c r="T579" s="188">
        <v>0</v>
      </c>
      <c r="U579" s="188">
        <v>0</v>
      </c>
      <c r="V579" s="188">
        <v>0</v>
      </c>
      <c r="W579" s="188">
        <v>0</v>
      </c>
      <c r="X579" s="188">
        <v>0</v>
      </c>
      <c r="Y579" s="188">
        <v>1</v>
      </c>
      <c r="Z579" s="188">
        <v>1</v>
      </c>
      <c r="AA579" s="188">
        <v>0</v>
      </c>
      <c r="AB579" s="188">
        <v>1</v>
      </c>
      <c r="AC579" s="188">
        <v>0</v>
      </c>
      <c r="AD579" s="188">
        <v>1</v>
      </c>
      <c r="AE579" s="188">
        <v>1</v>
      </c>
      <c r="AF579" s="191">
        <v>2</v>
      </c>
      <c r="AG579" s="183">
        <v>7</v>
      </c>
    </row>
    <row r="580" spans="1:41" ht="15" customHeight="1" x14ac:dyDescent="0.2">
      <c r="A580" s="141" t="s">
        <v>313</v>
      </c>
      <c r="B580" s="187" t="s">
        <v>1759</v>
      </c>
      <c r="C580" s="141">
        <v>2015</v>
      </c>
      <c r="D580" s="188">
        <v>71</v>
      </c>
      <c r="E580" s="135">
        <v>1971</v>
      </c>
      <c r="F580" s="192" t="s">
        <v>769</v>
      </c>
      <c r="G580" s="188">
        <v>0</v>
      </c>
      <c r="H580" s="188">
        <v>0</v>
      </c>
      <c r="I580" s="188">
        <v>0</v>
      </c>
      <c r="J580" s="188">
        <v>0</v>
      </c>
      <c r="K580" s="188">
        <v>0</v>
      </c>
      <c r="L580" s="188">
        <v>1</v>
      </c>
      <c r="M580" s="188">
        <v>1</v>
      </c>
      <c r="N580" s="188">
        <v>0</v>
      </c>
      <c r="O580" s="188">
        <v>1</v>
      </c>
      <c r="P580" s="188">
        <v>1</v>
      </c>
      <c r="Q580" s="188">
        <v>1</v>
      </c>
      <c r="R580" s="188">
        <v>0</v>
      </c>
      <c r="S580" s="188">
        <v>0</v>
      </c>
      <c r="T580" s="188">
        <v>1</v>
      </c>
      <c r="U580" s="188">
        <v>1</v>
      </c>
      <c r="V580" s="188">
        <v>0</v>
      </c>
      <c r="W580" s="188">
        <v>1</v>
      </c>
      <c r="X580" s="188">
        <v>0</v>
      </c>
      <c r="Y580" s="188">
        <v>0</v>
      </c>
      <c r="Z580" s="188">
        <v>0</v>
      </c>
      <c r="AA580" s="188">
        <v>1</v>
      </c>
      <c r="AB580" s="188">
        <v>0</v>
      </c>
      <c r="AC580" s="188">
        <v>0</v>
      </c>
      <c r="AD580" s="188">
        <v>0</v>
      </c>
      <c r="AE580" s="188">
        <v>1</v>
      </c>
      <c r="AF580" s="191">
        <v>10</v>
      </c>
      <c r="AG580" s="183">
        <v>10</v>
      </c>
    </row>
    <row r="581" spans="1:41" ht="15" customHeight="1" x14ac:dyDescent="0.2">
      <c r="A581" s="141" t="s">
        <v>313</v>
      </c>
      <c r="B581" s="187" t="s">
        <v>1759</v>
      </c>
      <c r="C581" s="141">
        <v>2015</v>
      </c>
      <c r="D581" s="188">
        <v>71</v>
      </c>
      <c r="E581" s="135">
        <v>1972</v>
      </c>
      <c r="F581" s="192" t="s">
        <v>768</v>
      </c>
      <c r="G581" s="188">
        <v>0</v>
      </c>
      <c r="H581" s="188">
        <v>0</v>
      </c>
      <c r="I581" s="188">
        <v>0</v>
      </c>
      <c r="J581" s="188">
        <v>0</v>
      </c>
      <c r="K581" s="188">
        <v>0</v>
      </c>
      <c r="L581" s="188">
        <v>0</v>
      </c>
      <c r="M581" s="188">
        <v>0</v>
      </c>
      <c r="N581" s="188">
        <v>0</v>
      </c>
      <c r="O581" s="188">
        <v>0</v>
      </c>
      <c r="P581" s="188">
        <v>0</v>
      </c>
      <c r="Q581" s="188">
        <v>1</v>
      </c>
      <c r="R581" s="188">
        <v>0</v>
      </c>
      <c r="S581" s="188">
        <v>0</v>
      </c>
      <c r="T581" s="188">
        <v>0</v>
      </c>
      <c r="U581" s="188">
        <v>0</v>
      </c>
      <c r="V581" s="188">
        <v>0</v>
      </c>
      <c r="W581" s="188">
        <v>0</v>
      </c>
      <c r="X581" s="188">
        <v>0</v>
      </c>
      <c r="Y581" s="188">
        <v>0</v>
      </c>
      <c r="Z581" s="188">
        <v>0</v>
      </c>
      <c r="AA581" s="188">
        <v>0</v>
      </c>
      <c r="AB581" s="188">
        <v>0</v>
      </c>
      <c r="AC581" s="188">
        <v>0</v>
      </c>
      <c r="AD581" s="188">
        <v>0</v>
      </c>
      <c r="AE581" s="188">
        <v>0</v>
      </c>
      <c r="AF581" s="190">
        <v>0.5</v>
      </c>
      <c r="AG581" s="183">
        <v>1</v>
      </c>
    </row>
    <row r="582" spans="1:41" ht="15" customHeight="1" x14ac:dyDescent="0.2">
      <c r="A582" s="141" t="s">
        <v>313</v>
      </c>
      <c r="B582" s="187" t="s">
        <v>1759</v>
      </c>
      <c r="C582" s="141">
        <v>2015</v>
      </c>
      <c r="D582" s="188">
        <v>71</v>
      </c>
      <c r="E582" s="135">
        <v>1973</v>
      </c>
      <c r="F582" s="192" t="s">
        <v>767</v>
      </c>
      <c r="G582" s="188">
        <v>0</v>
      </c>
      <c r="H582" s="188">
        <v>0</v>
      </c>
      <c r="I582" s="188">
        <v>0</v>
      </c>
      <c r="J582" s="188">
        <v>0</v>
      </c>
      <c r="K582" s="188">
        <v>0</v>
      </c>
      <c r="L582" s="188">
        <v>0</v>
      </c>
      <c r="M582" s="188">
        <v>0</v>
      </c>
      <c r="N582" s="188">
        <v>0</v>
      </c>
      <c r="O582" s="188">
        <v>0</v>
      </c>
      <c r="P582" s="188">
        <v>0</v>
      </c>
      <c r="Q582" s="188">
        <v>0</v>
      </c>
      <c r="R582" s="188">
        <v>1</v>
      </c>
      <c r="S582" s="188">
        <v>0</v>
      </c>
      <c r="T582" s="188">
        <v>0</v>
      </c>
      <c r="U582" s="188">
        <v>0</v>
      </c>
      <c r="V582" s="188">
        <v>0</v>
      </c>
      <c r="W582" s="188">
        <v>0</v>
      </c>
      <c r="X582" s="188">
        <v>0</v>
      </c>
      <c r="Y582" s="188">
        <v>0</v>
      </c>
      <c r="Z582" s="188">
        <v>0</v>
      </c>
      <c r="AA582" s="188">
        <v>1</v>
      </c>
      <c r="AB582" s="188">
        <v>0</v>
      </c>
      <c r="AC582" s="188">
        <v>0</v>
      </c>
      <c r="AD582" s="188">
        <v>0</v>
      </c>
      <c r="AE582" s="188">
        <v>0</v>
      </c>
      <c r="AF582" s="190">
        <v>0.5</v>
      </c>
      <c r="AG582" s="183">
        <v>2</v>
      </c>
      <c r="AH582" s="5" t="s">
        <v>1812</v>
      </c>
      <c r="AI582" s="5" t="s">
        <v>1658</v>
      </c>
      <c r="AL582" s="5" t="s">
        <v>1433</v>
      </c>
      <c r="AM582" s="5" t="s">
        <v>1676</v>
      </c>
      <c r="AO582" s="5" t="s">
        <v>1676</v>
      </c>
    </row>
    <row r="583" spans="1:41" ht="15" customHeight="1" x14ac:dyDescent="0.2">
      <c r="A583" s="141" t="s">
        <v>313</v>
      </c>
      <c r="B583" s="187" t="s">
        <v>1759</v>
      </c>
      <c r="C583" s="141">
        <v>2015</v>
      </c>
      <c r="D583" s="188">
        <v>71</v>
      </c>
      <c r="E583" s="135">
        <v>2639</v>
      </c>
      <c r="F583" s="192" t="s">
        <v>590</v>
      </c>
      <c r="G583" s="188">
        <v>0</v>
      </c>
      <c r="H583" s="188">
        <v>1</v>
      </c>
      <c r="I583" s="188">
        <v>1</v>
      </c>
      <c r="J583" s="188">
        <v>1</v>
      </c>
      <c r="K583" s="188">
        <v>0</v>
      </c>
      <c r="L583" s="188">
        <v>1</v>
      </c>
      <c r="M583" s="188">
        <v>0</v>
      </c>
      <c r="N583" s="188">
        <v>0</v>
      </c>
      <c r="O583" s="188">
        <v>0</v>
      </c>
      <c r="P583" s="188">
        <v>1</v>
      </c>
      <c r="Q583" s="188">
        <v>1</v>
      </c>
      <c r="R583" s="188">
        <v>0</v>
      </c>
      <c r="S583" s="188">
        <v>0</v>
      </c>
      <c r="T583" s="188">
        <v>1</v>
      </c>
      <c r="U583" s="188">
        <v>1</v>
      </c>
      <c r="V583" s="188">
        <v>0</v>
      </c>
      <c r="W583" s="188">
        <v>1</v>
      </c>
      <c r="X583" s="188">
        <v>1</v>
      </c>
      <c r="Y583" s="188">
        <v>0</v>
      </c>
      <c r="Z583" s="188">
        <v>1</v>
      </c>
      <c r="AA583" s="188">
        <v>0</v>
      </c>
      <c r="AB583" s="188">
        <v>1</v>
      </c>
      <c r="AC583" s="188">
        <v>1</v>
      </c>
      <c r="AD583" s="188">
        <v>1</v>
      </c>
      <c r="AE583" s="188">
        <v>1</v>
      </c>
      <c r="AF583" s="190">
        <v>20</v>
      </c>
      <c r="AG583" s="183">
        <v>15</v>
      </c>
    </row>
    <row r="584" spans="1:41" ht="15" customHeight="1" x14ac:dyDescent="0.2">
      <c r="A584" s="141" t="s">
        <v>313</v>
      </c>
      <c r="B584" s="187" t="s">
        <v>1759</v>
      </c>
      <c r="C584" s="141">
        <v>2015</v>
      </c>
      <c r="D584" s="188">
        <v>72</v>
      </c>
      <c r="E584" s="135">
        <v>278</v>
      </c>
      <c r="F584" s="192" t="s">
        <v>132</v>
      </c>
      <c r="G584" s="188">
        <v>0</v>
      </c>
      <c r="H584" s="188">
        <v>1</v>
      </c>
      <c r="I584" s="188">
        <v>1</v>
      </c>
      <c r="J584" s="188">
        <v>1</v>
      </c>
      <c r="K584" s="188">
        <v>0</v>
      </c>
      <c r="L584" s="188">
        <v>1</v>
      </c>
      <c r="M584" s="188">
        <v>0</v>
      </c>
      <c r="N584" s="188">
        <v>0</v>
      </c>
      <c r="O584" s="188">
        <v>1</v>
      </c>
      <c r="P584" s="188">
        <v>1</v>
      </c>
      <c r="Q584" s="188">
        <v>0</v>
      </c>
      <c r="R584" s="188">
        <v>0</v>
      </c>
      <c r="S584" s="188">
        <v>0</v>
      </c>
      <c r="T584" s="188">
        <v>0</v>
      </c>
      <c r="U584" s="188">
        <v>0</v>
      </c>
      <c r="V584" s="188">
        <v>0</v>
      </c>
      <c r="W584" s="188">
        <v>0</v>
      </c>
      <c r="X584" s="188">
        <v>0</v>
      </c>
      <c r="Y584" s="188">
        <v>0</v>
      </c>
      <c r="Z584" s="188">
        <v>0</v>
      </c>
      <c r="AA584" s="188">
        <v>0</v>
      </c>
      <c r="AB584" s="188">
        <v>0</v>
      </c>
      <c r="AC584" s="188">
        <v>0</v>
      </c>
      <c r="AD584" s="188">
        <v>0</v>
      </c>
      <c r="AE584" s="188">
        <v>0</v>
      </c>
      <c r="AF584" s="191">
        <v>1</v>
      </c>
      <c r="AG584" s="183">
        <v>6</v>
      </c>
    </row>
    <row r="585" spans="1:41" ht="15" customHeight="1" x14ac:dyDescent="0.2">
      <c r="A585" s="141" t="s">
        <v>313</v>
      </c>
      <c r="B585" s="187" t="s">
        <v>1759</v>
      </c>
      <c r="C585" s="141">
        <v>2015</v>
      </c>
      <c r="D585" s="188">
        <v>72</v>
      </c>
      <c r="E585" s="135">
        <v>319</v>
      </c>
      <c r="F585" s="192" t="s">
        <v>111</v>
      </c>
      <c r="G585" s="188">
        <v>1</v>
      </c>
      <c r="H585" s="188">
        <v>1</v>
      </c>
      <c r="I585" s="188">
        <v>1</v>
      </c>
      <c r="J585" s="188">
        <v>1</v>
      </c>
      <c r="K585" s="188">
        <v>0</v>
      </c>
      <c r="L585" s="188">
        <v>1</v>
      </c>
      <c r="M585" s="188">
        <v>1</v>
      </c>
      <c r="N585" s="188">
        <v>1</v>
      </c>
      <c r="O585" s="188">
        <v>1</v>
      </c>
      <c r="P585" s="188">
        <v>1</v>
      </c>
      <c r="Q585" s="188">
        <v>1</v>
      </c>
      <c r="R585" s="188">
        <v>1</v>
      </c>
      <c r="S585" s="188">
        <v>1</v>
      </c>
      <c r="T585" s="188">
        <v>1</v>
      </c>
      <c r="U585" s="188">
        <v>0</v>
      </c>
      <c r="V585" s="188">
        <v>1</v>
      </c>
      <c r="W585" s="188">
        <v>1</v>
      </c>
      <c r="X585" s="188">
        <v>1</v>
      </c>
      <c r="Y585" s="188">
        <v>1</v>
      </c>
      <c r="Z585" s="188">
        <v>0</v>
      </c>
      <c r="AA585" s="188">
        <v>0</v>
      </c>
      <c r="AB585" s="188">
        <v>0</v>
      </c>
      <c r="AC585" s="188">
        <v>1</v>
      </c>
      <c r="AD585" s="188">
        <v>0</v>
      </c>
      <c r="AE585" s="188">
        <v>0</v>
      </c>
      <c r="AF585" s="191">
        <v>25</v>
      </c>
      <c r="AG585" s="183">
        <v>18</v>
      </c>
    </row>
    <row r="586" spans="1:41" ht="15" customHeight="1" x14ac:dyDescent="0.2">
      <c r="A586" s="141" t="s">
        <v>313</v>
      </c>
      <c r="B586" s="187" t="s">
        <v>1759</v>
      </c>
      <c r="C586" s="141">
        <v>2015</v>
      </c>
      <c r="D586" s="141">
        <v>72</v>
      </c>
      <c r="E586" s="135" t="e">
        <v>#N/A</v>
      </c>
      <c r="F586" s="192" t="s">
        <v>1775</v>
      </c>
      <c r="G586" s="141">
        <v>0</v>
      </c>
      <c r="H586" s="141">
        <v>1</v>
      </c>
      <c r="I586" s="141">
        <v>1</v>
      </c>
      <c r="J586" s="141">
        <v>0</v>
      </c>
      <c r="K586" s="141">
        <v>1</v>
      </c>
      <c r="L586" s="141">
        <v>0</v>
      </c>
      <c r="M586" s="141">
        <v>1</v>
      </c>
      <c r="N586" s="141">
        <v>0</v>
      </c>
      <c r="O586" s="141">
        <v>0</v>
      </c>
      <c r="P586" s="141">
        <v>0</v>
      </c>
      <c r="Q586" s="141">
        <v>0</v>
      </c>
      <c r="R586" s="141">
        <v>1</v>
      </c>
      <c r="S586" s="141">
        <v>1</v>
      </c>
      <c r="T586" s="141">
        <v>1</v>
      </c>
      <c r="U586" s="141">
        <v>1</v>
      </c>
      <c r="V586" s="141">
        <v>1</v>
      </c>
      <c r="W586" s="141">
        <v>1</v>
      </c>
      <c r="X586" s="141">
        <v>1</v>
      </c>
      <c r="Y586" s="141">
        <v>1</v>
      </c>
      <c r="Z586" s="141">
        <v>1</v>
      </c>
      <c r="AA586" s="141">
        <v>1</v>
      </c>
      <c r="AB586" s="141">
        <v>1</v>
      </c>
      <c r="AC586" s="141">
        <v>1</v>
      </c>
      <c r="AD586" s="141">
        <v>1</v>
      </c>
      <c r="AE586" s="141">
        <v>1</v>
      </c>
      <c r="AF586" s="148">
        <v>2</v>
      </c>
      <c r="AG586" s="183">
        <v>18</v>
      </c>
      <c r="AH586" s="4"/>
      <c r="AL586" s="5" t="s">
        <v>1434</v>
      </c>
      <c r="AO586" s="5" t="s">
        <v>1434</v>
      </c>
    </row>
    <row r="587" spans="1:41" ht="15" customHeight="1" x14ac:dyDescent="0.2">
      <c r="A587" s="141" t="s">
        <v>313</v>
      </c>
      <c r="B587" s="187" t="s">
        <v>1759</v>
      </c>
      <c r="C587" s="141">
        <v>2015</v>
      </c>
      <c r="D587" s="188">
        <v>72</v>
      </c>
      <c r="E587" s="135">
        <v>494</v>
      </c>
      <c r="F587" s="192" t="s">
        <v>22</v>
      </c>
      <c r="G587" s="188">
        <v>1</v>
      </c>
      <c r="H587" s="188">
        <v>1</v>
      </c>
      <c r="I587" s="188">
        <v>1</v>
      </c>
      <c r="J587" s="188">
        <v>1</v>
      </c>
      <c r="K587" s="188">
        <v>1</v>
      </c>
      <c r="L587" s="188">
        <v>1</v>
      </c>
      <c r="M587" s="188">
        <v>0</v>
      </c>
      <c r="N587" s="188">
        <v>1</v>
      </c>
      <c r="O587" s="188">
        <v>1</v>
      </c>
      <c r="P587" s="188">
        <v>1</v>
      </c>
      <c r="Q587" s="188">
        <v>1</v>
      </c>
      <c r="R587" s="188">
        <v>1</v>
      </c>
      <c r="S587" s="188">
        <v>0</v>
      </c>
      <c r="T587" s="188">
        <v>1</v>
      </c>
      <c r="U587" s="188">
        <v>1</v>
      </c>
      <c r="V587" s="188">
        <v>1</v>
      </c>
      <c r="W587" s="188">
        <v>1</v>
      </c>
      <c r="X587" s="188">
        <v>1</v>
      </c>
      <c r="Y587" s="188">
        <v>1</v>
      </c>
      <c r="Z587" s="188">
        <v>1</v>
      </c>
      <c r="AA587" s="188">
        <v>1</v>
      </c>
      <c r="AB587" s="188">
        <v>1</v>
      </c>
      <c r="AC587" s="188">
        <v>1</v>
      </c>
      <c r="AD587" s="188">
        <v>1</v>
      </c>
      <c r="AE587" s="188">
        <v>0</v>
      </c>
      <c r="AF587" s="191">
        <v>5</v>
      </c>
      <c r="AG587" s="183">
        <v>22</v>
      </c>
    </row>
    <row r="588" spans="1:41" ht="15" customHeight="1" x14ac:dyDescent="0.2">
      <c r="A588" s="141" t="s">
        <v>313</v>
      </c>
      <c r="B588" s="187" t="s">
        <v>1759</v>
      </c>
      <c r="C588" s="141">
        <v>2015</v>
      </c>
      <c r="D588" s="188">
        <v>72</v>
      </c>
      <c r="E588" s="135">
        <v>542</v>
      </c>
      <c r="F588" s="189" t="s">
        <v>1312</v>
      </c>
      <c r="G588" s="188">
        <v>1</v>
      </c>
      <c r="H588" s="188">
        <v>1</v>
      </c>
      <c r="I588" s="188">
        <v>1</v>
      </c>
      <c r="J588" s="188">
        <v>1</v>
      </c>
      <c r="K588" s="188">
        <v>1</v>
      </c>
      <c r="L588" s="188">
        <v>1</v>
      </c>
      <c r="M588" s="188">
        <v>1</v>
      </c>
      <c r="N588" s="188">
        <v>0</v>
      </c>
      <c r="O588" s="188">
        <v>1</v>
      </c>
      <c r="P588" s="188">
        <v>1</v>
      </c>
      <c r="Q588" s="188">
        <v>1</v>
      </c>
      <c r="R588" s="188">
        <v>1</v>
      </c>
      <c r="S588" s="188">
        <v>0</v>
      </c>
      <c r="T588" s="188">
        <v>1</v>
      </c>
      <c r="U588" s="188">
        <v>1</v>
      </c>
      <c r="V588" s="188">
        <v>0</v>
      </c>
      <c r="W588" s="188">
        <v>1</v>
      </c>
      <c r="X588" s="188">
        <v>1</v>
      </c>
      <c r="Y588" s="188">
        <v>1</v>
      </c>
      <c r="Z588" s="188">
        <v>1</v>
      </c>
      <c r="AA588" s="188">
        <v>0</v>
      </c>
      <c r="AB588" s="188">
        <v>1</v>
      </c>
      <c r="AC588" s="188">
        <v>1</v>
      </c>
      <c r="AD588" s="188">
        <v>1</v>
      </c>
      <c r="AE588" s="188">
        <v>0</v>
      </c>
      <c r="AF588" s="191">
        <v>4</v>
      </c>
      <c r="AG588" s="183">
        <v>20</v>
      </c>
    </row>
    <row r="589" spans="1:41" ht="15" customHeight="1" x14ac:dyDescent="0.2">
      <c r="A589" s="141" t="s">
        <v>313</v>
      </c>
      <c r="B589" s="187" t="s">
        <v>1759</v>
      </c>
      <c r="C589" s="141">
        <v>2015</v>
      </c>
      <c r="D589" s="188">
        <v>72</v>
      </c>
      <c r="E589" s="135">
        <v>546</v>
      </c>
      <c r="F589" s="189" t="s">
        <v>1310</v>
      </c>
      <c r="G589" s="188">
        <v>0</v>
      </c>
      <c r="H589" s="188">
        <v>0</v>
      </c>
      <c r="I589" s="188">
        <v>0</v>
      </c>
      <c r="J589" s="188">
        <v>0</v>
      </c>
      <c r="K589" s="188">
        <v>0</v>
      </c>
      <c r="L589" s="188">
        <v>1</v>
      </c>
      <c r="M589" s="188">
        <v>0</v>
      </c>
      <c r="N589" s="188">
        <v>1</v>
      </c>
      <c r="O589" s="188">
        <v>0</v>
      </c>
      <c r="P589" s="188">
        <v>0</v>
      </c>
      <c r="Q589" s="188">
        <v>1</v>
      </c>
      <c r="R589" s="188">
        <v>1</v>
      </c>
      <c r="S589" s="188">
        <v>1</v>
      </c>
      <c r="T589" s="188">
        <v>0</v>
      </c>
      <c r="U589" s="188">
        <v>0</v>
      </c>
      <c r="V589" s="188">
        <v>0</v>
      </c>
      <c r="W589" s="188">
        <v>0</v>
      </c>
      <c r="X589" s="188">
        <v>1</v>
      </c>
      <c r="Y589" s="188">
        <v>0</v>
      </c>
      <c r="Z589" s="188">
        <v>0</v>
      </c>
      <c r="AA589" s="188">
        <v>1</v>
      </c>
      <c r="AB589" s="188">
        <v>1</v>
      </c>
      <c r="AC589" s="188">
        <v>1</v>
      </c>
      <c r="AD589" s="188">
        <v>0</v>
      </c>
      <c r="AE589" s="188">
        <v>0</v>
      </c>
      <c r="AF589" s="191">
        <v>2</v>
      </c>
      <c r="AG589" s="183">
        <v>9</v>
      </c>
    </row>
    <row r="590" spans="1:41" ht="15" customHeight="1" x14ac:dyDescent="0.2">
      <c r="A590" s="141" t="s">
        <v>313</v>
      </c>
      <c r="B590" s="187" t="s">
        <v>1759</v>
      </c>
      <c r="C590" s="141">
        <v>2015</v>
      </c>
      <c r="D590" s="188">
        <v>72</v>
      </c>
      <c r="E590" s="135">
        <v>722</v>
      </c>
      <c r="F590" s="189" t="s">
        <v>1229</v>
      </c>
      <c r="G590" s="188">
        <v>0</v>
      </c>
      <c r="H590" s="188">
        <v>0</v>
      </c>
      <c r="I590" s="188">
        <v>0</v>
      </c>
      <c r="J590" s="188">
        <v>0</v>
      </c>
      <c r="K590" s="188">
        <v>0</v>
      </c>
      <c r="L590" s="188">
        <v>0</v>
      </c>
      <c r="M590" s="188">
        <v>0</v>
      </c>
      <c r="N590" s="188">
        <v>0</v>
      </c>
      <c r="O590" s="188">
        <v>0</v>
      </c>
      <c r="P590" s="188">
        <v>0</v>
      </c>
      <c r="Q590" s="188">
        <v>0</v>
      </c>
      <c r="R590" s="188">
        <v>0</v>
      </c>
      <c r="S590" s="188">
        <v>0</v>
      </c>
      <c r="T590" s="188">
        <v>0</v>
      </c>
      <c r="U590" s="188">
        <v>0</v>
      </c>
      <c r="V590" s="188">
        <v>1</v>
      </c>
      <c r="W590" s="188">
        <v>0</v>
      </c>
      <c r="X590" s="188">
        <v>0</v>
      </c>
      <c r="Y590" s="188">
        <v>0</v>
      </c>
      <c r="Z590" s="188">
        <v>0</v>
      </c>
      <c r="AA590" s="188">
        <v>1</v>
      </c>
      <c r="AB590" s="188">
        <v>1</v>
      </c>
      <c r="AC590" s="188">
        <v>0</v>
      </c>
      <c r="AD590" s="188">
        <v>1</v>
      </c>
      <c r="AE590" s="188">
        <v>1</v>
      </c>
      <c r="AF590" s="190">
        <v>3</v>
      </c>
      <c r="AG590" s="183">
        <v>5</v>
      </c>
    </row>
    <row r="591" spans="1:41" ht="15" customHeight="1" x14ac:dyDescent="0.2">
      <c r="A591" s="141" t="s">
        <v>313</v>
      </c>
      <c r="B591" s="187" t="s">
        <v>1759</v>
      </c>
      <c r="C591" s="141">
        <v>2015</v>
      </c>
      <c r="D591" s="188">
        <v>72</v>
      </c>
      <c r="E591" s="135">
        <v>736</v>
      </c>
      <c r="F591" s="192" t="s">
        <v>1223</v>
      </c>
      <c r="G591" s="188">
        <v>1</v>
      </c>
      <c r="H591" s="188">
        <v>1</v>
      </c>
      <c r="I591" s="188">
        <v>0</v>
      </c>
      <c r="J591" s="188">
        <v>0</v>
      </c>
      <c r="K591" s="188">
        <v>1</v>
      </c>
      <c r="L591" s="188">
        <v>1</v>
      </c>
      <c r="M591" s="188">
        <v>0</v>
      </c>
      <c r="N591" s="188">
        <v>0</v>
      </c>
      <c r="O591" s="188">
        <v>0</v>
      </c>
      <c r="P591" s="188">
        <v>0</v>
      </c>
      <c r="Q591" s="188">
        <v>1</v>
      </c>
      <c r="R591" s="188">
        <v>0</v>
      </c>
      <c r="S591" s="188">
        <v>1</v>
      </c>
      <c r="T591" s="188">
        <v>0</v>
      </c>
      <c r="U591" s="188">
        <v>1</v>
      </c>
      <c r="V591" s="188">
        <v>0</v>
      </c>
      <c r="W591" s="188">
        <v>1</v>
      </c>
      <c r="X591" s="188">
        <v>1</v>
      </c>
      <c r="Y591" s="188">
        <v>0</v>
      </c>
      <c r="Z591" s="188">
        <v>1</v>
      </c>
      <c r="AA591" s="188">
        <v>0</v>
      </c>
      <c r="AB591" s="188">
        <v>0</v>
      </c>
      <c r="AC591" s="188">
        <v>0</v>
      </c>
      <c r="AD591" s="188">
        <v>1</v>
      </c>
      <c r="AE591" s="188">
        <v>1</v>
      </c>
      <c r="AF591" s="191">
        <v>10</v>
      </c>
      <c r="AG591" s="183">
        <v>12</v>
      </c>
    </row>
    <row r="592" spans="1:41" ht="15" customHeight="1" x14ac:dyDescent="0.2">
      <c r="A592" s="141" t="s">
        <v>313</v>
      </c>
      <c r="B592" s="187" t="s">
        <v>1759</v>
      </c>
      <c r="C592" s="141">
        <v>2015</v>
      </c>
      <c r="D592" s="141">
        <v>72</v>
      </c>
      <c r="E592" s="135" t="e">
        <v>#N/A</v>
      </c>
      <c r="F592" s="192" t="s">
        <v>1778</v>
      </c>
      <c r="G592" s="141">
        <v>0</v>
      </c>
      <c r="H592" s="141">
        <v>1</v>
      </c>
      <c r="I592" s="141">
        <v>1</v>
      </c>
      <c r="J592" s="141">
        <v>0</v>
      </c>
      <c r="K592" s="141">
        <v>0</v>
      </c>
      <c r="L592" s="141">
        <v>0</v>
      </c>
      <c r="M592" s="141">
        <v>1</v>
      </c>
      <c r="N592" s="141">
        <v>1</v>
      </c>
      <c r="O592" s="141">
        <v>0</v>
      </c>
      <c r="P592" s="141">
        <v>0</v>
      </c>
      <c r="Q592" s="141">
        <v>0</v>
      </c>
      <c r="R592" s="141">
        <v>0</v>
      </c>
      <c r="S592" s="141">
        <v>0</v>
      </c>
      <c r="T592" s="141">
        <v>0</v>
      </c>
      <c r="U592" s="141">
        <v>0</v>
      </c>
      <c r="V592" s="141">
        <v>0</v>
      </c>
      <c r="W592" s="141">
        <v>0</v>
      </c>
      <c r="X592" s="141">
        <v>0</v>
      </c>
      <c r="Y592" s="141">
        <v>0</v>
      </c>
      <c r="Z592" s="141">
        <v>0</v>
      </c>
      <c r="AA592" s="141">
        <v>1</v>
      </c>
      <c r="AB592" s="141">
        <v>1</v>
      </c>
      <c r="AC592" s="141">
        <v>1</v>
      </c>
      <c r="AD592" s="141">
        <v>0</v>
      </c>
      <c r="AE592" s="141">
        <v>0</v>
      </c>
      <c r="AF592" s="148">
        <v>2</v>
      </c>
      <c r="AG592" s="183">
        <v>7</v>
      </c>
      <c r="AH592" s="4"/>
      <c r="AL592" s="5" t="s">
        <v>1434</v>
      </c>
      <c r="AO592" s="5" t="s">
        <v>1434</v>
      </c>
    </row>
    <row r="593" spans="1:41" ht="15" customHeight="1" x14ac:dyDescent="0.2">
      <c r="A593" s="141" t="s">
        <v>313</v>
      </c>
      <c r="B593" s="187" t="s">
        <v>1759</v>
      </c>
      <c r="C593" s="141">
        <v>2015</v>
      </c>
      <c r="D593" s="188">
        <v>72</v>
      </c>
      <c r="E593" s="135">
        <v>876</v>
      </c>
      <c r="F593" s="192" t="s">
        <v>1163</v>
      </c>
      <c r="G593" s="188">
        <v>1</v>
      </c>
      <c r="H593" s="188">
        <v>1</v>
      </c>
      <c r="I593" s="188">
        <v>1</v>
      </c>
      <c r="J593" s="188">
        <v>1</v>
      </c>
      <c r="K593" s="188">
        <v>1</v>
      </c>
      <c r="L593" s="188">
        <v>1</v>
      </c>
      <c r="M593" s="188">
        <v>1</v>
      </c>
      <c r="N593" s="188">
        <v>1</v>
      </c>
      <c r="O593" s="188">
        <v>1</v>
      </c>
      <c r="P593" s="188">
        <v>1</v>
      </c>
      <c r="Q593" s="188">
        <v>1</v>
      </c>
      <c r="R593" s="188">
        <v>1</v>
      </c>
      <c r="S593" s="188">
        <v>1</v>
      </c>
      <c r="T593" s="188">
        <v>1</v>
      </c>
      <c r="U593" s="188">
        <v>1</v>
      </c>
      <c r="V593" s="188">
        <v>1</v>
      </c>
      <c r="W593" s="188">
        <v>1</v>
      </c>
      <c r="X593" s="188">
        <v>1</v>
      </c>
      <c r="Y593" s="188">
        <v>1</v>
      </c>
      <c r="Z593" s="188">
        <v>1</v>
      </c>
      <c r="AA593" s="188">
        <v>1</v>
      </c>
      <c r="AB593" s="188">
        <v>1</v>
      </c>
      <c r="AC593" s="188">
        <v>1</v>
      </c>
      <c r="AD593" s="188">
        <v>1</v>
      </c>
      <c r="AE593" s="188">
        <v>1</v>
      </c>
      <c r="AF593" s="191">
        <v>10</v>
      </c>
      <c r="AG593" s="183">
        <v>25</v>
      </c>
    </row>
    <row r="594" spans="1:41" ht="15" customHeight="1" x14ac:dyDescent="0.2">
      <c r="A594" s="141" t="s">
        <v>313</v>
      </c>
      <c r="B594" s="187" t="s">
        <v>1759</v>
      </c>
      <c r="C594" s="141">
        <v>2015</v>
      </c>
      <c r="D594" s="188">
        <v>72</v>
      </c>
      <c r="E594" s="135">
        <v>2729</v>
      </c>
      <c r="F594" s="192" t="s">
        <v>547</v>
      </c>
      <c r="G594" s="188">
        <v>0</v>
      </c>
      <c r="H594" s="188">
        <v>0</v>
      </c>
      <c r="I594" s="188">
        <v>0</v>
      </c>
      <c r="J594" s="188">
        <v>0</v>
      </c>
      <c r="K594" s="188">
        <v>0</v>
      </c>
      <c r="L594" s="188">
        <v>1</v>
      </c>
      <c r="M594" s="188">
        <v>0</v>
      </c>
      <c r="N594" s="188">
        <v>0</v>
      </c>
      <c r="O594" s="188">
        <v>0</v>
      </c>
      <c r="P594" s="188">
        <v>0</v>
      </c>
      <c r="Q594" s="188">
        <v>0</v>
      </c>
      <c r="R594" s="188">
        <v>0</v>
      </c>
      <c r="S594" s="188">
        <v>0</v>
      </c>
      <c r="T594" s="188">
        <v>0</v>
      </c>
      <c r="U594" s="188">
        <v>0</v>
      </c>
      <c r="V594" s="188">
        <v>0</v>
      </c>
      <c r="W594" s="188">
        <v>0</v>
      </c>
      <c r="X594" s="188">
        <v>0</v>
      </c>
      <c r="Y594" s="188">
        <v>0</v>
      </c>
      <c r="Z594" s="188">
        <v>0</v>
      </c>
      <c r="AA594" s="188">
        <v>0</v>
      </c>
      <c r="AB594" s="188">
        <v>1</v>
      </c>
      <c r="AC594" s="188">
        <v>0</v>
      </c>
      <c r="AD594" s="188">
        <v>0</v>
      </c>
      <c r="AE594" s="188">
        <v>0</v>
      </c>
      <c r="AF594" s="191">
        <v>0.1</v>
      </c>
      <c r="AG594" s="183">
        <v>2</v>
      </c>
    </row>
    <row r="595" spans="1:41" ht="15" customHeight="1" x14ac:dyDescent="0.2">
      <c r="A595" s="141" t="s">
        <v>313</v>
      </c>
      <c r="B595" s="187" t="s">
        <v>1759</v>
      </c>
      <c r="C595" s="141">
        <v>2015</v>
      </c>
      <c r="D595" s="188">
        <v>72</v>
      </c>
      <c r="E595" s="135">
        <v>1972</v>
      </c>
      <c r="F595" s="189" t="s">
        <v>768</v>
      </c>
      <c r="G595" s="188">
        <v>1</v>
      </c>
      <c r="H595" s="188">
        <v>1</v>
      </c>
      <c r="I595" s="188">
        <v>1</v>
      </c>
      <c r="J595" s="188">
        <v>1</v>
      </c>
      <c r="K595" s="188">
        <v>1</v>
      </c>
      <c r="L595" s="188">
        <v>1</v>
      </c>
      <c r="M595" s="188">
        <v>1</v>
      </c>
      <c r="N595" s="188">
        <v>0</v>
      </c>
      <c r="O595" s="188">
        <v>1</v>
      </c>
      <c r="P595" s="188">
        <v>1</v>
      </c>
      <c r="Q595" s="188">
        <v>1</v>
      </c>
      <c r="R595" s="188">
        <v>1</v>
      </c>
      <c r="S595" s="188">
        <v>0</v>
      </c>
      <c r="T595" s="188">
        <v>1</v>
      </c>
      <c r="U595" s="188">
        <v>1</v>
      </c>
      <c r="V595" s="188">
        <v>1</v>
      </c>
      <c r="W595" s="188">
        <v>1</v>
      </c>
      <c r="X595" s="188">
        <v>1</v>
      </c>
      <c r="Y595" s="188">
        <v>1</v>
      </c>
      <c r="Z595" s="188">
        <v>1</v>
      </c>
      <c r="AA595" s="188">
        <v>1</v>
      </c>
      <c r="AB595" s="188">
        <v>1</v>
      </c>
      <c r="AC595" s="188">
        <v>1</v>
      </c>
      <c r="AD595" s="188">
        <v>1</v>
      </c>
      <c r="AE595" s="188">
        <v>0</v>
      </c>
      <c r="AF595" s="191">
        <v>10</v>
      </c>
      <c r="AG595" s="183">
        <v>22</v>
      </c>
    </row>
    <row r="596" spans="1:41" ht="15" customHeight="1" x14ac:dyDescent="0.2">
      <c r="A596" s="141" t="s">
        <v>313</v>
      </c>
      <c r="B596" s="187" t="s">
        <v>1759</v>
      </c>
      <c r="C596" s="141">
        <v>2015</v>
      </c>
      <c r="D596" s="188">
        <v>72</v>
      </c>
      <c r="E596" s="135">
        <v>1984</v>
      </c>
      <c r="F596" s="189" t="s">
        <v>762</v>
      </c>
      <c r="G596" s="188">
        <v>0</v>
      </c>
      <c r="H596" s="188">
        <v>0</v>
      </c>
      <c r="I596" s="188">
        <v>0</v>
      </c>
      <c r="J596" s="188">
        <v>0</v>
      </c>
      <c r="K596" s="188">
        <v>0</v>
      </c>
      <c r="L596" s="188">
        <v>0</v>
      </c>
      <c r="M596" s="188">
        <v>0</v>
      </c>
      <c r="N596" s="188">
        <v>0</v>
      </c>
      <c r="O596" s="188">
        <v>0</v>
      </c>
      <c r="P596" s="188">
        <v>0</v>
      </c>
      <c r="Q596" s="188">
        <v>0</v>
      </c>
      <c r="R596" s="188">
        <v>0</v>
      </c>
      <c r="S596" s="188">
        <v>0</v>
      </c>
      <c r="T596" s="188">
        <v>0</v>
      </c>
      <c r="U596" s="188">
        <v>0</v>
      </c>
      <c r="V596" s="188">
        <v>0</v>
      </c>
      <c r="W596" s="188">
        <v>0</v>
      </c>
      <c r="X596" s="188">
        <v>0</v>
      </c>
      <c r="Y596" s="188">
        <v>0</v>
      </c>
      <c r="Z596" s="188">
        <v>0</v>
      </c>
      <c r="AA596" s="188">
        <v>0</v>
      </c>
      <c r="AB596" s="188">
        <v>1</v>
      </c>
      <c r="AC596" s="188">
        <v>0</v>
      </c>
      <c r="AD596" s="188">
        <v>0</v>
      </c>
      <c r="AE596" s="188">
        <v>0</v>
      </c>
      <c r="AF596" s="191">
        <v>0.1</v>
      </c>
      <c r="AG596" s="183">
        <v>1</v>
      </c>
    </row>
    <row r="597" spans="1:41" ht="15" customHeight="1" x14ac:dyDescent="0.2">
      <c r="A597" s="141" t="s">
        <v>313</v>
      </c>
      <c r="B597" s="187" t="s">
        <v>1759</v>
      </c>
      <c r="C597" s="141">
        <v>2015</v>
      </c>
      <c r="D597" s="188">
        <v>73</v>
      </c>
      <c r="E597" s="135">
        <v>2607</v>
      </c>
      <c r="F597" s="192" t="s">
        <v>616</v>
      </c>
      <c r="G597" s="188">
        <v>0</v>
      </c>
      <c r="H597" s="188">
        <v>0</v>
      </c>
      <c r="I597" s="188">
        <v>0</v>
      </c>
      <c r="J597" s="188">
        <v>1</v>
      </c>
      <c r="K597" s="188">
        <v>1</v>
      </c>
      <c r="L597" s="188">
        <v>0</v>
      </c>
      <c r="M597" s="188">
        <v>1</v>
      </c>
      <c r="N597" s="188">
        <v>0</v>
      </c>
      <c r="O597" s="188">
        <v>0</v>
      </c>
      <c r="P597" s="188">
        <v>1</v>
      </c>
      <c r="Q597" s="188">
        <v>1</v>
      </c>
      <c r="R597" s="188">
        <v>1</v>
      </c>
      <c r="S597" s="188">
        <v>1</v>
      </c>
      <c r="T597" s="188">
        <v>1</v>
      </c>
      <c r="U597" s="188">
        <v>1</v>
      </c>
      <c r="V597" s="188">
        <v>1</v>
      </c>
      <c r="W597" s="188">
        <v>0</v>
      </c>
      <c r="X597" s="188">
        <v>1</v>
      </c>
      <c r="Y597" s="188">
        <v>1</v>
      </c>
      <c r="Z597" s="188">
        <v>1</v>
      </c>
      <c r="AA597" s="188">
        <v>1</v>
      </c>
      <c r="AB597" s="188">
        <v>1</v>
      </c>
      <c r="AC597" s="188">
        <v>0</v>
      </c>
      <c r="AD597" s="188">
        <v>1</v>
      </c>
      <c r="AE597" s="188">
        <v>1</v>
      </c>
      <c r="AF597" s="191">
        <v>4</v>
      </c>
      <c r="AG597" s="183">
        <v>17</v>
      </c>
    </row>
    <row r="598" spans="1:41" ht="15" customHeight="1" x14ac:dyDescent="0.2">
      <c r="A598" s="141" t="s">
        <v>313</v>
      </c>
      <c r="B598" s="187" t="s">
        <v>1759</v>
      </c>
      <c r="C598" s="141">
        <v>2015</v>
      </c>
      <c r="D598" s="188">
        <v>73</v>
      </c>
      <c r="E598" s="135">
        <v>2605</v>
      </c>
      <c r="F598" s="192" t="s">
        <v>618</v>
      </c>
      <c r="G598" s="188">
        <v>1</v>
      </c>
      <c r="H598" s="188">
        <v>1</v>
      </c>
      <c r="I598" s="188">
        <v>1</v>
      </c>
      <c r="J598" s="188">
        <v>0</v>
      </c>
      <c r="K598" s="188">
        <v>1</v>
      </c>
      <c r="L598" s="188">
        <v>1</v>
      </c>
      <c r="M598" s="188">
        <v>1</v>
      </c>
      <c r="N598" s="188">
        <v>1</v>
      </c>
      <c r="O598" s="188">
        <v>1</v>
      </c>
      <c r="P598" s="188">
        <v>1</v>
      </c>
      <c r="Q598" s="188">
        <v>1</v>
      </c>
      <c r="R598" s="188">
        <v>1</v>
      </c>
      <c r="S598" s="188">
        <v>1</v>
      </c>
      <c r="T598" s="188">
        <v>1</v>
      </c>
      <c r="U598" s="188">
        <v>1</v>
      </c>
      <c r="V598" s="188">
        <v>1</v>
      </c>
      <c r="W598" s="188">
        <v>1</v>
      </c>
      <c r="X598" s="188">
        <v>0</v>
      </c>
      <c r="Y598" s="188">
        <v>1</v>
      </c>
      <c r="Z598" s="188">
        <v>1</v>
      </c>
      <c r="AA598" s="188">
        <v>1</v>
      </c>
      <c r="AB598" s="188">
        <v>1</v>
      </c>
      <c r="AC598" s="188">
        <v>1</v>
      </c>
      <c r="AD598" s="188">
        <v>1</v>
      </c>
      <c r="AE598" s="188">
        <v>1</v>
      </c>
      <c r="AF598" s="191">
        <v>6</v>
      </c>
      <c r="AG598" s="183">
        <v>23</v>
      </c>
    </row>
    <row r="599" spans="1:41" ht="15" customHeight="1" x14ac:dyDescent="0.2">
      <c r="A599" s="141" t="s">
        <v>313</v>
      </c>
      <c r="B599" s="187" t="s">
        <v>1759</v>
      </c>
      <c r="C599" s="141">
        <v>2015</v>
      </c>
      <c r="D599" s="188">
        <v>73</v>
      </c>
      <c r="E599" s="135">
        <v>278</v>
      </c>
      <c r="F599" s="192" t="s">
        <v>132</v>
      </c>
      <c r="G599" s="188">
        <v>0</v>
      </c>
      <c r="H599" s="188">
        <v>0</v>
      </c>
      <c r="I599" s="188">
        <v>0</v>
      </c>
      <c r="J599" s="188">
        <v>0</v>
      </c>
      <c r="K599" s="188">
        <v>1</v>
      </c>
      <c r="L599" s="188">
        <v>1</v>
      </c>
      <c r="M599" s="188">
        <v>1</v>
      </c>
      <c r="N599" s="188">
        <v>0</v>
      </c>
      <c r="O599" s="188">
        <v>0</v>
      </c>
      <c r="P599" s="188">
        <v>0</v>
      </c>
      <c r="Q599" s="188">
        <v>0</v>
      </c>
      <c r="R599" s="188">
        <v>0</v>
      </c>
      <c r="S599" s="188">
        <v>0</v>
      </c>
      <c r="T599" s="188">
        <v>1</v>
      </c>
      <c r="U599" s="188">
        <v>0</v>
      </c>
      <c r="V599" s="188">
        <v>0</v>
      </c>
      <c r="W599" s="188">
        <v>1</v>
      </c>
      <c r="X599" s="188">
        <v>0</v>
      </c>
      <c r="Y599" s="188">
        <v>0</v>
      </c>
      <c r="Z599" s="188">
        <v>1</v>
      </c>
      <c r="AA599" s="188">
        <v>0</v>
      </c>
      <c r="AB599" s="188">
        <v>1</v>
      </c>
      <c r="AC599" s="188">
        <v>0</v>
      </c>
      <c r="AD599" s="188">
        <v>1</v>
      </c>
      <c r="AE599" s="188">
        <v>1</v>
      </c>
      <c r="AF599" s="190">
        <v>4</v>
      </c>
      <c r="AG599" s="183">
        <v>9</v>
      </c>
    </row>
    <row r="600" spans="1:41" ht="15" customHeight="1" x14ac:dyDescent="0.2">
      <c r="A600" s="141" t="s">
        <v>313</v>
      </c>
      <c r="B600" s="187" t="s">
        <v>1759</v>
      </c>
      <c r="C600" s="141">
        <v>2015</v>
      </c>
      <c r="D600" s="188">
        <v>73</v>
      </c>
      <c r="E600" s="135">
        <v>1576</v>
      </c>
      <c r="F600" s="189" t="s">
        <v>882</v>
      </c>
      <c r="G600" s="188">
        <v>1</v>
      </c>
      <c r="H600" s="188">
        <v>1</v>
      </c>
      <c r="I600" s="188">
        <v>1</v>
      </c>
      <c r="J600" s="188">
        <v>1</v>
      </c>
      <c r="K600" s="188">
        <v>1</v>
      </c>
      <c r="L600" s="188">
        <v>1</v>
      </c>
      <c r="M600" s="188">
        <v>1</v>
      </c>
      <c r="N600" s="188">
        <v>1</v>
      </c>
      <c r="O600" s="188">
        <v>1</v>
      </c>
      <c r="P600" s="188">
        <v>1</v>
      </c>
      <c r="Q600" s="188">
        <v>1</v>
      </c>
      <c r="R600" s="188">
        <v>1</v>
      </c>
      <c r="S600" s="188">
        <v>1</v>
      </c>
      <c r="T600" s="188">
        <v>1</v>
      </c>
      <c r="U600" s="188">
        <v>1</v>
      </c>
      <c r="V600" s="188">
        <v>1</v>
      </c>
      <c r="W600" s="188">
        <v>1</v>
      </c>
      <c r="X600" s="188">
        <v>1</v>
      </c>
      <c r="Y600" s="188">
        <v>1</v>
      </c>
      <c r="Z600" s="188">
        <v>1</v>
      </c>
      <c r="AA600" s="188">
        <v>1</v>
      </c>
      <c r="AB600" s="188">
        <v>1</v>
      </c>
      <c r="AC600" s="188">
        <v>1</v>
      </c>
      <c r="AD600" s="188">
        <v>1</v>
      </c>
      <c r="AE600" s="188">
        <v>1</v>
      </c>
      <c r="AF600" s="191">
        <v>20</v>
      </c>
      <c r="AG600" s="183">
        <v>25</v>
      </c>
    </row>
    <row r="601" spans="1:41" ht="15" customHeight="1" x14ac:dyDescent="0.2">
      <c r="A601" s="141" t="s">
        <v>313</v>
      </c>
      <c r="B601" s="187" t="s">
        <v>1759</v>
      </c>
      <c r="C601" s="141">
        <v>2015</v>
      </c>
      <c r="D601" s="188">
        <v>73</v>
      </c>
      <c r="E601" s="135">
        <v>319</v>
      </c>
      <c r="F601" s="189" t="s">
        <v>111</v>
      </c>
      <c r="G601" s="188">
        <v>0</v>
      </c>
      <c r="H601" s="188">
        <v>0</v>
      </c>
      <c r="I601" s="188">
        <v>0</v>
      </c>
      <c r="J601" s="188">
        <v>0</v>
      </c>
      <c r="K601" s="188">
        <v>0</v>
      </c>
      <c r="L601" s="188">
        <v>0</v>
      </c>
      <c r="M601" s="188">
        <v>0</v>
      </c>
      <c r="N601" s="188">
        <v>0</v>
      </c>
      <c r="O601" s="188">
        <v>0</v>
      </c>
      <c r="P601" s="188">
        <v>0</v>
      </c>
      <c r="Q601" s="188">
        <v>0</v>
      </c>
      <c r="R601" s="188">
        <v>0</v>
      </c>
      <c r="S601" s="188">
        <v>0</v>
      </c>
      <c r="T601" s="188">
        <v>0</v>
      </c>
      <c r="U601" s="188">
        <v>0</v>
      </c>
      <c r="V601" s="188">
        <v>0</v>
      </c>
      <c r="W601" s="188">
        <v>0</v>
      </c>
      <c r="X601" s="188">
        <v>0</v>
      </c>
      <c r="Y601" s="188">
        <v>0</v>
      </c>
      <c r="Z601" s="188">
        <v>0</v>
      </c>
      <c r="AA601" s="188">
        <v>0</v>
      </c>
      <c r="AB601" s="188">
        <v>0</v>
      </c>
      <c r="AC601" s="188">
        <v>0</v>
      </c>
      <c r="AD601" s="188">
        <v>1</v>
      </c>
      <c r="AE601" s="188">
        <v>0</v>
      </c>
      <c r="AF601" s="191">
        <v>0.1</v>
      </c>
      <c r="AG601" s="183">
        <v>1</v>
      </c>
      <c r="AI601" s="5" t="s">
        <v>1655</v>
      </c>
      <c r="AL601" s="5" t="s">
        <v>1668</v>
      </c>
      <c r="AO601" s="5" t="s">
        <v>1668</v>
      </c>
    </row>
    <row r="602" spans="1:41" ht="15" customHeight="1" x14ac:dyDescent="0.2">
      <c r="A602" s="141" t="s">
        <v>313</v>
      </c>
      <c r="B602" s="187" t="s">
        <v>1759</v>
      </c>
      <c r="C602" s="141">
        <v>2015</v>
      </c>
      <c r="D602" s="141">
        <v>73</v>
      </c>
      <c r="E602" s="135">
        <v>312</v>
      </c>
      <c r="F602" s="192" t="s">
        <v>114</v>
      </c>
      <c r="G602" s="141">
        <v>0</v>
      </c>
      <c r="H602" s="141">
        <v>1</v>
      </c>
      <c r="I602" s="141">
        <v>0</v>
      </c>
      <c r="J602" s="141">
        <v>0</v>
      </c>
      <c r="K602" s="141">
        <v>0</v>
      </c>
      <c r="L602" s="141">
        <v>0</v>
      </c>
      <c r="M602" s="141">
        <v>0</v>
      </c>
      <c r="N602" s="141">
        <v>0</v>
      </c>
      <c r="O602" s="141">
        <v>0</v>
      </c>
      <c r="P602" s="141">
        <v>0</v>
      </c>
      <c r="Q602" s="141">
        <v>0</v>
      </c>
      <c r="R602" s="141">
        <v>0</v>
      </c>
      <c r="S602" s="141">
        <v>0</v>
      </c>
      <c r="T602" s="141">
        <v>0</v>
      </c>
      <c r="U602" s="141">
        <v>0</v>
      </c>
      <c r="V602" s="141">
        <v>0</v>
      </c>
      <c r="W602" s="141">
        <v>0</v>
      </c>
      <c r="X602" s="141">
        <v>0</v>
      </c>
      <c r="Y602" s="141">
        <v>0</v>
      </c>
      <c r="Z602" s="141">
        <v>0</v>
      </c>
      <c r="AA602" s="141">
        <v>0</v>
      </c>
      <c r="AB602" s="141">
        <v>0</v>
      </c>
      <c r="AC602" s="141">
        <v>0</v>
      </c>
      <c r="AD602" s="141">
        <v>0</v>
      </c>
      <c r="AE602" s="141">
        <v>0</v>
      </c>
      <c r="AF602" s="148"/>
      <c r="AG602" s="183">
        <v>1</v>
      </c>
      <c r="AH602" s="4" t="s">
        <v>1868</v>
      </c>
      <c r="AI602" s="5" t="s">
        <v>1467</v>
      </c>
      <c r="AJ602" s="5" t="s">
        <v>1656</v>
      </c>
      <c r="AL602" s="5" t="s">
        <v>1434</v>
      </c>
      <c r="AM602" s="5" t="s">
        <v>1676</v>
      </c>
      <c r="AO602" s="5" t="s">
        <v>1676</v>
      </c>
    </row>
    <row r="603" spans="1:41" ht="15" customHeight="1" x14ac:dyDescent="0.2">
      <c r="A603" s="141" t="s">
        <v>313</v>
      </c>
      <c r="B603" s="187" t="s">
        <v>1759</v>
      </c>
      <c r="C603" s="141">
        <v>2015</v>
      </c>
      <c r="D603" s="188">
        <v>73</v>
      </c>
      <c r="E603" s="135">
        <v>2359</v>
      </c>
      <c r="F603" s="192" t="s">
        <v>665</v>
      </c>
      <c r="G603" s="188">
        <v>0</v>
      </c>
      <c r="H603" s="188">
        <v>1</v>
      </c>
      <c r="I603" s="188">
        <v>0</v>
      </c>
      <c r="J603" s="188">
        <v>0</v>
      </c>
      <c r="K603" s="188">
        <v>0</v>
      </c>
      <c r="L603" s="188">
        <v>0</v>
      </c>
      <c r="M603" s="188">
        <v>0</v>
      </c>
      <c r="N603" s="188">
        <v>0</v>
      </c>
      <c r="O603" s="188">
        <v>0</v>
      </c>
      <c r="P603" s="188">
        <v>0</v>
      </c>
      <c r="Q603" s="188">
        <v>0</v>
      </c>
      <c r="R603" s="188">
        <v>0</v>
      </c>
      <c r="S603" s="188">
        <v>0</v>
      </c>
      <c r="T603" s="188">
        <v>0</v>
      </c>
      <c r="U603" s="188">
        <v>0</v>
      </c>
      <c r="V603" s="188">
        <v>0</v>
      </c>
      <c r="W603" s="188">
        <v>0</v>
      </c>
      <c r="X603" s="188">
        <v>0</v>
      </c>
      <c r="Y603" s="188">
        <v>0</v>
      </c>
      <c r="Z603" s="188">
        <v>0</v>
      </c>
      <c r="AA603" s="188">
        <v>0</v>
      </c>
      <c r="AB603" s="188">
        <v>0</v>
      </c>
      <c r="AC603" s="188">
        <v>0</v>
      </c>
      <c r="AD603" s="188">
        <v>1</v>
      </c>
      <c r="AE603" s="188">
        <v>0</v>
      </c>
      <c r="AF603" s="190">
        <v>0.1</v>
      </c>
      <c r="AG603" s="183">
        <v>2</v>
      </c>
      <c r="AI603" s="5" t="s">
        <v>1655</v>
      </c>
      <c r="AL603" s="5" t="s">
        <v>1668</v>
      </c>
      <c r="AO603" s="5" t="s">
        <v>1668</v>
      </c>
    </row>
    <row r="604" spans="1:41" ht="15" customHeight="1" x14ac:dyDescent="0.2">
      <c r="A604" s="141" t="s">
        <v>313</v>
      </c>
      <c r="B604" s="187" t="s">
        <v>1759</v>
      </c>
      <c r="C604" s="141">
        <v>2015</v>
      </c>
      <c r="D604" s="188">
        <v>73</v>
      </c>
      <c r="E604" s="135">
        <v>2362</v>
      </c>
      <c r="F604" s="192" t="s">
        <v>663</v>
      </c>
      <c r="G604" s="188">
        <v>0</v>
      </c>
      <c r="H604" s="188">
        <v>1</v>
      </c>
      <c r="I604" s="188">
        <v>0</v>
      </c>
      <c r="J604" s="188">
        <v>0</v>
      </c>
      <c r="K604" s="188">
        <v>0</v>
      </c>
      <c r="L604" s="188">
        <v>0</v>
      </c>
      <c r="M604" s="188">
        <v>0</v>
      </c>
      <c r="N604" s="188">
        <v>0</v>
      </c>
      <c r="O604" s="188">
        <v>0</v>
      </c>
      <c r="P604" s="188">
        <v>0</v>
      </c>
      <c r="Q604" s="188">
        <v>0</v>
      </c>
      <c r="R604" s="188">
        <v>0</v>
      </c>
      <c r="S604" s="188">
        <v>0</v>
      </c>
      <c r="T604" s="188">
        <v>0</v>
      </c>
      <c r="U604" s="188">
        <v>0</v>
      </c>
      <c r="V604" s="188">
        <v>0</v>
      </c>
      <c r="W604" s="188">
        <v>0</v>
      </c>
      <c r="X604" s="188">
        <v>0</v>
      </c>
      <c r="Y604" s="188">
        <v>0</v>
      </c>
      <c r="Z604" s="188">
        <v>0</v>
      </c>
      <c r="AA604" s="188">
        <v>0</v>
      </c>
      <c r="AB604" s="188">
        <v>0</v>
      </c>
      <c r="AC604" s="188">
        <v>0</v>
      </c>
      <c r="AD604" s="188">
        <v>0</v>
      </c>
      <c r="AE604" s="188">
        <v>0</v>
      </c>
      <c r="AF604" s="190">
        <v>0.1</v>
      </c>
      <c r="AG604" s="183">
        <v>1</v>
      </c>
      <c r="AI604" s="5" t="s">
        <v>1655</v>
      </c>
      <c r="AL604" s="5" t="s">
        <v>1668</v>
      </c>
      <c r="AO604" s="5" t="s">
        <v>1668</v>
      </c>
    </row>
    <row r="605" spans="1:41" ht="15" customHeight="1" x14ac:dyDescent="0.2">
      <c r="A605" s="141" t="s">
        <v>313</v>
      </c>
      <c r="B605" s="187" t="s">
        <v>1759</v>
      </c>
      <c r="C605" s="141">
        <v>2015</v>
      </c>
      <c r="D605" s="188">
        <v>73</v>
      </c>
      <c r="E605" s="135">
        <v>494</v>
      </c>
      <c r="F605" s="192" t="s">
        <v>22</v>
      </c>
      <c r="G605" s="188">
        <v>0</v>
      </c>
      <c r="H605" s="188">
        <v>0</v>
      </c>
      <c r="I605" s="188">
        <v>1</v>
      </c>
      <c r="J605" s="188">
        <v>1</v>
      </c>
      <c r="K605" s="188">
        <v>0</v>
      </c>
      <c r="L605" s="188">
        <v>0</v>
      </c>
      <c r="M605" s="188">
        <v>0</v>
      </c>
      <c r="N605" s="188">
        <v>0</v>
      </c>
      <c r="O605" s="188">
        <v>0</v>
      </c>
      <c r="P605" s="188">
        <v>0</v>
      </c>
      <c r="Q605" s="188">
        <v>0</v>
      </c>
      <c r="R605" s="188">
        <v>0</v>
      </c>
      <c r="S605" s="188">
        <v>0</v>
      </c>
      <c r="T605" s="188">
        <v>0</v>
      </c>
      <c r="U605" s="188">
        <v>0</v>
      </c>
      <c r="V605" s="188">
        <v>0</v>
      </c>
      <c r="W605" s="188">
        <v>0</v>
      </c>
      <c r="X605" s="188">
        <v>0</v>
      </c>
      <c r="Y605" s="188">
        <v>0</v>
      </c>
      <c r="Z605" s="188">
        <v>0</v>
      </c>
      <c r="AA605" s="188">
        <v>1</v>
      </c>
      <c r="AB605" s="188">
        <v>0</v>
      </c>
      <c r="AC605" s="188">
        <v>0</v>
      </c>
      <c r="AD605" s="188">
        <v>0</v>
      </c>
      <c r="AE605" s="188">
        <v>0</v>
      </c>
      <c r="AF605" s="191">
        <v>1</v>
      </c>
      <c r="AG605" s="183">
        <v>3</v>
      </c>
    </row>
    <row r="606" spans="1:41" ht="15" customHeight="1" x14ac:dyDescent="0.2">
      <c r="A606" s="141" t="s">
        <v>313</v>
      </c>
      <c r="B606" s="187" t="s">
        <v>1759</v>
      </c>
      <c r="C606" s="141">
        <v>2015</v>
      </c>
      <c r="D606" s="188">
        <v>73</v>
      </c>
      <c r="E606" s="135">
        <v>542</v>
      </c>
      <c r="F606" s="192" t="s">
        <v>1312</v>
      </c>
      <c r="G606" s="188">
        <v>1</v>
      </c>
      <c r="H606" s="188">
        <v>1</v>
      </c>
      <c r="I606" s="188">
        <v>1</v>
      </c>
      <c r="J606" s="188">
        <v>1</v>
      </c>
      <c r="K606" s="188">
        <v>1</v>
      </c>
      <c r="L606" s="188">
        <v>1</v>
      </c>
      <c r="M606" s="188">
        <v>1</v>
      </c>
      <c r="N606" s="188">
        <v>1</v>
      </c>
      <c r="O606" s="188">
        <v>1</v>
      </c>
      <c r="P606" s="188">
        <v>1</v>
      </c>
      <c r="Q606" s="188">
        <v>1</v>
      </c>
      <c r="R606" s="188">
        <v>1</v>
      </c>
      <c r="S606" s="188">
        <v>1</v>
      </c>
      <c r="T606" s="188">
        <v>0</v>
      </c>
      <c r="U606" s="188">
        <v>1</v>
      </c>
      <c r="V606" s="188">
        <v>1</v>
      </c>
      <c r="W606" s="188">
        <v>1</v>
      </c>
      <c r="X606" s="188">
        <v>0</v>
      </c>
      <c r="Y606" s="188">
        <v>1</v>
      </c>
      <c r="Z606" s="188">
        <v>1</v>
      </c>
      <c r="AA606" s="188">
        <v>1</v>
      </c>
      <c r="AB606" s="188">
        <v>1</v>
      </c>
      <c r="AC606" s="188">
        <v>0</v>
      </c>
      <c r="AD606" s="188">
        <v>1</v>
      </c>
      <c r="AE606" s="188">
        <v>1</v>
      </c>
      <c r="AF606" s="190">
        <v>20</v>
      </c>
      <c r="AG606" s="183">
        <v>22</v>
      </c>
    </row>
    <row r="607" spans="1:41" ht="15" customHeight="1" x14ac:dyDescent="0.2">
      <c r="A607" s="141" t="s">
        <v>313</v>
      </c>
      <c r="B607" s="187" t="s">
        <v>1759</v>
      </c>
      <c r="C607" s="141">
        <v>2015</v>
      </c>
      <c r="D607" s="188">
        <v>73</v>
      </c>
      <c r="E607" s="135">
        <v>726</v>
      </c>
      <c r="F607" s="192" t="s">
        <v>1227</v>
      </c>
      <c r="G607" s="188">
        <v>0</v>
      </c>
      <c r="H607" s="188">
        <v>0</v>
      </c>
      <c r="I607" s="188">
        <v>1</v>
      </c>
      <c r="J607" s="188">
        <v>0</v>
      </c>
      <c r="K607" s="188">
        <v>0</v>
      </c>
      <c r="L607" s="188">
        <v>0</v>
      </c>
      <c r="M607" s="188">
        <v>0</v>
      </c>
      <c r="N607" s="188">
        <v>0</v>
      </c>
      <c r="O607" s="188">
        <v>0</v>
      </c>
      <c r="P607" s="188">
        <v>0</v>
      </c>
      <c r="Q607" s="188">
        <v>0</v>
      </c>
      <c r="R607" s="188">
        <v>0</v>
      </c>
      <c r="S607" s="188">
        <v>1</v>
      </c>
      <c r="T607" s="188">
        <v>0</v>
      </c>
      <c r="U607" s="188">
        <v>0</v>
      </c>
      <c r="V607" s="188">
        <v>1</v>
      </c>
      <c r="W607" s="188">
        <v>0</v>
      </c>
      <c r="X607" s="188">
        <v>0</v>
      </c>
      <c r="Y607" s="188">
        <v>0</v>
      </c>
      <c r="Z607" s="188">
        <v>0</v>
      </c>
      <c r="AA607" s="188">
        <v>0</v>
      </c>
      <c r="AB607" s="188">
        <v>0</v>
      </c>
      <c r="AC607" s="188">
        <v>0</v>
      </c>
      <c r="AD607" s="188">
        <v>0</v>
      </c>
      <c r="AE607" s="188">
        <v>0</v>
      </c>
      <c r="AF607" s="190">
        <v>2</v>
      </c>
      <c r="AG607" s="183">
        <v>3</v>
      </c>
    </row>
    <row r="608" spans="1:41" ht="15" customHeight="1" x14ac:dyDescent="0.2">
      <c r="A608" s="141" t="s">
        <v>313</v>
      </c>
      <c r="B608" s="187" t="s">
        <v>1759</v>
      </c>
      <c r="C608" s="141">
        <v>2015</v>
      </c>
      <c r="D608" s="188">
        <v>73</v>
      </c>
      <c r="E608" s="135">
        <v>729</v>
      </c>
      <c r="F608" s="192" t="s">
        <v>1226</v>
      </c>
      <c r="G608" s="188">
        <v>0</v>
      </c>
      <c r="H608" s="188">
        <v>0</v>
      </c>
      <c r="I608" s="188">
        <v>0</v>
      </c>
      <c r="J608" s="188">
        <v>0</v>
      </c>
      <c r="K608" s="188">
        <v>0</v>
      </c>
      <c r="L608" s="188">
        <v>0</v>
      </c>
      <c r="M608" s="188">
        <v>0</v>
      </c>
      <c r="N608" s="188">
        <v>0</v>
      </c>
      <c r="O608" s="188">
        <v>0</v>
      </c>
      <c r="P608" s="188">
        <v>0</v>
      </c>
      <c r="Q608" s="188">
        <v>0</v>
      </c>
      <c r="R608" s="188">
        <v>0</v>
      </c>
      <c r="S608" s="188">
        <v>0</v>
      </c>
      <c r="T608" s="188">
        <v>0</v>
      </c>
      <c r="U608" s="188">
        <v>0</v>
      </c>
      <c r="V608" s="188">
        <v>0</v>
      </c>
      <c r="W608" s="188">
        <v>0</v>
      </c>
      <c r="X608" s="188">
        <v>0</v>
      </c>
      <c r="Y608" s="188">
        <v>0</v>
      </c>
      <c r="Z608" s="188">
        <v>0</v>
      </c>
      <c r="AA608" s="188">
        <v>0</v>
      </c>
      <c r="AB608" s="188">
        <v>0</v>
      </c>
      <c r="AC608" s="188">
        <v>1</v>
      </c>
      <c r="AD608" s="188">
        <v>0</v>
      </c>
      <c r="AE608" s="188">
        <v>0</v>
      </c>
      <c r="AF608" s="190">
        <v>2</v>
      </c>
      <c r="AG608" s="183">
        <v>1</v>
      </c>
    </row>
    <row r="609" spans="1:41" ht="15" customHeight="1" x14ac:dyDescent="0.2">
      <c r="A609" s="141" t="s">
        <v>313</v>
      </c>
      <c r="B609" s="187" t="s">
        <v>1759</v>
      </c>
      <c r="C609" s="141">
        <v>2015</v>
      </c>
      <c r="D609" s="188">
        <v>73</v>
      </c>
      <c r="E609" s="135">
        <v>730</v>
      </c>
      <c r="F609" s="192" t="s">
        <v>1225</v>
      </c>
      <c r="G609" s="188">
        <v>1</v>
      </c>
      <c r="H609" s="188">
        <v>1</v>
      </c>
      <c r="I609" s="188">
        <v>1</v>
      </c>
      <c r="J609" s="188">
        <v>1</v>
      </c>
      <c r="K609" s="188">
        <v>0</v>
      </c>
      <c r="L609" s="188">
        <v>0</v>
      </c>
      <c r="M609" s="188">
        <v>1</v>
      </c>
      <c r="N609" s="188">
        <v>1</v>
      </c>
      <c r="O609" s="188">
        <v>0</v>
      </c>
      <c r="P609" s="188">
        <v>0</v>
      </c>
      <c r="Q609" s="188">
        <v>0</v>
      </c>
      <c r="R609" s="188">
        <v>1</v>
      </c>
      <c r="S609" s="188">
        <v>0</v>
      </c>
      <c r="T609" s="188">
        <v>1</v>
      </c>
      <c r="U609" s="188">
        <v>0</v>
      </c>
      <c r="V609" s="188">
        <v>1</v>
      </c>
      <c r="W609" s="188">
        <v>1</v>
      </c>
      <c r="X609" s="188">
        <v>1</v>
      </c>
      <c r="Y609" s="188">
        <v>1</v>
      </c>
      <c r="Z609" s="188">
        <v>0</v>
      </c>
      <c r="AA609" s="188">
        <v>1</v>
      </c>
      <c r="AB609" s="188">
        <v>1</v>
      </c>
      <c r="AC609" s="188">
        <v>0</v>
      </c>
      <c r="AD609" s="188">
        <v>1</v>
      </c>
      <c r="AE609" s="188">
        <v>1</v>
      </c>
      <c r="AF609" s="190">
        <v>3</v>
      </c>
      <c r="AG609" s="183">
        <v>16</v>
      </c>
    </row>
    <row r="610" spans="1:41" ht="15" customHeight="1" x14ac:dyDescent="0.2">
      <c r="A610" s="141" t="s">
        <v>313</v>
      </c>
      <c r="B610" s="187" t="s">
        <v>1759</v>
      </c>
      <c r="C610" s="141">
        <v>2015</v>
      </c>
      <c r="D610" s="188">
        <v>73</v>
      </c>
      <c r="E610" s="135">
        <v>736</v>
      </c>
      <c r="F610" s="192" t="s">
        <v>1223</v>
      </c>
      <c r="G610" s="188">
        <v>1</v>
      </c>
      <c r="H610" s="188">
        <v>1</v>
      </c>
      <c r="I610" s="188">
        <v>0</v>
      </c>
      <c r="J610" s="188">
        <v>0</v>
      </c>
      <c r="K610" s="188">
        <v>0</v>
      </c>
      <c r="L610" s="188">
        <v>0</v>
      </c>
      <c r="M610" s="188">
        <v>1</v>
      </c>
      <c r="N610" s="188">
        <v>1</v>
      </c>
      <c r="O610" s="188">
        <v>1</v>
      </c>
      <c r="P610" s="188">
        <v>0</v>
      </c>
      <c r="Q610" s="188">
        <v>1</v>
      </c>
      <c r="R610" s="188">
        <v>0</v>
      </c>
      <c r="S610" s="188">
        <v>0</v>
      </c>
      <c r="T610" s="188">
        <v>1</v>
      </c>
      <c r="U610" s="188">
        <v>0</v>
      </c>
      <c r="V610" s="188">
        <v>0</v>
      </c>
      <c r="W610" s="188">
        <v>1</v>
      </c>
      <c r="X610" s="188">
        <v>0</v>
      </c>
      <c r="Y610" s="188">
        <v>1</v>
      </c>
      <c r="Z610" s="188">
        <v>0</v>
      </c>
      <c r="AA610" s="188">
        <v>0</v>
      </c>
      <c r="AB610" s="188">
        <v>0</v>
      </c>
      <c r="AC610" s="188">
        <v>0</v>
      </c>
      <c r="AD610" s="188">
        <v>1</v>
      </c>
      <c r="AE610" s="188">
        <v>1</v>
      </c>
      <c r="AF610" s="191">
        <v>4</v>
      </c>
      <c r="AG610" s="183">
        <v>11</v>
      </c>
    </row>
    <row r="611" spans="1:41" ht="15" customHeight="1" x14ac:dyDescent="0.2">
      <c r="A611" s="141" t="s">
        <v>313</v>
      </c>
      <c r="B611" s="187" t="s">
        <v>1759</v>
      </c>
      <c r="C611" s="141">
        <v>2015</v>
      </c>
      <c r="D611" s="188">
        <v>73</v>
      </c>
      <c r="E611" s="135">
        <v>876</v>
      </c>
      <c r="F611" s="192" t="s">
        <v>1163</v>
      </c>
      <c r="G611" s="188">
        <v>1</v>
      </c>
      <c r="H611" s="188">
        <v>1</v>
      </c>
      <c r="I611" s="188">
        <v>1</v>
      </c>
      <c r="J611" s="188">
        <v>1</v>
      </c>
      <c r="K611" s="188">
        <v>1</v>
      </c>
      <c r="L611" s="188">
        <v>1</v>
      </c>
      <c r="M611" s="188">
        <v>1</v>
      </c>
      <c r="N611" s="188">
        <v>0</v>
      </c>
      <c r="O611" s="188">
        <v>1</v>
      </c>
      <c r="P611" s="188">
        <v>1</v>
      </c>
      <c r="Q611" s="188">
        <v>1</v>
      </c>
      <c r="R611" s="188">
        <v>0</v>
      </c>
      <c r="S611" s="188">
        <v>0</v>
      </c>
      <c r="T611" s="188">
        <v>1</v>
      </c>
      <c r="U611" s="188">
        <v>1</v>
      </c>
      <c r="V611" s="188">
        <v>1</v>
      </c>
      <c r="W611" s="188">
        <v>1</v>
      </c>
      <c r="X611" s="188">
        <v>1</v>
      </c>
      <c r="Y611" s="188">
        <v>1</v>
      </c>
      <c r="Z611" s="188">
        <v>1</v>
      </c>
      <c r="AA611" s="188">
        <v>1</v>
      </c>
      <c r="AB611" s="188">
        <v>1</v>
      </c>
      <c r="AC611" s="188">
        <v>1</v>
      </c>
      <c r="AD611" s="188">
        <v>0</v>
      </c>
      <c r="AE611" s="188">
        <v>1</v>
      </c>
      <c r="AF611" s="191">
        <v>4</v>
      </c>
      <c r="AG611" s="183">
        <v>21</v>
      </c>
    </row>
    <row r="612" spans="1:41" ht="15" customHeight="1" x14ac:dyDescent="0.2">
      <c r="A612" s="141" t="s">
        <v>313</v>
      </c>
      <c r="B612" s="187" t="s">
        <v>1759</v>
      </c>
      <c r="C612" s="141">
        <v>2015</v>
      </c>
      <c r="D612" s="188">
        <v>73</v>
      </c>
      <c r="E612" s="135">
        <v>2620</v>
      </c>
      <c r="F612" s="192" t="s">
        <v>605</v>
      </c>
      <c r="G612" s="188">
        <v>0</v>
      </c>
      <c r="H612" s="188">
        <v>0</v>
      </c>
      <c r="I612" s="188">
        <v>0</v>
      </c>
      <c r="J612" s="188">
        <v>0</v>
      </c>
      <c r="K612" s="188">
        <v>1</v>
      </c>
      <c r="L612" s="188">
        <v>0</v>
      </c>
      <c r="M612" s="188">
        <v>0</v>
      </c>
      <c r="N612" s="188">
        <v>1</v>
      </c>
      <c r="O612" s="188">
        <v>1</v>
      </c>
      <c r="P612" s="188">
        <v>1</v>
      </c>
      <c r="Q612" s="188">
        <v>1</v>
      </c>
      <c r="R612" s="188">
        <v>0</v>
      </c>
      <c r="S612" s="188">
        <v>1</v>
      </c>
      <c r="T612" s="188">
        <v>1</v>
      </c>
      <c r="U612" s="188">
        <v>0</v>
      </c>
      <c r="V612" s="188">
        <v>0</v>
      </c>
      <c r="W612" s="188">
        <v>0</v>
      </c>
      <c r="X612" s="188">
        <v>1</v>
      </c>
      <c r="Y612" s="188">
        <v>0</v>
      </c>
      <c r="Z612" s="188">
        <v>1</v>
      </c>
      <c r="AA612" s="188">
        <v>0</v>
      </c>
      <c r="AB612" s="188">
        <v>1</v>
      </c>
      <c r="AC612" s="188">
        <v>1</v>
      </c>
      <c r="AD612" s="188">
        <v>0</v>
      </c>
      <c r="AE612" s="188">
        <v>0</v>
      </c>
      <c r="AF612" s="191">
        <v>4</v>
      </c>
      <c r="AG612" s="183">
        <v>11</v>
      </c>
    </row>
    <row r="613" spans="1:41" ht="15" customHeight="1" x14ac:dyDescent="0.2">
      <c r="A613" s="141" t="s">
        <v>313</v>
      </c>
      <c r="B613" s="187" t="s">
        <v>1759</v>
      </c>
      <c r="C613" s="141">
        <v>2015</v>
      </c>
      <c r="D613" s="188">
        <v>73</v>
      </c>
      <c r="E613" s="135">
        <v>1871</v>
      </c>
      <c r="F613" s="192" t="s">
        <v>805</v>
      </c>
      <c r="G613" s="188">
        <v>0</v>
      </c>
      <c r="H613" s="188">
        <v>0</v>
      </c>
      <c r="I613" s="188">
        <v>0</v>
      </c>
      <c r="J613" s="188">
        <v>0</v>
      </c>
      <c r="K613" s="188">
        <v>1</v>
      </c>
      <c r="L613" s="188">
        <v>0</v>
      </c>
      <c r="M613" s="188">
        <v>0</v>
      </c>
      <c r="N613" s="188">
        <v>0</v>
      </c>
      <c r="O613" s="188">
        <v>0</v>
      </c>
      <c r="P613" s="188">
        <v>0</v>
      </c>
      <c r="Q613" s="188">
        <v>0</v>
      </c>
      <c r="R613" s="188">
        <v>0</v>
      </c>
      <c r="S613" s="188">
        <v>0</v>
      </c>
      <c r="T613" s="188">
        <v>0</v>
      </c>
      <c r="U613" s="188">
        <v>0</v>
      </c>
      <c r="V613" s="188">
        <v>0</v>
      </c>
      <c r="W613" s="188">
        <v>0</v>
      </c>
      <c r="X613" s="188">
        <v>0</v>
      </c>
      <c r="Y613" s="188">
        <v>0</v>
      </c>
      <c r="Z613" s="188">
        <v>0</v>
      </c>
      <c r="AA613" s="188">
        <v>0</v>
      </c>
      <c r="AB613" s="188">
        <v>0</v>
      </c>
      <c r="AC613" s="188">
        <v>0</v>
      </c>
      <c r="AD613" s="188">
        <v>0</v>
      </c>
      <c r="AE613" s="188">
        <v>1</v>
      </c>
      <c r="AF613" s="191">
        <v>0.1</v>
      </c>
      <c r="AG613" s="183">
        <v>2</v>
      </c>
      <c r="AH613" s="5" t="s">
        <v>1967</v>
      </c>
      <c r="AI613" s="5" t="s">
        <v>1657</v>
      </c>
      <c r="AJ613" s="5" t="s">
        <v>1655</v>
      </c>
      <c r="AL613" s="5" t="s">
        <v>1668</v>
      </c>
      <c r="AM613" s="5" t="s">
        <v>1675</v>
      </c>
      <c r="AO613" s="5" t="s">
        <v>1675</v>
      </c>
    </row>
    <row r="614" spans="1:41" ht="15" customHeight="1" x14ac:dyDescent="0.2">
      <c r="A614" s="141" t="s">
        <v>313</v>
      </c>
      <c r="B614" s="187" t="s">
        <v>1759</v>
      </c>
      <c r="C614" s="141">
        <v>2015</v>
      </c>
      <c r="D614" s="188">
        <v>73</v>
      </c>
      <c r="E614" s="135">
        <v>1891</v>
      </c>
      <c r="F614" s="189" t="s">
        <v>797</v>
      </c>
      <c r="G614" s="188">
        <v>1</v>
      </c>
      <c r="H614" s="188">
        <v>1</v>
      </c>
      <c r="I614" s="188">
        <v>1</v>
      </c>
      <c r="J614" s="188">
        <v>0</v>
      </c>
      <c r="K614" s="188">
        <v>0</v>
      </c>
      <c r="L614" s="188">
        <v>0</v>
      </c>
      <c r="M614" s="188">
        <v>0</v>
      </c>
      <c r="N614" s="188">
        <v>1</v>
      </c>
      <c r="O614" s="188">
        <v>1</v>
      </c>
      <c r="P614" s="188">
        <v>1</v>
      </c>
      <c r="Q614" s="188">
        <v>1</v>
      </c>
      <c r="R614" s="188">
        <v>0</v>
      </c>
      <c r="S614" s="188">
        <v>1</v>
      </c>
      <c r="T614" s="188">
        <v>1</v>
      </c>
      <c r="U614" s="188">
        <v>1</v>
      </c>
      <c r="V614" s="188">
        <v>1</v>
      </c>
      <c r="W614" s="188">
        <v>1</v>
      </c>
      <c r="X614" s="188">
        <v>1</v>
      </c>
      <c r="Y614" s="188">
        <v>1</v>
      </c>
      <c r="Z614" s="188">
        <v>1</v>
      </c>
      <c r="AA614" s="188">
        <v>1</v>
      </c>
      <c r="AB614" s="188">
        <v>1</v>
      </c>
      <c r="AC614" s="188">
        <v>1</v>
      </c>
      <c r="AD614" s="188">
        <v>1</v>
      </c>
      <c r="AE614" s="188">
        <v>1</v>
      </c>
      <c r="AF614" s="191">
        <v>30</v>
      </c>
      <c r="AG614" s="183">
        <v>20</v>
      </c>
    </row>
    <row r="615" spans="1:41" ht="15" customHeight="1" x14ac:dyDescent="0.2">
      <c r="A615" s="141" t="s">
        <v>313</v>
      </c>
      <c r="B615" s="187" t="s">
        <v>1759</v>
      </c>
      <c r="C615" s="141">
        <v>2015</v>
      </c>
      <c r="D615" s="188">
        <v>73</v>
      </c>
      <c r="E615" s="135">
        <v>2729</v>
      </c>
      <c r="F615" s="192" t="s">
        <v>547</v>
      </c>
      <c r="G615" s="188">
        <v>1</v>
      </c>
      <c r="H615" s="188">
        <v>1</v>
      </c>
      <c r="I615" s="188">
        <v>1</v>
      </c>
      <c r="J615" s="188">
        <v>1</v>
      </c>
      <c r="K615" s="188">
        <v>0</v>
      </c>
      <c r="L615" s="188">
        <v>0</v>
      </c>
      <c r="M615" s="188">
        <v>1</v>
      </c>
      <c r="N615" s="188">
        <v>0</v>
      </c>
      <c r="O615" s="188">
        <v>0</v>
      </c>
      <c r="P615" s="188">
        <v>1</v>
      </c>
      <c r="Q615" s="188">
        <v>1</v>
      </c>
      <c r="R615" s="188">
        <v>1</v>
      </c>
      <c r="S615" s="188">
        <v>1</v>
      </c>
      <c r="T615" s="188">
        <v>1</v>
      </c>
      <c r="U615" s="188">
        <v>0</v>
      </c>
      <c r="V615" s="188">
        <v>1</v>
      </c>
      <c r="W615" s="188">
        <v>1</v>
      </c>
      <c r="X615" s="188">
        <v>1</v>
      </c>
      <c r="Y615" s="188">
        <v>1</v>
      </c>
      <c r="Z615" s="188">
        <v>1</v>
      </c>
      <c r="AA615" s="188">
        <v>1</v>
      </c>
      <c r="AB615" s="188">
        <v>1</v>
      </c>
      <c r="AC615" s="188">
        <v>1</v>
      </c>
      <c r="AD615" s="188">
        <v>1</v>
      </c>
      <c r="AE615" s="188">
        <v>1</v>
      </c>
      <c r="AF615" s="191">
        <v>4</v>
      </c>
      <c r="AG615" s="183">
        <v>20</v>
      </c>
    </row>
    <row r="616" spans="1:41" ht="15" customHeight="1" x14ac:dyDescent="0.2">
      <c r="A616" s="141" t="s">
        <v>313</v>
      </c>
      <c r="B616" s="187" t="s">
        <v>1759</v>
      </c>
      <c r="C616" s="141">
        <v>2015</v>
      </c>
      <c r="D616" s="188">
        <v>73</v>
      </c>
      <c r="E616" s="135">
        <v>1971</v>
      </c>
      <c r="F616" s="192" t="s">
        <v>769</v>
      </c>
      <c r="G616" s="188">
        <v>0</v>
      </c>
      <c r="H616" s="188">
        <v>0</v>
      </c>
      <c r="I616" s="188">
        <v>0</v>
      </c>
      <c r="J616" s="188">
        <v>0</v>
      </c>
      <c r="K616" s="188">
        <v>0</v>
      </c>
      <c r="L616" s="188">
        <v>1</v>
      </c>
      <c r="M616" s="188">
        <v>1</v>
      </c>
      <c r="N616" s="188">
        <v>0</v>
      </c>
      <c r="O616" s="188">
        <v>0</v>
      </c>
      <c r="P616" s="188">
        <v>0</v>
      </c>
      <c r="Q616" s="188">
        <v>1</v>
      </c>
      <c r="R616" s="188">
        <v>0</v>
      </c>
      <c r="S616" s="188">
        <v>0</v>
      </c>
      <c r="T616" s="188">
        <v>0</v>
      </c>
      <c r="U616" s="188">
        <v>0</v>
      </c>
      <c r="V616" s="188">
        <v>1</v>
      </c>
      <c r="W616" s="188">
        <v>0</v>
      </c>
      <c r="X616" s="188">
        <v>0</v>
      </c>
      <c r="Y616" s="188">
        <v>0</v>
      </c>
      <c r="Z616" s="188">
        <v>0</v>
      </c>
      <c r="AA616" s="188">
        <v>0</v>
      </c>
      <c r="AB616" s="188">
        <v>0</v>
      </c>
      <c r="AC616" s="188">
        <v>0</v>
      </c>
      <c r="AD616" s="188">
        <v>0</v>
      </c>
      <c r="AE616" s="188">
        <v>0</v>
      </c>
      <c r="AF616" s="191">
        <v>3</v>
      </c>
      <c r="AG616" s="183">
        <v>4</v>
      </c>
    </row>
    <row r="617" spans="1:41" ht="15" customHeight="1" x14ac:dyDescent="0.2">
      <c r="A617" s="141" t="s">
        <v>313</v>
      </c>
      <c r="B617" s="187" t="s">
        <v>1759</v>
      </c>
      <c r="C617" s="141">
        <v>2015</v>
      </c>
      <c r="D617" s="188">
        <v>74</v>
      </c>
      <c r="E617" s="135">
        <v>2607</v>
      </c>
      <c r="F617" s="192" t="s">
        <v>616</v>
      </c>
      <c r="G617" s="188">
        <v>1</v>
      </c>
      <c r="H617" s="188">
        <v>1</v>
      </c>
      <c r="I617" s="188">
        <v>0</v>
      </c>
      <c r="J617" s="188">
        <v>0</v>
      </c>
      <c r="K617" s="188">
        <v>1</v>
      </c>
      <c r="L617" s="188">
        <v>1</v>
      </c>
      <c r="M617" s="188">
        <v>0</v>
      </c>
      <c r="N617" s="188">
        <v>1</v>
      </c>
      <c r="O617" s="188">
        <v>0</v>
      </c>
      <c r="P617" s="188">
        <v>0</v>
      </c>
      <c r="Q617" s="188">
        <v>0</v>
      </c>
      <c r="R617" s="188">
        <v>1</v>
      </c>
      <c r="S617" s="188">
        <v>1</v>
      </c>
      <c r="T617" s="188">
        <v>0</v>
      </c>
      <c r="U617" s="188">
        <v>0</v>
      </c>
      <c r="V617" s="188">
        <v>0</v>
      </c>
      <c r="W617" s="188">
        <v>0</v>
      </c>
      <c r="X617" s="188">
        <v>0</v>
      </c>
      <c r="Y617" s="188">
        <v>0</v>
      </c>
      <c r="Z617" s="188">
        <v>0</v>
      </c>
      <c r="AA617" s="188">
        <v>0</v>
      </c>
      <c r="AB617" s="188">
        <v>1</v>
      </c>
      <c r="AC617" s="188">
        <v>1</v>
      </c>
      <c r="AD617" s="188">
        <v>1</v>
      </c>
      <c r="AE617" s="188">
        <v>1</v>
      </c>
      <c r="AF617" s="191">
        <v>6</v>
      </c>
      <c r="AG617" s="183">
        <v>11</v>
      </c>
    </row>
    <row r="618" spans="1:41" ht="15" customHeight="1" x14ac:dyDescent="0.2">
      <c r="A618" s="141" t="s">
        <v>313</v>
      </c>
      <c r="B618" s="187" t="s">
        <v>1759</v>
      </c>
      <c r="C618" s="141">
        <v>2015</v>
      </c>
      <c r="D618" s="188">
        <v>74</v>
      </c>
      <c r="E618" s="135">
        <v>2605</v>
      </c>
      <c r="F618" s="192" t="s">
        <v>618</v>
      </c>
      <c r="G618" s="188">
        <v>0</v>
      </c>
      <c r="H618" s="188">
        <v>0</v>
      </c>
      <c r="I618" s="188">
        <v>1</v>
      </c>
      <c r="J618" s="188">
        <v>1</v>
      </c>
      <c r="K618" s="188">
        <v>0</v>
      </c>
      <c r="L618" s="188">
        <v>0</v>
      </c>
      <c r="M618" s="188">
        <v>0</v>
      </c>
      <c r="N618" s="188">
        <v>0</v>
      </c>
      <c r="O618" s="188">
        <v>1</v>
      </c>
      <c r="P618" s="188">
        <v>0</v>
      </c>
      <c r="Q618" s="188">
        <v>0</v>
      </c>
      <c r="R618" s="188">
        <v>1</v>
      </c>
      <c r="S618" s="188">
        <v>0</v>
      </c>
      <c r="T618" s="188">
        <v>1</v>
      </c>
      <c r="U618" s="188">
        <v>0</v>
      </c>
      <c r="V618" s="188">
        <v>0</v>
      </c>
      <c r="W618" s="188">
        <v>0</v>
      </c>
      <c r="X618" s="188">
        <v>1</v>
      </c>
      <c r="Y618" s="188">
        <v>1</v>
      </c>
      <c r="Z618" s="188">
        <v>0</v>
      </c>
      <c r="AA618" s="188">
        <v>0</v>
      </c>
      <c r="AB618" s="188">
        <v>0</v>
      </c>
      <c r="AC618" s="188">
        <v>0</v>
      </c>
      <c r="AD618" s="188">
        <v>0</v>
      </c>
      <c r="AE618" s="188">
        <v>0</v>
      </c>
      <c r="AF618" s="190">
        <v>0.1</v>
      </c>
      <c r="AG618" s="183">
        <v>7</v>
      </c>
      <c r="AI618" s="5" t="s">
        <v>1655</v>
      </c>
      <c r="AL618" s="5" t="s">
        <v>1668</v>
      </c>
      <c r="AO618" s="5" t="s">
        <v>1668</v>
      </c>
    </row>
    <row r="619" spans="1:41" ht="15" customHeight="1" x14ac:dyDescent="0.2">
      <c r="A619" s="141" t="s">
        <v>313</v>
      </c>
      <c r="B619" s="187" t="s">
        <v>1759</v>
      </c>
      <c r="C619" s="141">
        <v>2015</v>
      </c>
      <c r="D619" s="188">
        <v>74</v>
      </c>
      <c r="E619" s="135">
        <v>278</v>
      </c>
      <c r="F619" s="192" t="s">
        <v>132</v>
      </c>
      <c r="G619" s="188">
        <v>1</v>
      </c>
      <c r="H619" s="188">
        <v>1</v>
      </c>
      <c r="I619" s="188">
        <v>1</v>
      </c>
      <c r="J619" s="188">
        <v>1</v>
      </c>
      <c r="K619" s="188">
        <v>1</v>
      </c>
      <c r="L619" s="188">
        <v>1</v>
      </c>
      <c r="M619" s="188">
        <v>1</v>
      </c>
      <c r="N619" s="188">
        <v>1</v>
      </c>
      <c r="O619" s="188">
        <v>1</v>
      </c>
      <c r="P619" s="188">
        <v>1</v>
      </c>
      <c r="Q619" s="188">
        <v>1</v>
      </c>
      <c r="R619" s="188">
        <v>1</v>
      </c>
      <c r="S619" s="188">
        <v>1</v>
      </c>
      <c r="T619" s="188">
        <v>1</v>
      </c>
      <c r="U619" s="188">
        <v>1</v>
      </c>
      <c r="V619" s="188">
        <v>1</v>
      </c>
      <c r="W619" s="188">
        <v>1</v>
      </c>
      <c r="X619" s="188">
        <v>1</v>
      </c>
      <c r="Y619" s="188">
        <v>1</v>
      </c>
      <c r="Z619" s="188">
        <v>1</v>
      </c>
      <c r="AA619" s="188">
        <v>1</v>
      </c>
      <c r="AB619" s="188">
        <v>1</v>
      </c>
      <c r="AC619" s="188">
        <v>1</v>
      </c>
      <c r="AD619" s="188">
        <v>1</v>
      </c>
      <c r="AE619" s="188">
        <v>1</v>
      </c>
      <c r="AF619" s="191">
        <v>70</v>
      </c>
      <c r="AG619" s="183">
        <v>25</v>
      </c>
    </row>
    <row r="620" spans="1:41" ht="15" customHeight="1" x14ac:dyDescent="0.2">
      <c r="A620" s="141" t="s">
        <v>313</v>
      </c>
      <c r="B620" s="187" t="s">
        <v>1759</v>
      </c>
      <c r="C620" s="141">
        <v>2015</v>
      </c>
      <c r="D620" s="188">
        <v>74</v>
      </c>
      <c r="E620" s="135">
        <v>1576</v>
      </c>
      <c r="F620" s="192" t="s">
        <v>882</v>
      </c>
      <c r="G620" s="188">
        <v>1</v>
      </c>
      <c r="H620" s="188">
        <v>1</v>
      </c>
      <c r="I620" s="188">
        <v>1</v>
      </c>
      <c r="J620" s="188">
        <v>1</v>
      </c>
      <c r="K620" s="188">
        <v>1</v>
      </c>
      <c r="L620" s="188">
        <v>1</v>
      </c>
      <c r="M620" s="188">
        <v>1</v>
      </c>
      <c r="N620" s="188">
        <v>1</v>
      </c>
      <c r="O620" s="188">
        <v>1</v>
      </c>
      <c r="P620" s="188">
        <v>1</v>
      </c>
      <c r="Q620" s="188">
        <v>1</v>
      </c>
      <c r="R620" s="188">
        <v>1</v>
      </c>
      <c r="S620" s="188">
        <v>1</v>
      </c>
      <c r="T620" s="188">
        <v>1</v>
      </c>
      <c r="U620" s="188">
        <v>1</v>
      </c>
      <c r="V620" s="188">
        <v>1</v>
      </c>
      <c r="W620" s="188">
        <v>1</v>
      </c>
      <c r="X620" s="188">
        <v>0</v>
      </c>
      <c r="Y620" s="188">
        <v>0</v>
      </c>
      <c r="Z620" s="188">
        <v>1</v>
      </c>
      <c r="AA620" s="188">
        <v>1</v>
      </c>
      <c r="AB620" s="188">
        <v>1</v>
      </c>
      <c r="AC620" s="188">
        <v>0</v>
      </c>
      <c r="AD620" s="188">
        <v>0</v>
      </c>
      <c r="AE620" s="188">
        <v>1</v>
      </c>
      <c r="AF620" s="191">
        <v>8</v>
      </c>
      <c r="AG620" s="183">
        <v>21</v>
      </c>
    </row>
    <row r="621" spans="1:41" ht="15" customHeight="1" x14ac:dyDescent="0.2">
      <c r="A621" s="141" t="s">
        <v>313</v>
      </c>
      <c r="B621" s="187" t="s">
        <v>1759</v>
      </c>
      <c r="C621" s="141">
        <v>2015</v>
      </c>
      <c r="D621" s="188">
        <v>74</v>
      </c>
      <c r="E621" s="135">
        <v>2359</v>
      </c>
      <c r="F621" s="192" t="s">
        <v>665</v>
      </c>
      <c r="G621" s="188">
        <v>1</v>
      </c>
      <c r="H621" s="188">
        <v>1</v>
      </c>
      <c r="I621" s="188">
        <v>0</v>
      </c>
      <c r="J621" s="188">
        <v>0</v>
      </c>
      <c r="K621" s="188">
        <v>0</v>
      </c>
      <c r="L621" s="188">
        <v>0</v>
      </c>
      <c r="M621" s="188">
        <v>0</v>
      </c>
      <c r="N621" s="188">
        <v>0</v>
      </c>
      <c r="O621" s="188">
        <v>0</v>
      </c>
      <c r="P621" s="188">
        <v>0</v>
      </c>
      <c r="Q621" s="188">
        <v>0</v>
      </c>
      <c r="R621" s="188">
        <v>0</v>
      </c>
      <c r="S621" s="188">
        <v>0</v>
      </c>
      <c r="T621" s="188">
        <v>0</v>
      </c>
      <c r="U621" s="188">
        <v>0</v>
      </c>
      <c r="V621" s="188">
        <v>0</v>
      </c>
      <c r="W621" s="188">
        <v>0</v>
      </c>
      <c r="X621" s="188">
        <v>0</v>
      </c>
      <c r="Y621" s="188">
        <v>0</v>
      </c>
      <c r="Z621" s="188">
        <v>1</v>
      </c>
      <c r="AA621" s="188">
        <v>0</v>
      </c>
      <c r="AB621" s="188">
        <v>1</v>
      </c>
      <c r="AC621" s="188">
        <v>0</v>
      </c>
      <c r="AD621" s="188">
        <v>0</v>
      </c>
      <c r="AE621" s="188">
        <v>0</v>
      </c>
      <c r="AF621" s="191">
        <v>0.1</v>
      </c>
      <c r="AG621" s="183">
        <v>4</v>
      </c>
      <c r="AI621" s="5" t="s">
        <v>1655</v>
      </c>
      <c r="AL621" s="5" t="s">
        <v>1668</v>
      </c>
      <c r="AO621" s="5" t="s">
        <v>1668</v>
      </c>
    </row>
    <row r="622" spans="1:41" ht="15" customHeight="1" x14ac:dyDescent="0.2">
      <c r="A622" s="141" t="s">
        <v>313</v>
      </c>
      <c r="B622" s="187" t="s">
        <v>1759</v>
      </c>
      <c r="C622" s="141">
        <v>2015</v>
      </c>
      <c r="D622" s="188">
        <v>74</v>
      </c>
      <c r="E622" s="135" t="e">
        <v>#N/A</v>
      </c>
      <c r="F622" s="192" t="s">
        <v>1767</v>
      </c>
      <c r="G622" s="188">
        <v>0</v>
      </c>
      <c r="H622" s="188">
        <v>1</v>
      </c>
      <c r="I622" s="188">
        <v>0</v>
      </c>
      <c r="J622" s="188">
        <v>0</v>
      </c>
      <c r="K622" s="188">
        <v>0</v>
      </c>
      <c r="L622" s="188">
        <v>0</v>
      </c>
      <c r="M622" s="188">
        <v>0</v>
      </c>
      <c r="N622" s="188">
        <v>0</v>
      </c>
      <c r="O622" s="188">
        <v>0</v>
      </c>
      <c r="P622" s="188">
        <v>1</v>
      </c>
      <c r="Q622" s="188">
        <v>0</v>
      </c>
      <c r="R622" s="188">
        <v>0</v>
      </c>
      <c r="S622" s="188">
        <v>0</v>
      </c>
      <c r="T622" s="188">
        <v>0</v>
      </c>
      <c r="U622" s="188">
        <v>0</v>
      </c>
      <c r="V622" s="188">
        <v>0</v>
      </c>
      <c r="W622" s="188">
        <v>0</v>
      </c>
      <c r="X622" s="188">
        <v>0</v>
      </c>
      <c r="Y622" s="188">
        <v>0</v>
      </c>
      <c r="Z622" s="188">
        <v>0</v>
      </c>
      <c r="AA622" s="188">
        <v>0</v>
      </c>
      <c r="AB622" s="188">
        <v>0</v>
      </c>
      <c r="AC622" s="188">
        <v>0</v>
      </c>
      <c r="AD622" s="188">
        <v>0</v>
      </c>
      <c r="AE622" s="188">
        <v>0</v>
      </c>
      <c r="AF622" s="190">
        <v>0.1</v>
      </c>
      <c r="AG622" s="183">
        <v>2</v>
      </c>
      <c r="AH622" s="5" t="s">
        <v>1813</v>
      </c>
      <c r="AI622" s="5" t="s">
        <v>1655</v>
      </c>
      <c r="AJ622" s="5" t="s">
        <v>1657</v>
      </c>
      <c r="AL622" s="5" t="s">
        <v>1668</v>
      </c>
      <c r="AM622" s="5" t="s">
        <v>1671</v>
      </c>
      <c r="AO622" s="5" t="s">
        <v>1668</v>
      </c>
    </row>
    <row r="623" spans="1:41" ht="15" customHeight="1" x14ac:dyDescent="0.2">
      <c r="A623" s="141" t="s">
        <v>313</v>
      </c>
      <c r="B623" s="187" t="s">
        <v>1759</v>
      </c>
      <c r="C623" s="141">
        <v>2015</v>
      </c>
      <c r="D623" s="188">
        <v>74</v>
      </c>
      <c r="E623" s="135">
        <v>478</v>
      </c>
      <c r="F623" s="192" t="s">
        <v>24</v>
      </c>
      <c r="G623" s="188">
        <v>0</v>
      </c>
      <c r="H623" s="188">
        <v>0</v>
      </c>
      <c r="I623" s="188">
        <v>0</v>
      </c>
      <c r="J623" s="188">
        <v>0</v>
      </c>
      <c r="K623" s="188">
        <v>0</v>
      </c>
      <c r="L623" s="188">
        <v>0</v>
      </c>
      <c r="M623" s="188">
        <v>0</v>
      </c>
      <c r="N623" s="188">
        <v>0</v>
      </c>
      <c r="O623" s="188">
        <v>0</v>
      </c>
      <c r="P623" s="188">
        <v>0</v>
      </c>
      <c r="Q623" s="188">
        <v>0</v>
      </c>
      <c r="R623" s="188">
        <v>0</v>
      </c>
      <c r="S623" s="188">
        <v>0</v>
      </c>
      <c r="T623" s="188">
        <v>0</v>
      </c>
      <c r="U623" s="188">
        <v>0</v>
      </c>
      <c r="V623" s="188">
        <v>0</v>
      </c>
      <c r="W623" s="188">
        <v>0</v>
      </c>
      <c r="X623" s="188">
        <v>0</v>
      </c>
      <c r="Y623" s="188">
        <v>0</v>
      </c>
      <c r="Z623" s="188">
        <v>0</v>
      </c>
      <c r="AA623" s="188">
        <v>1</v>
      </c>
      <c r="AB623" s="188">
        <v>0</v>
      </c>
      <c r="AC623" s="188">
        <v>1</v>
      </c>
      <c r="AD623" s="188">
        <v>0</v>
      </c>
      <c r="AE623" s="188">
        <v>0</v>
      </c>
      <c r="AF623" s="191">
        <v>0.1</v>
      </c>
      <c r="AG623" s="183">
        <v>2</v>
      </c>
      <c r="AI623" s="5" t="s">
        <v>1655</v>
      </c>
      <c r="AL623" s="5" t="s">
        <v>1668</v>
      </c>
      <c r="AO623" s="5" t="s">
        <v>1668</v>
      </c>
    </row>
    <row r="624" spans="1:41" ht="15" customHeight="1" x14ac:dyDescent="0.2">
      <c r="A624" s="141" t="s">
        <v>313</v>
      </c>
      <c r="B624" s="187" t="s">
        <v>1759</v>
      </c>
      <c r="C624" s="141">
        <v>2015</v>
      </c>
      <c r="D624" s="188">
        <v>74</v>
      </c>
      <c r="E624" s="135">
        <v>542</v>
      </c>
      <c r="F624" s="192" t="s">
        <v>1312</v>
      </c>
      <c r="G624" s="188">
        <v>0</v>
      </c>
      <c r="H624" s="188">
        <v>0</v>
      </c>
      <c r="I624" s="188">
        <v>1</v>
      </c>
      <c r="J624" s="188">
        <v>0</v>
      </c>
      <c r="K624" s="188">
        <v>0</v>
      </c>
      <c r="L624" s="188">
        <v>0</v>
      </c>
      <c r="M624" s="188">
        <v>0</v>
      </c>
      <c r="N624" s="188">
        <v>0</v>
      </c>
      <c r="O624" s="188">
        <v>0</v>
      </c>
      <c r="P624" s="188">
        <v>0</v>
      </c>
      <c r="Q624" s="188">
        <v>0</v>
      </c>
      <c r="R624" s="188">
        <v>0</v>
      </c>
      <c r="S624" s="188">
        <v>0</v>
      </c>
      <c r="T624" s="188">
        <v>0</v>
      </c>
      <c r="U624" s="188">
        <v>0</v>
      </c>
      <c r="V624" s="188">
        <v>0</v>
      </c>
      <c r="W624" s="188">
        <v>0</v>
      </c>
      <c r="X624" s="188">
        <v>0</v>
      </c>
      <c r="Y624" s="188">
        <v>0</v>
      </c>
      <c r="Z624" s="188">
        <v>0</v>
      </c>
      <c r="AA624" s="188">
        <v>0</v>
      </c>
      <c r="AB624" s="188">
        <v>0</v>
      </c>
      <c r="AC624" s="188">
        <v>0</v>
      </c>
      <c r="AD624" s="188">
        <v>0</v>
      </c>
      <c r="AE624" s="188">
        <v>0</v>
      </c>
      <c r="AF624" s="191">
        <v>0.1</v>
      </c>
      <c r="AG624" s="183">
        <v>1</v>
      </c>
      <c r="AI624" s="5" t="s">
        <v>1655</v>
      </c>
      <c r="AL624" s="5" t="s">
        <v>1668</v>
      </c>
      <c r="AO624" s="5" t="s">
        <v>1668</v>
      </c>
    </row>
    <row r="625" spans="1:41" ht="15" customHeight="1" x14ac:dyDescent="0.2">
      <c r="A625" s="141" t="s">
        <v>313</v>
      </c>
      <c r="B625" s="187" t="s">
        <v>1759</v>
      </c>
      <c r="C625" s="141">
        <v>2015</v>
      </c>
      <c r="D625" s="188">
        <v>74</v>
      </c>
      <c r="E625" s="135">
        <v>2695</v>
      </c>
      <c r="F625" s="192" t="s">
        <v>569</v>
      </c>
      <c r="G625" s="188">
        <v>0</v>
      </c>
      <c r="H625" s="188">
        <v>0</v>
      </c>
      <c r="I625" s="188">
        <v>0</v>
      </c>
      <c r="J625" s="188">
        <v>1</v>
      </c>
      <c r="K625" s="188">
        <v>0</v>
      </c>
      <c r="L625" s="188">
        <v>0</v>
      </c>
      <c r="M625" s="188">
        <v>0</v>
      </c>
      <c r="N625" s="188">
        <v>0</v>
      </c>
      <c r="O625" s="188">
        <v>0</v>
      </c>
      <c r="P625" s="188">
        <v>0</v>
      </c>
      <c r="Q625" s="188">
        <v>0</v>
      </c>
      <c r="R625" s="188">
        <v>0</v>
      </c>
      <c r="S625" s="188">
        <v>0</v>
      </c>
      <c r="T625" s="188">
        <v>0</v>
      </c>
      <c r="U625" s="188">
        <v>0</v>
      </c>
      <c r="V625" s="188">
        <v>0</v>
      </c>
      <c r="W625" s="188">
        <v>1</v>
      </c>
      <c r="X625" s="188">
        <v>0</v>
      </c>
      <c r="Y625" s="188">
        <v>0</v>
      </c>
      <c r="Z625" s="188">
        <v>0</v>
      </c>
      <c r="AA625" s="188">
        <v>0</v>
      </c>
      <c r="AB625" s="188">
        <v>0</v>
      </c>
      <c r="AC625" s="188">
        <v>0</v>
      </c>
      <c r="AD625" s="188">
        <v>0</v>
      </c>
      <c r="AE625" s="188">
        <v>0</v>
      </c>
      <c r="AF625" s="191">
        <v>0.1</v>
      </c>
      <c r="AG625" s="183">
        <v>2</v>
      </c>
      <c r="AI625" s="5" t="s">
        <v>1655</v>
      </c>
      <c r="AL625" s="5" t="s">
        <v>1668</v>
      </c>
      <c r="AO625" s="5" t="s">
        <v>1668</v>
      </c>
    </row>
    <row r="626" spans="1:41" ht="15" customHeight="1" x14ac:dyDescent="0.2">
      <c r="A626" s="141" t="s">
        <v>313</v>
      </c>
      <c r="B626" s="187" t="s">
        <v>1759</v>
      </c>
      <c r="C626" s="141">
        <v>2015</v>
      </c>
      <c r="D626" s="188">
        <v>74</v>
      </c>
      <c r="E626" s="135">
        <v>736</v>
      </c>
      <c r="F626" s="192" t="s">
        <v>1223</v>
      </c>
      <c r="G626" s="188">
        <v>0</v>
      </c>
      <c r="H626" s="188">
        <v>0</v>
      </c>
      <c r="I626" s="188">
        <v>1</v>
      </c>
      <c r="J626" s="188">
        <v>0</v>
      </c>
      <c r="K626" s="188">
        <v>1</v>
      </c>
      <c r="L626" s="188">
        <v>0</v>
      </c>
      <c r="M626" s="188">
        <v>0</v>
      </c>
      <c r="N626" s="188">
        <v>0</v>
      </c>
      <c r="O626" s="188">
        <v>0</v>
      </c>
      <c r="P626" s="188">
        <v>0</v>
      </c>
      <c r="Q626" s="188">
        <v>0</v>
      </c>
      <c r="R626" s="188">
        <v>0</v>
      </c>
      <c r="S626" s="188">
        <v>1</v>
      </c>
      <c r="T626" s="188">
        <v>0</v>
      </c>
      <c r="U626" s="188">
        <v>0</v>
      </c>
      <c r="V626" s="188">
        <v>0</v>
      </c>
      <c r="W626" s="188">
        <v>0</v>
      </c>
      <c r="X626" s="188">
        <v>1</v>
      </c>
      <c r="Y626" s="188">
        <v>0</v>
      </c>
      <c r="Z626" s="188">
        <v>0</v>
      </c>
      <c r="AA626" s="188">
        <v>0</v>
      </c>
      <c r="AB626" s="188">
        <v>0</v>
      </c>
      <c r="AC626" s="188">
        <v>1</v>
      </c>
      <c r="AD626" s="188">
        <v>0</v>
      </c>
      <c r="AE626" s="188">
        <v>0</v>
      </c>
      <c r="AF626" s="190">
        <v>2</v>
      </c>
      <c r="AG626" s="183">
        <v>5</v>
      </c>
    </row>
    <row r="627" spans="1:41" ht="15" customHeight="1" x14ac:dyDescent="0.2">
      <c r="A627" s="141" t="s">
        <v>313</v>
      </c>
      <c r="B627" s="187" t="s">
        <v>1759</v>
      </c>
      <c r="C627" s="141">
        <v>2015</v>
      </c>
      <c r="D627" s="188">
        <v>74</v>
      </c>
      <c r="E627" s="135">
        <v>876</v>
      </c>
      <c r="F627" s="192" t="s">
        <v>1163</v>
      </c>
      <c r="G627" s="188">
        <v>0</v>
      </c>
      <c r="H627" s="188">
        <v>0</v>
      </c>
      <c r="I627" s="188">
        <v>0</v>
      </c>
      <c r="J627" s="188">
        <v>0</v>
      </c>
      <c r="K627" s="188">
        <v>1</v>
      </c>
      <c r="L627" s="188">
        <v>0</v>
      </c>
      <c r="M627" s="188">
        <v>0</v>
      </c>
      <c r="N627" s="188">
        <v>0</v>
      </c>
      <c r="O627" s="188">
        <v>0</v>
      </c>
      <c r="P627" s="188">
        <v>1</v>
      </c>
      <c r="Q627" s="188">
        <v>0</v>
      </c>
      <c r="R627" s="188">
        <v>0</v>
      </c>
      <c r="S627" s="188">
        <v>0</v>
      </c>
      <c r="T627" s="188">
        <v>1</v>
      </c>
      <c r="U627" s="188">
        <v>1</v>
      </c>
      <c r="V627" s="188">
        <v>0</v>
      </c>
      <c r="W627" s="188">
        <v>0</v>
      </c>
      <c r="X627" s="188">
        <v>0</v>
      </c>
      <c r="Y627" s="188">
        <v>0</v>
      </c>
      <c r="Z627" s="188">
        <v>1</v>
      </c>
      <c r="AA627" s="188">
        <v>1</v>
      </c>
      <c r="AB627" s="188">
        <v>0</v>
      </c>
      <c r="AC627" s="188">
        <v>0</v>
      </c>
      <c r="AD627" s="188">
        <v>1</v>
      </c>
      <c r="AE627" s="188">
        <v>1</v>
      </c>
      <c r="AF627" s="191">
        <v>6</v>
      </c>
      <c r="AG627" s="183">
        <v>8</v>
      </c>
    </row>
    <row r="628" spans="1:41" ht="15" customHeight="1" x14ac:dyDescent="0.2">
      <c r="A628" s="141" t="s">
        <v>313</v>
      </c>
      <c r="B628" s="187" t="s">
        <v>1759</v>
      </c>
      <c r="C628" s="141">
        <v>2015</v>
      </c>
      <c r="D628" s="188">
        <v>74</v>
      </c>
      <c r="E628" s="135">
        <v>2620</v>
      </c>
      <c r="F628" s="192" t="s">
        <v>605</v>
      </c>
      <c r="G628" s="188">
        <v>0</v>
      </c>
      <c r="H628" s="188">
        <v>0</v>
      </c>
      <c r="I628" s="188">
        <v>0</v>
      </c>
      <c r="J628" s="188">
        <v>0</v>
      </c>
      <c r="K628" s="188">
        <v>0</v>
      </c>
      <c r="L628" s="188">
        <v>0</v>
      </c>
      <c r="M628" s="188">
        <v>1</v>
      </c>
      <c r="N628" s="188">
        <v>0</v>
      </c>
      <c r="O628" s="188">
        <v>0</v>
      </c>
      <c r="P628" s="188">
        <v>0</v>
      </c>
      <c r="Q628" s="188">
        <v>1</v>
      </c>
      <c r="R628" s="188">
        <v>0</v>
      </c>
      <c r="S628" s="188">
        <v>0</v>
      </c>
      <c r="T628" s="188">
        <v>0</v>
      </c>
      <c r="U628" s="188">
        <v>0</v>
      </c>
      <c r="V628" s="188">
        <v>0</v>
      </c>
      <c r="W628" s="188">
        <v>0</v>
      </c>
      <c r="X628" s="188">
        <v>0</v>
      </c>
      <c r="Y628" s="188">
        <v>0</v>
      </c>
      <c r="Z628" s="188">
        <v>0</v>
      </c>
      <c r="AA628" s="188">
        <v>0</v>
      </c>
      <c r="AB628" s="188">
        <v>0</v>
      </c>
      <c r="AC628" s="188">
        <v>0</v>
      </c>
      <c r="AD628" s="188">
        <v>0</v>
      </c>
      <c r="AE628" s="188">
        <v>0</v>
      </c>
      <c r="AF628" s="190">
        <v>0.1</v>
      </c>
      <c r="AG628" s="183">
        <v>2</v>
      </c>
      <c r="AI628" s="5" t="s">
        <v>1655</v>
      </c>
      <c r="AL628" s="5" t="s">
        <v>1668</v>
      </c>
      <c r="AO628" s="5" t="s">
        <v>1668</v>
      </c>
    </row>
    <row r="629" spans="1:41" ht="15" customHeight="1" x14ac:dyDescent="0.2">
      <c r="A629" s="141" t="s">
        <v>313</v>
      </c>
      <c r="B629" s="187" t="s">
        <v>1759</v>
      </c>
      <c r="C629" s="141">
        <v>2015</v>
      </c>
      <c r="D629" s="188">
        <v>74</v>
      </c>
      <c r="E629" s="135">
        <v>1891</v>
      </c>
      <c r="F629" s="192" t="s">
        <v>797</v>
      </c>
      <c r="G629" s="188">
        <v>0</v>
      </c>
      <c r="H629" s="188">
        <v>1</v>
      </c>
      <c r="I629" s="188">
        <v>1</v>
      </c>
      <c r="J629" s="188">
        <v>1</v>
      </c>
      <c r="K629" s="188">
        <v>1</v>
      </c>
      <c r="L629" s="188">
        <v>1</v>
      </c>
      <c r="M629" s="188">
        <v>1</v>
      </c>
      <c r="N629" s="188">
        <v>1</v>
      </c>
      <c r="O629" s="188">
        <v>1</v>
      </c>
      <c r="P629" s="188">
        <v>1</v>
      </c>
      <c r="Q629" s="188">
        <v>1</v>
      </c>
      <c r="R629" s="188">
        <v>0</v>
      </c>
      <c r="S629" s="188">
        <v>1</v>
      </c>
      <c r="T629" s="188">
        <v>1</v>
      </c>
      <c r="U629" s="188">
        <v>0</v>
      </c>
      <c r="V629" s="188">
        <v>1</v>
      </c>
      <c r="W629" s="188">
        <v>1</v>
      </c>
      <c r="X629" s="188">
        <v>1</v>
      </c>
      <c r="Y629" s="188">
        <v>0</v>
      </c>
      <c r="Z629" s="188">
        <v>1</v>
      </c>
      <c r="AA629" s="188">
        <v>1</v>
      </c>
      <c r="AB629" s="188">
        <v>1</v>
      </c>
      <c r="AC629" s="188">
        <v>1</v>
      </c>
      <c r="AD629" s="188">
        <v>1</v>
      </c>
      <c r="AE629" s="188">
        <v>1</v>
      </c>
      <c r="AF629" s="191">
        <v>4</v>
      </c>
      <c r="AG629" s="183">
        <v>21</v>
      </c>
    </row>
    <row r="630" spans="1:41" ht="15" customHeight="1" x14ac:dyDescent="0.2">
      <c r="A630" s="141" t="s">
        <v>313</v>
      </c>
      <c r="B630" s="187" t="s">
        <v>1759</v>
      </c>
      <c r="C630" s="141">
        <v>2015</v>
      </c>
      <c r="D630" s="188">
        <v>74</v>
      </c>
      <c r="E630" s="135">
        <v>2628</v>
      </c>
      <c r="F630" s="192" t="s">
        <v>597</v>
      </c>
      <c r="G630" s="188">
        <v>0</v>
      </c>
      <c r="H630" s="188">
        <v>0</v>
      </c>
      <c r="I630" s="188">
        <v>0</v>
      </c>
      <c r="J630" s="188">
        <v>1</v>
      </c>
      <c r="K630" s="188">
        <v>0</v>
      </c>
      <c r="L630" s="188">
        <v>0</v>
      </c>
      <c r="M630" s="188">
        <v>0</v>
      </c>
      <c r="N630" s="188">
        <v>0</v>
      </c>
      <c r="O630" s="188">
        <v>0</v>
      </c>
      <c r="P630" s="188">
        <v>0</v>
      </c>
      <c r="Q630" s="188">
        <v>0</v>
      </c>
      <c r="R630" s="188">
        <v>0</v>
      </c>
      <c r="S630" s="188">
        <v>0</v>
      </c>
      <c r="T630" s="188">
        <v>0</v>
      </c>
      <c r="U630" s="188">
        <v>0</v>
      </c>
      <c r="V630" s="188">
        <v>0</v>
      </c>
      <c r="W630" s="188">
        <v>0</v>
      </c>
      <c r="X630" s="188">
        <v>0</v>
      </c>
      <c r="Y630" s="188">
        <v>0</v>
      </c>
      <c r="Z630" s="188">
        <v>0</v>
      </c>
      <c r="AA630" s="188">
        <v>0</v>
      </c>
      <c r="AB630" s="188">
        <v>0</v>
      </c>
      <c r="AC630" s="188">
        <v>0</v>
      </c>
      <c r="AD630" s="188">
        <v>0</v>
      </c>
      <c r="AE630" s="188">
        <v>0</v>
      </c>
      <c r="AF630" s="190">
        <v>0.1</v>
      </c>
      <c r="AG630" s="183">
        <v>1</v>
      </c>
      <c r="AI630" s="5" t="s">
        <v>1655</v>
      </c>
      <c r="AL630" s="5" t="s">
        <v>1668</v>
      </c>
      <c r="AO630" s="5" t="s">
        <v>1668</v>
      </c>
    </row>
    <row r="631" spans="1:41" ht="15" customHeight="1" x14ac:dyDescent="0.2">
      <c r="A631" s="141" t="s">
        <v>313</v>
      </c>
      <c r="B631" s="187" t="s">
        <v>1759</v>
      </c>
      <c r="C631" s="141">
        <v>2015</v>
      </c>
      <c r="D631" s="141">
        <v>74</v>
      </c>
      <c r="E631" s="135" t="e">
        <v>#N/A</v>
      </c>
      <c r="F631" s="192" t="s">
        <v>1772</v>
      </c>
      <c r="G631" s="141">
        <v>0</v>
      </c>
      <c r="H631" s="141">
        <v>0</v>
      </c>
      <c r="I631" s="141">
        <v>0</v>
      </c>
      <c r="J631" s="141">
        <v>0</v>
      </c>
      <c r="K631" s="141">
        <v>1</v>
      </c>
      <c r="L631" s="141">
        <v>0</v>
      </c>
      <c r="M631" s="141">
        <v>0</v>
      </c>
      <c r="N631" s="141">
        <v>0</v>
      </c>
      <c r="O631" s="141">
        <v>0</v>
      </c>
      <c r="P631" s="141">
        <v>0</v>
      </c>
      <c r="Q631" s="141">
        <v>0</v>
      </c>
      <c r="R631" s="141">
        <v>0</v>
      </c>
      <c r="S631" s="141">
        <v>0</v>
      </c>
      <c r="T631" s="141">
        <v>1</v>
      </c>
      <c r="U631" s="141">
        <v>1</v>
      </c>
      <c r="V631" s="141">
        <v>0</v>
      </c>
      <c r="W631" s="141">
        <v>0</v>
      </c>
      <c r="X631" s="141">
        <v>0</v>
      </c>
      <c r="Y631" s="141">
        <v>1</v>
      </c>
      <c r="Z631" s="141">
        <v>1</v>
      </c>
      <c r="AA631" s="141">
        <v>0</v>
      </c>
      <c r="AB631" s="141">
        <v>0</v>
      </c>
      <c r="AC631" s="141">
        <v>0</v>
      </c>
      <c r="AD631" s="141">
        <v>1</v>
      </c>
      <c r="AE631" s="141">
        <v>0</v>
      </c>
      <c r="AF631" s="148">
        <v>8</v>
      </c>
      <c r="AG631" s="183">
        <v>6</v>
      </c>
      <c r="AH631" s="4"/>
      <c r="AL631" s="5" t="s">
        <v>1434</v>
      </c>
      <c r="AO631" s="5" t="s">
        <v>1434</v>
      </c>
    </row>
    <row r="632" spans="1:41" ht="15" customHeight="1" x14ac:dyDescent="0.2">
      <c r="A632" s="141" t="s">
        <v>313</v>
      </c>
      <c r="B632" s="187" t="s">
        <v>1759</v>
      </c>
      <c r="C632" s="141">
        <v>2015</v>
      </c>
      <c r="D632" s="188">
        <v>75</v>
      </c>
      <c r="E632" s="135">
        <v>2605</v>
      </c>
      <c r="F632" s="192" t="s">
        <v>618</v>
      </c>
      <c r="G632" s="188">
        <v>0</v>
      </c>
      <c r="H632" s="188">
        <v>0</v>
      </c>
      <c r="I632" s="188">
        <v>0</v>
      </c>
      <c r="J632" s="188">
        <v>0</v>
      </c>
      <c r="K632" s="188">
        <v>0</v>
      </c>
      <c r="L632" s="188">
        <v>0</v>
      </c>
      <c r="M632" s="188">
        <v>0</v>
      </c>
      <c r="N632" s="188">
        <v>0</v>
      </c>
      <c r="O632" s="188">
        <v>0</v>
      </c>
      <c r="P632" s="188">
        <v>0</v>
      </c>
      <c r="Q632" s="188">
        <v>0</v>
      </c>
      <c r="R632" s="188">
        <v>0</v>
      </c>
      <c r="S632" s="188">
        <v>0</v>
      </c>
      <c r="T632" s="188">
        <v>0</v>
      </c>
      <c r="U632" s="188">
        <v>0</v>
      </c>
      <c r="V632" s="188">
        <v>0</v>
      </c>
      <c r="W632" s="188">
        <v>0</v>
      </c>
      <c r="X632" s="188">
        <v>0</v>
      </c>
      <c r="Y632" s="188">
        <v>0</v>
      </c>
      <c r="Z632" s="188">
        <v>1</v>
      </c>
      <c r="AA632" s="188">
        <v>0</v>
      </c>
      <c r="AB632" s="188">
        <v>0</v>
      </c>
      <c r="AC632" s="188">
        <v>0</v>
      </c>
      <c r="AD632" s="188">
        <v>1</v>
      </c>
      <c r="AE632" s="188">
        <v>0</v>
      </c>
      <c r="AF632" s="191">
        <v>0.5</v>
      </c>
      <c r="AG632" s="183">
        <v>2</v>
      </c>
      <c r="AH632" s="5" t="s">
        <v>1799</v>
      </c>
      <c r="AI632" s="5" t="s">
        <v>1661</v>
      </c>
    </row>
    <row r="633" spans="1:41" ht="15" customHeight="1" x14ac:dyDescent="0.2">
      <c r="A633" s="141" t="s">
        <v>313</v>
      </c>
      <c r="B633" s="187" t="s">
        <v>1759</v>
      </c>
      <c r="C633" s="141">
        <v>2015</v>
      </c>
      <c r="D633" s="188">
        <v>75</v>
      </c>
      <c r="E633" s="135">
        <v>278</v>
      </c>
      <c r="F633" s="192" t="s">
        <v>132</v>
      </c>
      <c r="G633" s="188">
        <v>1</v>
      </c>
      <c r="H633" s="188">
        <v>1</v>
      </c>
      <c r="I633" s="188">
        <v>1</v>
      </c>
      <c r="J633" s="188">
        <v>1</v>
      </c>
      <c r="K633" s="188">
        <v>1</v>
      </c>
      <c r="L633" s="188">
        <v>1</v>
      </c>
      <c r="M633" s="188">
        <v>1</v>
      </c>
      <c r="N633" s="188">
        <v>1</v>
      </c>
      <c r="O633" s="188">
        <v>1</v>
      </c>
      <c r="P633" s="188">
        <v>1</v>
      </c>
      <c r="Q633" s="188">
        <v>1</v>
      </c>
      <c r="R633" s="188">
        <v>1</v>
      </c>
      <c r="S633" s="188">
        <v>1</v>
      </c>
      <c r="T633" s="188">
        <v>1</v>
      </c>
      <c r="U633" s="188">
        <v>1</v>
      </c>
      <c r="V633" s="188">
        <v>1</v>
      </c>
      <c r="W633" s="188">
        <v>1</v>
      </c>
      <c r="X633" s="188">
        <v>1</v>
      </c>
      <c r="Y633" s="188">
        <v>1</v>
      </c>
      <c r="Z633" s="188">
        <v>1</v>
      </c>
      <c r="AA633" s="188">
        <v>1</v>
      </c>
      <c r="AB633" s="188">
        <v>1</v>
      </c>
      <c r="AC633" s="188">
        <v>1</v>
      </c>
      <c r="AD633" s="188">
        <v>1</v>
      </c>
      <c r="AE633" s="188">
        <v>1</v>
      </c>
      <c r="AF633" s="191">
        <v>20</v>
      </c>
      <c r="AG633" s="183">
        <v>25</v>
      </c>
    </row>
    <row r="634" spans="1:41" ht="15" customHeight="1" x14ac:dyDescent="0.2">
      <c r="A634" s="141" t="s">
        <v>313</v>
      </c>
      <c r="B634" s="187" t="s">
        <v>1759</v>
      </c>
      <c r="C634" s="141">
        <v>2015</v>
      </c>
      <c r="D634" s="188">
        <v>75</v>
      </c>
      <c r="E634" s="135">
        <v>1576</v>
      </c>
      <c r="F634" s="192" t="s">
        <v>882</v>
      </c>
      <c r="G634" s="188">
        <v>1</v>
      </c>
      <c r="H634" s="188">
        <v>1</v>
      </c>
      <c r="I634" s="188">
        <v>1</v>
      </c>
      <c r="J634" s="188">
        <v>0</v>
      </c>
      <c r="K634" s="188">
        <v>0</v>
      </c>
      <c r="L634" s="188">
        <v>1</v>
      </c>
      <c r="M634" s="188">
        <v>0</v>
      </c>
      <c r="N634" s="188">
        <v>0</v>
      </c>
      <c r="O634" s="188">
        <v>0</v>
      </c>
      <c r="P634" s="188">
        <v>0</v>
      </c>
      <c r="Q634" s="188">
        <v>1</v>
      </c>
      <c r="R634" s="188">
        <v>0</v>
      </c>
      <c r="S634" s="188">
        <v>1</v>
      </c>
      <c r="T634" s="188">
        <v>1</v>
      </c>
      <c r="U634" s="188">
        <v>1</v>
      </c>
      <c r="V634" s="188">
        <v>1</v>
      </c>
      <c r="W634" s="188">
        <v>0</v>
      </c>
      <c r="X634" s="188">
        <v>1</v>
      </c>
      <c r="Y634" s="188">
        <v>1</v>
      </c>
      <c r="Z634" s="188">
        <v>0</v>
      </c>
      <c r="AA634" s="188">
        <v>1</v>
      </c>
      <c r="AB634" s="188">
        <v>1</v>
      </c>
      <c r="AC634" s="188">
        <v>1</v>
      </c>
      <c r="AD634" s="188">
        <v>1</v>
      </c>
      <c r="AE634" s="188">
        <v>0</v>
      </c>
      <c r="AF634" s="190">
        <v>4</v>
      </c>
      <c r="AG634" s="183">
        <v>15</v>
      </c>
    </row>
    <row r="635" spans="1:41" ht="15" customHeight="1" x14ac:dyDescent="0.2">
      <c r="A635" s="141" t="s">
        <v>313</v>
      </c>
      <c r="B635" s="187" t="s">
        <v>1759</v>
      </c>
      <c r="C635" s="141">
        <v>2015</v>
      </c>
      <c r="D635" s="188">
        <v>75</v>
      </c>
      <c r="E635" s="135">
        <v>2694</v>
      </c>
      <c r="F635" s="192" t="s">
        <v>570</v>
      </c>
      <c r="G635" s="188">
        <v>0</v>
      </c>
      <c r="H635" s="188">
        <v>1</v>
      </c>
      <c r="I635" s="188">
        <v>0</v>
      </c>
      <c r="J635" s="188">
        <v>0</v>
      </c>
      <c r="K635" s="188">
        <v>1</v>
      </c>
      <c r="L635" s="188">
        <v>0</v>
      </c>
      <c r="M635" s="188">
        <v>0</v>
      </c>
      <c r="N635" s="188">
        <v>0</v>
      </c>
      <c r="O635" s="188">
        <v>0</v>
      </c>
      <c r="P635" s="188">
        <v>0</v>
      </c>
      <c r="Q635" s="188">
        <v>0</v>
      </c>
      <c r="R635" s="188">
        <v>0</v>
      </c>
      <c r="S635" s="188">
        <v>0</v>
      </c>
      <c r="T635" s="188">
        <v>0</v>
      </c>
      <c r="U635" s="188">
        <v>0</v>
      </c>
      <c r="V635" s="188">
        <v>1</v>
      </c>
      <c r="W635" s="188">
        <v>0</v>
      </c>
      <c r="X635" s="188">
        <v>0</v>
      </c>
      <c r="Y635" s="188">
        <v>0</v>
      </c>
      <c r="Z635" s="188">
        <v>0</v>
      </c>
      <c r="AA635" s="188">
        <v>0</v>
      </c>
      <c r="AB635" s="188">
        <v>0</v>
      </c>
      <c r="AC635" s="188">
        <v>1</v>
      </c>
      <c r="AD635" s="188">
        <v>0</v>
      </c>
      <c r="AE635" s="188">
        <v>0</v>
      </c>
      <c r="AF635" s="191">
        <v>0.1</v>
      </c>
      <c r="AG635" s="183">
        <v>4</v>
      </c>
      <c r="AH635" s="5" t="s">
        <v>1854</v>
      </c>
      <c r="AL635" s="5" t="s">
        <v>1672</v>
      </c>
      <c r="AO635" s="5" t="s">
        <v>1672</v>
      </c>
    </row>
    <row r="636" spans="1:41" ht="15" customHeight="1" x14ac:dyDescent="0.2">
      <c r="A636" s="141" t="s">
        <v>313</v>
      </c>
      <c r="B636" s="187" t="s">
        <v>1759</v>
      </c>
      <c r="C636" s="141">
        <v>2015</v>
      </c>
      <c r="D636" s="188">
        <v>75</v>
      </c>
      <c r="E636" s="135">
        <v>6003</v>
      </c>
      <c r="F636" s="192" t="s">
        <v>288</v>
      </c>
      <c r="G636" s="188">
        <v>1</v>
      </c>
      <c r="H636" s="188">
        <v>0</v>
      </c>
      <c r="I636" s="188">
        <v>0</v>
      </c>
      <c r="J636" s="188">
        <v>0</v>
      </c>
      <c r="K636" s="188">
        <v>0</v>
      </c>
      <c r="L636" s="188">
        <v>0</v>
      </c>
      <c r="M636" s="188">
        <v>0</v>
      </c>
      <c r="N636" s="188">
        <v>0</v>
      </c>
      <c r="O636" s="188">
        <v>0</v>
      </c>
      <c r="P636" s="188">
        <v>0</v>
      </c>
      <c r="Q636" s="188">
        <v>0</v>
      </c>
      <c r="R636" s="188">
        <v>0</v>
      </c>
      <c r="S636" s="188">
        <v>0</v>
      </c>
      <c r="T636" s="188">
        <v>0</v>
      </c>
      <c r="U636" s="188">
        <v>0</v>
      </c>
      <c r="V636" s="188">
        <v>0</v>
      </c>
      <c r="W636" s="188">
        <v>0</v>
      </c>
      <c r="X636" s="188">
        <v>0</v>
      </c>
      <c r="Y636" s="188">
        <v>0</v>
      </c>
      <c r="Z636" s="188">
        <v>0</v>
      </c>
      <c r="AA636" s="188">
        <v>0</v>
      </c>
      <c r="AB636" s="188">
        <v>0</v>
      </c>
      <c r="AC636" s="188">
        <v>0</v>
      </c>
      <c r="AD636" s="188">
        <v>0</v>
      </c>
      <c r="AE636" s="188">
        <v>0</v>
      </c>
      <c r="AF636" s="190">
        <v>0.1</v>
      </c>
      <c r="AG636" s="183">
        <v>1</v>
      </c>
      <c r="AH636" s="5" t="s">
        <v>1814</v>
      </c>
      <c r="AI636" s="5" t="s">
        <v>1657</v>
      </c>
    </row>
    <row r="637" spans="1:41" ht="15" customHeight="1" x14ac:dyDescent="0.2">
      <c r="A637" s="141" t="s">
        <v>313</v>
      </c>
      <c r="B637" s="187" t="s">
        <v>1759</v>
      </c>
      <c r="C637" s="141">
        <v>2015</v>
      </c>
      <c r="D637" s="188">
        <v>75</v>
      </c>
      <c r="E637" s="135">
        <v>2362</v>
      </c>
      <c r="F637" s="192" t="s">
        <v>663</v>
      </c>
      <c r="G637" s="188">
        <v>0</v>
      </c>
      <c r="H637" s="188">
        <v>0</v>
      </c>
      <c r="I637" s="188">
        <v>0</v>
      </c>
      <c r="J637" s="188">
        <v>0</v>
      </c>
      <c r="K637" s="188">
        <v>0</v>
      </c>
      <c r="L637" s="188">
        <v>0</v>
      </c>
      <c r="M637" s="188">
        <v>0</v>
      </c>
      <c r="N637" s="188">
        <v>0</v>
      </c>
      <c r="O637" s="188">
        <v>0</v>
      </c>
      <c r="P637" s="188">
        <v>0</v>
      </c>
      <c r="Q637" s="188">
        <v>0</v>
      </c>
      <c r="R637" s="188">
        <v>0</v>
      </c>
      <c r="S637" s="188">
        <v>0</v>
      </c>
      <c r="T637" s="188">
        <v>0</v>
      </c>
      <c r="U637" s="188">
        <v>0</v>
      </c>
      <c r="V637" s="188">
        <v>0</v>
      </c>
      <c r="W637" s="188">
        <v>0</v>
      </c>
      <c r="X637" s="188">
        <v>0</v>
      </c>
      <c r="Y637" s="188">
        <v>0</v>
      </c>
      <c r="Z637" s="188">
        <v>0</v>
      </c>
      <c r="AA637" s="188">
        <v>0</v>
      </c>
      <c r="AB637" s="188">
        <v>1</v>
      </c>
      <c r="AC637" s="188">
        <v>1</v>
      </c>
      <c r="AD637" s="188">
        <v>0</v>
      </c>
      <c r="AE637" s="188">
        <v>0</v>
      </c>
      <c r="AF637" s="191">
        <v>0.1</v>
      </c>
      <c r="AG637" s="183">
        <v>2</v>
      </c>
      <c r="AH637" s="5" t="s">
        <v>1814</v>
      </c>
      <c r="AI637" s="5" t="s">
        <v>1657</v>
      </c>
    </row>
    <row r="638" spans="1:41" ht="15" customHeight="1" x14ac:dyDescent="0.2">
      <c r="A638" s="141" t="s">
        <v>313</v>
      </c>
      <c r="B638" s="187" t="s">
        <v>1759</v>
      </c>
      <c r="C638" s="141">
        <v>2015</v>
      </c>
      <c r="D638" s="188">
        <v>75</v>
      </c>
      <c r="E638" s="135">
        <v>2366</v>
      </c>
      <c r="F638" s="192" t="s">
        <v>660</v>
      </c>
      <c r="G638" s="188">
        <v>0</v>
      </c>
      <c r="H638" s="188">
        <v>0</v>
      </c>
      <c r="I638" s="188">
        <v>0</v>
      </c>
      <c r="J638" s="188">
        <v>0</v>
      </c>
      <c r="K638" s="188">
        <v>1</v>
      </c>
      <c r="L638" s="188">
        <v>0</v>
      </c>
      <c r="M638" s="188">
        <v>0</v>
      </c>
      <c r="N638" s="188">
        <v>0</v>
      </c>
      <c r="O638" s="188">
        <v>0</v>
      </c>
      <c r="P638" s="188">
        <v>0</v>
      </c>
      <c r="Q638" s="188">
        <v>1</v>
      </c>
      <c r="R638" s="188">
        <v>0</v>
      </c>
      <c r="S638" s="188">
        <v>0</v>
      </c>
      <c r="T638" s="188">
        <v>0</v>
      </c>
      <c r="U638" s="188">
        <v>1</v>
      </c>
      <c r="V638" s="188">
        <v>0</v>
      </c>
      <c r="W638" s="188">
        <v>0</v>
      </c>
      <c r="X638" s="188">
        <v>0</v>
      </c>
      <c r="Y638" s="188">
        <v>0</v>
      </c>
      <c r="Z638" s="188">
        <v>0</v>
      </c>
      <c r="AA638" s="188">
        <v>0</v>
      </c>
      <c r="AB638" s="188">
        <v>0</v>
      </c>
      <c r="AC638" s="188">
        <v>0</v>
      </c>
      <c r="AD638" s="188">
        <v>0</v>
      </c>
      <c r="AE638" s="188">
        <v>0</v>
      </c>
      <c r="AF638" s="191">
        <v>0.1</v>
      </c>
      <c r="AG638" s="183">
        <v>3</v>
      </c>
      <c r="AH638" s="5" t="s">
        <v>1814</v>
      </c>
      <c r="AI638" s="5" t="s">
        <v>1657</v>
      </c>
    </row>
    <row r="639" spans="1:41" ht="15" customHeight="1" x14ac:dyDescent="0.2">
      <c r="A639" s="141" t="s">
        <v>313</v>
      </c>
      <c r="B639" s="187" t="s">
        <v>1759</v>
      </c>
      <c r="C639" s="141">
        <v>2015</v>
      </c>
      <c r="D639" s="141">
        <v>75</v>
      </c>
      <c r="E639" s="135" t="e">
        <v>#N/A</v>
      </c>
      <c r="F639" s="192" t="s">
        <v>1775</v>
      </c>
      <c r="G639" s="141">
        <v>0</v>
      </c>
      <c r="H639" s="141">
        <v>0</v>
      </c>
      <c r="I639" s="141">
        <v>0</v>
      </c>
      <c r="J639" s="141">
        <v>0</v>
      </c>
      <c r="K639" s="141">
        <v>0</v>
      </c>
      <c r="L639" s="141">
        <v>0</v>
      </c>
      <c r="M639" s="141">
        <v>0</v>
      </c>
      <c r="N639" s="141">
        <v>0</v>
      </c>
      <c r="O639" s="141">
        <v>0</v>
      </c>
      <c r="P639" s="141">
        <v>0</v>
      </c>
      <c r="Q639" s="141">
        <v>0</v>
      </c>
      <c r="R639" s="141">
        <v>0</v>
      </c>
      <c r="S639" s="141">
        <v>0</v>
      </c>
      <c r="T639" s="141">
        <v>0</v>
      </c>
      <c r="U639" s="141">
        <v>0</v>
      </c>
      <c r="V639" s="141">
        <v>1</v>
      </c>
      <c r="W639" s="141">
        <v>0</v>
      </c>
      <c r="X639" s="141">
        <v>0</v>
      </c>
      <c r="Y639" s="141">
        <v>0</v>
      </c>
      <c r="Z639" s="141">
        <v>0</v>
      </c>
      <c r="AA639" s="141">
        <v>0</v>
      </c>
      <c r="AB639" s="141">
        <v>0</v>
      </c>
      <c r="AC639" s="141">
        <v>0</v>
      </c>
      <c r="AD639" s="141">
        <v>0</v>
      </c>
      <c r="AE639" s="141">
        <v>0</v>
      </c>
      <c r="AF639" s="148">
        <v>0.1</v>
      </c>
      <c r="AG639" s="183">
        <v>1</v>
      </c>
      <c r="AH639" s="4"/>
      <c r="AL639" s="5" t="s">
        <v>1434</v>
      </c>
      <c r="AO639" s="5" t="s">
        <v>1434</v>
      </c>
    </row>
    <row r="640" spans="1:41" ht="15" customHeight="1" x14ac:dyDescent="0.2">
      <c r="A640" s="141" t="s">
        <v>313</v>
      </c>
      <c r="B640" s="187" t="s">
        <v>1759</v>
      </c>
      <c r="C640" s="141">
        <v>2015</v>
      </c>
      <c r="D640" s="188">
        <v>75</v>
      </c>
      <c r="E640" s="135">
        <v>494</v>
      </c>
      <c r="F640" s="192" t="s">
        <v>22</v>
      </c>
      <c r="G640" s="188">
        <v>1</v>
      </c>
      <c r="H640" s="188">
        <v>1</v>
      </c>
      <c r="I640" s="188">
        <v>0</v>
      </c>
      <c r="J640" s="188">
        <v>0</v>
      </c>
      <c r="K640" s="188">
        <v>1</v>
      </c>
      <c r="L640" s="188">
        <v>1</v>
      </c>
      <c r="M640" s="188">
        <v>0</v>
      </c>
      <c r="N640" s="188">
        <v>1</v>
      </c>
      <c r="O640" s="188">
        <v>0</v>
      </c>
      <c r="P640" s="188">
        <v>0</v>
      </c>
      <c r="Q640" s="188">
        <v>1</v>
      </c>
      <c r="R640" s="188">
        <v>1</v>
      </c>
      <c r="S640" s="188">
        <v>1</v>
      </c>
      <c r="T640" s="188">
        <v>1</v>
      </c>
      <c r="U640" s="188">
        <v>0</v>
      </c>
      <c r="V640" s="188">
        <v>1</v>
      </c>
      <c r="W640" s="188">
        <v>0</v>
      </c>
      <c r="X640" s="188">
        <v>1</v>
      </c>
      <c r="Y640" s="188">
        <v>1</v>
      </c>
      <c r="Z640" s="188">
        <v>0</v>
      </c>
      <c r="AA640" s="188">
        <v>1</v>
      </c>
      <c r="AB640" s="188">
        <v>0</v>
      </c>
      <c r="AC640" s="188">
        <v>1</v>
      </c>
      <c r="AD640" s="188">
        <v>0</v>
      </c>
      <c r="AE640" s="188">
        <v>0</v>
      </c>
      <c r="AF640" s="190">
        <v>5</v>
      </c>
      <c r="AG640" s="183">
        <v>14</v>
      </c>
    </row>
    <row r="641" spans="1:41" ht="15" customHeight="1" x14ac:dyDescent="0.2">
      <c r="A641" s="141" t="s">
        <v>313</v>
      </c>
      <c r="B641" s="187" t="s">
        <v>1759</v>
      </c>
      <c r="C641" s="141">
        <v>2015</v>
      </c>
      <c r="D641" s="188">
        <v>75</v>
      </c>
      <c r="E641" s="135">
        <v>542</v>
      </c>
      <c r="F641" s="189" t="s">
        <v>1312</v>
      </c>
      <c r="G641" s="188">
        <v>1</v>
      </c>
      <c r="H641" s="188">
        <v>1</v>
      </c>
      <c r="I641" s="188">
        <v>1</v>
      </c>
      <c r="J641" s="188">
        <v>1</v>
      </c>
      <c r="K641" s="188">
        <v>1</v>
      </c>
      <c r="L641" s="188">
        <v>1</v>
      </c>
      <c r="M641" s="188">
        <v>1</v>
      </c>
      <c r="N641" s="188">
        <v>1</v>
      </c>
      <c r="O641" s="188">
        <v>1</v>
      </c>
      <c r="P641" s="188">
        <v>1</v>
      </c>
      <c r="Q641" s="188">
        <v>1</v>
      </c>
      <c r="R641" s="188">
        <v>1</v>
      </c>
      <c r="S641" s="188">
        <v>1</v>
      </c>
      <c r="T641" s="188">
        <v>1</v>
      </c>
      <c r="U641" s="188">
        <v>1</v>
      </c>
      <c r="V641" s="188">
        <v>1</v>
      </c>
      <c r="W641" s="188">
        <v>1</v>
      </c>
      <c r="X641" s="188">
        <v>1</v>
      </c>
      <c r="Y641" s="188">
        <v>1</v>
      </c>
      <c r="Z641" s="188">
        <v>1</v>
      </c>
      <c r="AA641" s="188">
        <v>1</v>
      </c>
      <c r="AB641" s="188">
        <v>1</v>
      </c>
      <c r="AC641" s="188">
        <v>1</v>
      </c>
      <c r="AD641" s="188">
        <v>1</v>
      </c>
      <c r="AE641" s="188">
        <v>1</v>
      </c>
      <c r="AF641" s="190">
        <v>30</v>
      </c>
      <c r="AG641" s="183">
        <v>25</v>
      </c>
    </row>
    <row r="642" spans="1:41" ht="15" customHeight="1" x14ac:dyDescent="0.2">
      <c r="A642" s="141" t="s">
        <v>313</v>
      </c>
      <c r="B642" s="187" t="s">
        <v>1759</v>
      </c>
      <c r="C642" s="141">
        <v>2015</v>
      </c>
      <c r="D642" s="188">
        <v>75</v>
      </c>
      <c r="E642" s="135">
        <v>546</v>
      </c>
      <c r="F642" s="192" t="s">
        <v>1310</v>
      </c>
      <c r="G642" s="188">
        <v>0</v>
      </c>
      <c r="H642" s="188">
        <v>0</v>
      </c>
      <c r="I642" s="188">
        <v>0</v>
      </c>
      <c r="J642" s="188">
        <v>1</v>
      </c>
      <c r="K642" s="188">
        <v>1</v>
      </c>
      <c r="L642" s="188">
        <v>0</v>
      </c>
      <c r="M642" s="188">
        <v>1</v>
      </c>
      <c r="N642" s="188">
        <v>1</v>
      </c>
      <c r="O642" s="188">
        <v>1</v>
      </c>
      <c r="P642" s="188">
        <v>1</v>
      </c>
      <c r="Q642" s="188">
        <v>0</v>
      </c>
      <c r="R642" s="188">
        <v>0</v>
      </c>
      <c r="S642" s="188">
        <v>1</v>
      </c>
      <c r="T642" s="188">
        <v>1</v>
      </c>
      <c r="U642" s="188">
        <v>1</v>
      </c>
      <c r="V642" s="188">
        <v>0</v>
      </c>
      <c r="W642" s="188">
        <v>0</v>
      </c>
      <c r="X642" s="188">
        <v>0</v>
      </c>
      <c r="Y642" s="188">
        <v>1</v>
      </c>
      <c r="Z642" s="188">
        <v>1</v>
      </c>
      <c r="AA642" s="188">
        <v>0</v>
      </c>
      <c r="AB642" s="188">
        <v>0</v>
      </c>
      <c r="AC642" s="188">
        <v>0</v>
      </c>
      <c r="AD642" s="188">
        <v>1</v>
      </c>
      <c r="AE642" s="188">
        <v>1</v>
      </c>
      <c r="AF642" s="191">
        <v>1</v>
      </c>
      <c r="AG642" s="183">
        <v>13</v>
      </c>
    </row>
    <row r="643" spans="1:41" ht="15" customHeight="1" x14ac:dyDescent="0.2">
      <c r="A643" s="141" t="s">
        <v>313</v>
      </c>
      <c r="B643" s="187" t="s">
        <v>1759</v>
      </c>
      <c r="C643" s="141">
        <v>2015</v>
      </c>
      <c r="D643" s="188">
        <v>75</v>
      </c>
      <c r="E643" s="135">
        <v>876</v>
      </c>
      <c r="F643" s="189" t="s">
        <v>1163</v>
      </c>
      <c r="G643" s="188">
        <v>1</v>
      </c>
      <c r="H643" s="188">
        <v>1</v>
      </c>
      <c r="I643" s="188">
        <v>1</v>
      </c>
      <c r="J643" s="188">
        <v>1</v>
      </c>
      <c r="K643" s="188">
        <v>1</v>
      </c>
      <c r="L643" s="188">
        <v>1</v>
      </c>
      <c r="M643" s="188">
        <v>1</v>
      </c>
      <c r="N643" s="188">
        <v>1</v>
      </c>
      <c r="O643" s="188">
        <v>1</v>
      </c>
      <c r="P643" s="188">
        <v>1</v>
      </c>
      <c r="Q643" s="188">
        <v>1</v>
      </c>
      <c r="R643" s="188">
        <v>1</v>
      </c>
      <c r="S643" s="188">
        <v>1</v>
      </c>
      <c r="T643" s="188">
        <v>1</v>
      </c>
      <c r="U643" s="188">
        <v>1</v>
      </c>
      <c r="V643" s="188">
        <v>1</v>
      </c>
      <c r="W643" s="188">
        <v>1</v>
      </c>
      <c r="X643" s="188">
        <v>1</v>
      </c>
      <c r="Y643" s="188">
        <v>1</v>
      </c>
      <c r="Z643" s="188">
        <v>1</v>
      </c>
      <c r="AA643" s="188">
        <v>1</v>
      </c>
      <c r="AB643" s="188">
        <v>1</v>
      </c>
      <c r="AC643" s="188">
        <v>1</v>
      </c>
      <c r="AD643" s="188">
        <v>1</v>
      </c>
      <c r="AE643" s="188">
        <v>1</v>
      </c>
      <c r="AF643" s="191">
        <v>25</v>
      </c>
      <c r="AG643" s="183">
        <v>25</v>
      </c>
      <c r="AH643" s="4"/>
    </row>
    <row r="644" spans="1:41" ht="15" customHeight="1" x14ac:dyDescent="0.2">
      <c r="A644" s="141" t="s">
        <v>313</v>
      </c>
      <c r="B644" s="187" t="s">
        <v>1759</v>
      </c>
      <c r="C644" s="141">
        <v>2015</v>
      </c>
      <c r="D644" s="188">
        <v>75</v>
      </c>
      <c r="E644" s="135">
        <v>2620</v>
      </c>
      <c r="F644" s="192" t="s">
        <v>605</v>
      </c>
      <c r="G644" s="188">
        <v>0</v>
      </c>
      <c r="H644" s="188">
        <v>0</v>
      </c>
      <c r="I644" s="188">
        <v>0</v>
      </c>
      <c r="J644" s="188">
        <v>0</v>
      </c>
      <c r="K644" s="188">
        <v>0</v>
      </c>
      <c r="L644" s="188">
        <v>0</v>
      </c>
      <c r="M644" s="188">
        <v>0</v>
      </c>
      <c r="N644" s="188">
        <v>0</v>
      </c>
      <c r="O644" s="188">
        <v>0</v>
      </c>
      <c r="P644" s="188">
        <v>0</v>
      </c>
      <c r="Q644" s="188">
        <v>0</v>
      </c>
      <c r="R644" s="188">
        <v>0</v>
      </c>
      <c r="S644" s="188">
        <v>0</v>
      </c>
      <c r="T644" s="188">
        <v>0</v>
      </c>
      <c r="U644" s="188">
        <v>0</v>
      </c>
      <c r="V644" s="188">
        <v>0</v>
      </c>
      <c r="W644" s="188">
        <v>0</v>
      </c>
      <c r="X644" s="188">
        <v>0</v>
      </c>
      <c r="Y644" s="188">
        <v>1</v>
      </c>
      <c r="Z644" s="188">
        <v>0</v>
      </c>
      <c r="AA644" s="188">
        <v>1</v>
      </c>
      <c r="AB644" s="188">
        <v>0</v>
      </c>
      <c r="AC644" s="188">
        <v>0</v>
      </c>
      <c r="AD644" s="188">
        <v>0</v>
      </c>
      <c r="AE644" s="188">
        <v>0</v>
      </c>
      <c r="AF644" s="191">
        <v>0.1</v>
      </c>
      <c r="AG644" s="183">
        <v>2</v>
      </c>
      <c r="AH644" s="5" t="s">
        <v>1799</v>
      </c>
      <c r="AI644" s="5" t="s">
        <v>1661</v>
      </c>
    </row>
    <row r="645" spans="1:41" ht="15" customHeight="1" x14ac:dyDescent="0.2">
      <c r="A645" s="141" t="s">
        <v>313</v>
      </c>
      <c r="B645" s="187" t="s">
        <v>1759</v>
      </c>
      <c r="C645" s="141">
        <v>2015</v>
      </c>
      <c r="D645" s="188">
        <v>75</v>
      </c>
      <c r="E645" s="135">
        <v>1894</v>
      </c>
      <c r="F645" s="192" t="s">
        <v>795</v>
      </c>
      <c r="G645" s="188">
        <v>0</v>
      </c>
      <c r="H645" s="188">
        <v>0</v>
      </c>
      <c r="I645" s="188">
        <v>0</v>
      </c>
      <c r="J645" s="188">
        <v>0</v>
      </c>
      <c r="K645" s="188">
        <v>0</v>
      </c>
      <c r="L645" s="188">
        <v>0</v>
      </c>
      <c r="M645" s="188">
        <v>0</v>
      </c>
      <c r="N645" s="188">
        <v>0</v>
      </c>
      <c r="O645" s="188">
        <v>1</v>
      </c>
      <c r="P645" s="188">
        <v>0</v>
      </c>
      <c r="Q645" s="188">
        <v>1</v>
      </c>
      <c r="R645" s="188">
        <v>0</v>
      </c>
      <c r="S645" s="188">
        <v>0</v>
      </c>
      <c r="T645" s="188">
        <v>1</v>
      </c>
      <c r="U645" s="188">
        <v>0</v>
      </c>
      <c r="V645" s="188">
        <v>0</v>
      </c>
      <c r="W645" s="188">
        <v>1</v>
      </c>
      <c r="X645" s="188">
        <v>0</v>
      </c>
      <c r="Y645" s="188">
        <v>0</v>
      </c>
      <c r="Z645" s="188">
        <v>0</v>
      </c>
      <c r="AA645" s="188">
        <v>1</v>
      </c>
      <c r="AB645" s="188">
        <v>1</v>
      </c>
      <c r="AC645" s="188">
        <v>0</v>
      </c>
      <c r="AD645" s="188">
        <v>0</v>
      </c>
      <c r="AE645" s="188">
        <v>0</v>
      </c>
      <c r="AF645" s="191">
        <v>0.1</v>
      </c>
      <c r="AG645" s="183">
        <v>6</v>
      </c>
    </row>
    <row r="646" spans="1:41" ht="15" customHeight="1" x14ac:dyDescent="0.2">
      <c r="A646" s="141" t="s">
        <v>313</v>
      </c>
      <c r="B646" s="187" t="s">
        <v>1759</v>
      </c>
      <c r="C646" s="141">
        <v>2015</v>
      </c>
      <c r="D646" s="188">
        <v>75</v>
      </c>
      <c r="E646" s="135">
        <v>1889</v>
      </c>
      <c r="F646" s="189" t="s">
        <v>799</v>
      </c>
      <c r="G646" s="188">
        <v>0</v>
      </c>
      <c r="H646" s="188">
        <v>0</v>
      </c>
      <c r="I646" s="188">
        <v>0</v>
      </c>
      <c r="J646" s="188">
        <v>0</v>
      </c>
      <c r="K646" s="188">
        <v>0</v>
      </c>
      <c r="L646" s="188">
        <v>0</v>
      </c>
      <c r="M646" s="188">
        <v>0</v>
      </c>
      <c r="N646" s="188">
        <v>0</v>
      </c>
      <c r="O646" s="188">
        <v>0</v>
      </c>
      <c r="P646" s="188">
        <v>0</v>
      </c>
      <c r="Q646" s="188">
        <v>0</v>
      </c>
      <c r="R646" s="188">
        <v>0</v>
      </c>
      <c r="S646" s="188">
        <v>0</v>
      </c>
      <c r="T646" s="188">
        <v>0</v>
      </c>
      <c r="U646" s="188">
        <v>1</v>
      </c>
      <c r="V646" s="188">
        <v>0</v>
      </c>
      <c r="W646" s="188">
        <v>0</v>
      </c>
      <c r="X646" s="188">
        <v>0</v>
      </c>
      <c r="Y646" s="188">
        <v>0</v>
      </c>
      <c r="Z646" s="188">
        <v>1</v>
      </c>
      <c r="AA646" s="188">
        <v>0</v>
      </c>
      <c r="AB646" s="188">
        <v>0</v>
      </c>
      <c r="AC646" s="188">
        <v>0</v>
      </c>
      <c r="AD646" s="188">
        <v>0</v>
      </c>
      <c r="AE646" s="188">
        <v>1</v>
      </c>
      <c r="AF646" s="191">
        <v>0.1</v>
      </c>
      <c r="AG646" s="183">
        <v>3</v>
      </c>
    </row>
    <row r="647" spans="1:41" ht="15" customHeight="1" x14ac:dyDescent="0.2">
      <c r="A647" s="141" t="s">
        <v>313</v>
      </c>
      <c r="B647" s="187" t="s">
        <v>1759</v>
      </c>
      <c r="C647" s="141">
        <v>2015</v>
      </c>
      <c r="D647" s="188">
        <v>75</v>
      </c>
      <c r="E647" s="135">
        <v>1972</v>
      </c>
      <c r="F647" s="192" t="s">
        <v>768</v>
      </c>
      <c r="G647" s="188">
        <v>1</v>
      </c>
      <c r="H647" s="188">
        <v>1</v>
      </c>
      <c r="I647" s="188">
        <v>1</v>
      </c>
      <c r="J647" s="188">
        <v>0</v>
      </c>
      <c r="K647" s="188">
        <v>0</v>
      </c>
      <c r="L647" s="188">
        <v>1</v>
      </c>
      <c r="M647" s="188">
        <v>1</v>
      </c>
      <c r="N647" s="188">
        <v>1</v>
      </c>
      <c r="O647" s="188">
        <v>0</v>
      </c>
      <c r="P647" s="188">
        <v>0</v>
      </c>
      <c r="Q647" s="188">
        <v>1</v>
      </c>
      <c r="R647" s="188">
        <v>1</v>
      </c>
      <c r="S647" s="188">
        <v>1</v>
      </c>
      <c r="T647" s="188">
        <v>1</v>
      </c>
      <c r="U647" s="188">
        <v>1</v>
      </c>
      <c r="V647" s="188">
        <v>1</v>
      </c>
      <c r="W647" s="188">
        <v>1</v>
      </c>
      <c r="X647" s="188">
        <v>1</v>
      </c>
      <c r="Y647" s="188">
        <v>1</v>
      </c>
      <c r="Z647" s="188">
        <v>0</v>
      </c>
      <c r="AA647" s="188">
        <v>1</v>
      </c>
      <c r="AB647" s="188">
        <v>1</v>
      </c>
      <c r="AC647" s="188">
        <v>0</v>
      </c>
      <c r="AD647" s="188">
        <v>1</v>
      </c>
      <c r="AE647" s="188">
        <v>0</v>
      </c>
      <c r="AF647" s="191">
        <v>6</v>
      </c>
      <c r="AG647" s="183">
        <v>18</v>
      </c>
      <c r="AH647" s="4"/>
      <c r="AL647" s="5" t="s">
        <v>1671</v>
      </c>
      <c r="AO647" s="5" t="s">
        <v>1671</v>
      </c>
    </row>
    <row r="648" spans="1:41" ht="15" customHeight="1" x14ac:dyDescent="0.2">
      <c r="A648" s="141" t="s">
        <v>313</v>
      </c>
      <c r="B648" s="187" t="s">
        <v>1759</v>
      </c>
      <c r="C648" s="141">
        <v>2015</v>
      </c>
      <c r="D648" s="188">
        <v>75</v>
      </c>
      <c r="E648" s="135">
        <v>1984</v>
      </c>
      <c r="F648" s="192" t="s">
        <v>762</v>
      </c>
      <c r="G648" s="188">
        <v>0</v>
      </c>
      <c r="H648" s="188">
        <v>1</v>
      </c>
      <c r="I648" s="188">
        <v>0</v>
      </c>
      <c r="J648" s="188">
        <v>1</v>
      </c>
      <c r="K648" s="188">
        <v>1</v>
      </c>
      <c r="L648" s="188">
        <v>0</v>
      </c>
      <c r="M648" s="188">
        <v>0</v>
      </c>
      <c r="N648" s="188">
        <v>0</v>
      </c>
      <c r="O648" s="188">
        <v>1</v>
      </c>
      <c r="P648" s="188">
        <v>1</v>
      </c>
      <c r="Q648" s="188">
        <v>0</v>
      </c>
      <c r="R648" s="188">
        <v>0</v>
      </c>
      <c r="S648" s="188">
        <v>0</v>
      </c>
      <c r="T648" s="188">
        <v>0</v>
      </c>
      <c r="U648" s="188">
        <v>1</v>
      </c>
      <c r="V648" s="188">
        <v>0</v>
      </c>
      <c r="W648" s="188">
        <v>0</v>
      </c>
      <c r="X648" s="188">
        <v>0</v>
      </c>
      <c r="Y648" s="188">
        <v>0</v>
      </c>
      <c r="Z648" s="188">
        <v>1</v>
      </c>
      <c r="AA648" s="188">
        <v>1</v>
      </c>
      <c r="AB648" s="188">
        <v>1</v>
      </c>
      <c r="AC648" s="188">
        <v>0</v>
      </c>
      <c r="AD648" s="188">
        <v>0</v>
      </c>
      <c r="AE648" s="188">
        <v>1</v>
      </c>
      <c r="AF648" s="191">
        <v>6</v>
      </c>
      <c r="AG648" s="183">
        <v>10</v>
      </c>
      <c r="AL648" s="5" t="s">
        <v>1671</v>
      </c>
      <c r="AO648" s="5" t="s">
        <v>1671</v>
      </c>
    </row>
    <row r="649" spans="1:41" ht="15" customHeight="1" x14ac:dyDescent="0.2">
      <c r="A649" s="141" t="s">
        <v>313</v>
      </c>
      <c r="B649" s="187" t="s">
        <v>1759</v>
      </c>
      <c r="C649" s="141">
        <v>2015</v>
      </c>
      <c r="D649" s="188">
        <v>75</v>
      </c>
      <c r="E649" s="135" t="e">
        <v>#N/A</v>
      </c>
      <c r="F649" s="189" t="s">
        <v>1768</v>
      </c>
      <c r="G649" s="188">
        <v>0</v>
      </c>
      <c r="H649" s="188">
        <v>0</v>
      </c>
      <c r="I649" s="188">
        <v>1</v>
      </c>
      <c r="J649" s="188">
        <v>0</v>
      </c>
      <c r="K649" s="188">
        <v>1</v>
      </c>
      <c r="L649" s="188">
        <v>0</v>
      </c>
      <c r="M649" s="188">
        <v>0</v>
      </c>
      <c r="N649" s="188">
        <v>0</v>
      </c>
      <c r="O649" s="188">
        <v>0</v>
      </c>
      <c r="P649" s="188">
        <v>1</v>
      </c>
      <c r="Q649" s="188">
        <v>1</v>
      </c>
      <c r="R649" s="188">
        <v>0</v>
      </c>
      <c r="S649" s="188">
        <v>0</v>
      </c>
      <c r="T649" s="188">
        <v>1</v>
      </c>
      <c r="U649" s="188">
        <v>0</v>
      </c>
      <c r="V649" s="188">
        <v>1</v>
      </c>
      <c r="W649" s="188">
        <v>1</v>
      </c>
      <c r="X649" s="188">
        <v>1</v>
      </c>
      <c r="Y649" s="188">
        <v>0</v>
      </c>
      <c r="Z649" s="188">
        <v>0</v>
      </c>
      <c r="AA649" s="188">
        <v>0</v>
      </c>
      <c r="AB649" s="188">
        <v>0</v>
      </c>
      <c r="AC649" s="188">
        <v>1</v>
      </c>
      <c r="AD649" s="188">
        <v>0</v>
      </c>
      <c r="AE649" s="188">
        <v>0</v>
      </c>
      <c r="AF649" s="191">
        <v>15</v>
      </c>
      <c r="AG649" s="183">
        <v>9</v>
      </c>
      <c r="AH649" s="5" t="s">
        <v>1972</v>
      </c>
      <c r="AL649" s="5" t="s">
        <v>1677</v>
      </c>
      <c r="AO649" s="5" t="s">
        <v>1677</v>
      </c>
    </row>
    <row r="650" spans="1:41" ht="15" customHeight="1" x14ac:dyDescent="0.2">
      <c r="A650" s="141" t="s">
        <v>313</v>
      </c>
      <c r="B650" s="187" t="s">
        <v>1759</v>
      </c>
      <c r="C650" s="141">
        <v>2015</v>
      </c>
      <c r="D650" s="141">
        <v>75</v>
      </c>
      <c r="E650" s="135" t="e">
        <v>#N/A</v>
      </c>
      <c r="F650" s="192" t="s">
        <v>1772</v>
      </c>
      <c r="G650" s="141">
        <v>1</v>
      </c>
      <c r="H650" s="141">
        <v>1</v>
      </c>
      <c r="I650" s="141">
        <v>1</v>
      </c>
      <c r="J650" s="141">
        <v>1</v>
      </c>
      <c r="K650" s="141">
        <v>1</v>
      </c>
      <c r="L650" s="141">
        <v>0</v>
      </c>
      <c r="M650" s="141">
        <v>1</v>
      </c>
      <c r="N650" s="141">
        <v>1</v>
      </c>
      <c r="O650" s="141">
        <v>1</v>
      </c>
      <c r="P650" s="141">
        <v>1</v>
      </c>
      <c r="Q650" s="141">
        <v>0</v>
      </c>
      <c r="R650" s="141">
        <v>1</v>
      </c>
      <c r="S650" s="141">
        <v>0</v>
      </c>
      <c r="T650" s="141">
        <v>1</v>
      </c>
      <c r="U650" s="141">
        <v>1</v>
      </c>
      <c r="V650" s="141">
        <v>0</v>
      </c>
      <c r="W650" s="141">
        <v>0</v>
      </c>
      <c r="X650" s="141">
        <v>0</v>
      </c>
      <c r="Y650" s="141">
        <v>1</v>
      </c>
      <c r="Z650" s="141">
        <v>1</v>
      </c>
      <c r="AA650" s="141">
        <v>0</v>
      </c>
      <c r="AB650" s="141">
        <v>0</v>
      </c>
      <c r="AC650" s="141">
        <v>0</v>
      </c>
      <c r="AD650" s="141">
        <v>1</v>
      </c>
      <c r="AE650" s="141">
        <v>1</v>
      </c>
      <c r="AF650" s="148">
        <v>15</v>
      </c>
      <c r="AG650" s="183">
        <v>16</v>
      </c>
      <c r="AH650" s="4"/>
      <c r="AL650" s="5" t="s">
        <v>1434</v>
      </c>
      <c r="AO650" s="5" t="s">
        <v>1434</v>
      </c>
    </row>
    <row r="651" spans="1:41" ht="15" customHeight="1" x14ac:dyDescent="0.2">
      <c r="A651" s="141"/>
      <c r="B651" s="187"/>
      <c r="C651" s="141"/>
      <c r="D651" s="141"/>
      <c r="F651" s="192"/>
      <c r="G651" s="141"/>
      <c r="H651" s="141"/>
      <c r="I651" s="141"/>
      <c r="J651" s="141"/>
      <c r="K651" s="141"/>
      <c r="L651" s="141"/>
      <c r="M651" s="141"/>
      <c r="N651" s="141"/>
      <c r="O651" s="141"/>
      <c r="P651" s="141"/>
      <c r="Q651" s="141"/>
      <c r="R651" s="141"/>
      <c r="S651" s="141"/>
      <c r="T651" s="141"/>
      <c r="U651" s="141"/>
      <c r="V651" s="141"/>
      <c r="W651" s="141"/>
      <c r="X651" s="141"/>
      <c r="Y651" s="141"/>
      <c r="Z651" s="141"/>
      <c r="AA651" s="141"/>
      <c r="AB651" s="141"/>
      <c r="AC651" s="141"/>
      <c r="AD651" s="141"/>
      <c r="AE651" s="141"/>
      <c r="AF651" s="120"/>
      <c r="AG651" s="183"/>
      <c r="AH651" s="4"/>
    </row>
    <row r="652" spans="1:41" ht="15" customHeight="1" x14ac:dyDescent="0.2">
      <c r="A652" s="4"/>
      <c r="B652" s="187"/>
      <c r="C652" s="4"/>
      <c r="D652" s="4"/>
      <c r="E652" s="134"/>
      <c r="F652" s="183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120"/>
      <c r="AG652" s="183" t="str">
        <f t="shared" ref="AG652:AG714" si="0">IF(F652&lt;&gt;"",SUM(G652:AE652), "")</f>
        <v/>
      </c>
      <c r="AH652" s="4"/>
      <c r="AI652" s="25"/>
      <c r="AJ652" s="25"/>
      <c r="AK652" s="25"/>
      <c r="AL652" s="25"/>
      <c r="AM652" s="25"/>
      <c r="AN652" s="25"/>
      <c r="AO652" s="25"/>
    </row>
    <row r="653" spans="1:41" ht="15" customHeight="1" x14ac:dyDescent="0.2">
      <c r="A653" s="4"/>
      <c r="B653" s="187"/>
      <c r="C653" s="4"/>
      <c r="D653" s="4"/>
      <c r="E653" s="134"/>
      <c r="F653" s="183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120"/>
      <c r="AG653" s="183" t="str">
        <f t="shared" si="0"/>
        <v/>
      </c>
      <c r="AH653" s="4"/>
      <c r="AI653" s="25"/>
      <c r="AJ653" s="25"/>
      <c r="AK653" s="25"/>
      <c r="AL653" s="25"/>
      <c r="AM653" s="25"/>
      <c r="AN653" s="25"/>
      <c r="AO653" s="25"/>
    </row>
    <row r="654" spans="1:41" ht="15" customHeight="1" x14ac:dyDescent="0.2">
      <c r="A654" s="4"/>
      <c r="B654" s="187"/>
      <c r="C654" s="4"/>
      <c r="D654" s="4"/>
      <c r="E654" s="134"/>
      <c r="F654" s="183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120"/>
      <c r="AG654" s="183" t="str">
        <f t="shared" si="0"/>
        <v/>
      </c>
      <c r="AH654" s="4"/>
      <c r="AI654" s="25"/>
      <c r="AJ654" s="25"/>
      <c r="AK654" s="25"/>
      <c r="AL654" s="25"/>
      <c r="AM654" s="25"/>
      <c r="AN654" s="25"/>
      <c r="AO654" s="25"/>
    </row>
    <row r="655" spans="1:41" ht="15" customHeight="1" x14ac:dyDescent="0.2">
      <c r="A655" s="4"/>
      <c r="B655" s="187"/>
      <c r="C655" s="4"/>
      <c r="D655" s="4"/>
      <c r="E655" s="134"/>
      <c r="F655" s="18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120"/>
      <c r="AG655" s="183" t="str">
        <f t="shared" si="0"/>
        <v/>
      </c>
      <c r="AH655" s="4"/>
      <c r="AI655" s="25"/>
      <c r="AJ655" s="25"/>
      <c r="AK655" s="25"/>
      <c r="AL655" s="25"/>
      <c r="AM655" s="25"/>
      <c r="AN655" s="25"/>
      <c r="AO655" s="25"/>
    </row>
    <row r="656" spans="1:41" ht="15" customHeight="1" x14ac:dyDescent="0.2">
      <c r="A656" s="4"/>
      <c r="B656" s="187"/>
      <c r="C656" s="4"/>
      <c r="D656" s="4"/>
      <c r="E656" s="134"/>
      <c r="F656" s="183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120"/>
      <c r="AG656" s="183" t="str">
        <f t="shared" si="0"/>
        <v/>
      </c>
      <c r="AH656" s="4"/>
      <c r="AI656" s="25"/>
      <c r="AJ656" s="25"/>
      <c r="AK656" s="25"/>
      <c r="AL656" s="25"/>
      <c r="AM656" s="25"/>
      <c r="AN656" s="25"/>
      <c r="AO656" s="25"/>
    </row>
    <row r="657" spans="1:41" ht="15" customHeight="1" x14ac:dyDescent="0.2">
      <c r="A657" s="4"/>
      <c r="B657" s="187"/>
      <c r="C657" s="4"/>
      <c r="D657" s="4"/>
      <c r="E657" s="134"/>
      <c r="F657" s="183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120"/>
      <c r="AG657" s="183" t="str">
        <f t="shared" si="0"/>
        <v/>
      </c>
      <c r="AH657" s="4"/>
      <c r="AI657" s="25"/>
      <c r="AJ657" s="25"/>
      <c r="AK657" s="25"/>
      <c r="AL657" s="25"/>
      <c r="AM657" s="25"/>
      <c r="AN657" s="25"/>
      <c r="AO657" s="25"/>
    </row>
    <row r="658" spans="1:41" ht="15" customHeight="1" x14ac:dyDescent="0.2">
      <c r="A658" s="4"/>
      <c r="B658" s="187"/>
      <c r="C658" s="4"/>
      <c r="D658" s="4"/>
      <c r="E658" s="134"/>
      <c r="F658" s="183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120"/>
      <c r="AG658" s="183" t="str">
        <f t="shared" si="0"/>
        <v/>
      </c>
      <c r="AH658" s="4"/>
      <c r="AI658" s="25"/>
      <c r="AJ658" s="25"/>
      <c r="AK658" s="25"/>
      <c r="AL658" s="25"/>
      <c r="AM658" s="25"/>
      <c r="AN658" s="25"/>
      <c r="AO658" s="25"/>
    </row>
    <row r="659" spans="1:41" ht="15" customHeight="1" x14ac:dyDescent="0.2">
      <c r="A659" s="4"/>
      <c r="B659" s="187"/>
      <c r="C659" s="4"/>
      <c r="D659" s="4"/>
      <c r="E659" s="134"/>
      <c r="F659" s="183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120"/>
      <c r="AG659" s="183" t="str">
        <f t="shared" si="0"/>
        <v/>
      </c>
      <c r="AH659" s="4"/>
      <c r="AI659" s="25"/>
      <c r="AJ659" s="25"/>
      <c r="AK659" s="25"/>
      <c r="AL659" s="25"/>
      <c r="AM659" s="25"/>
      <c r="AN659" s="25"/>
      <c r="AO659" s="25"/>
    </row>
    <row r="660" spans="1:41" ht="15" customHeight="1" x14ac:dyDescent="0.2">
      <c r="A660" s="4"/>
      <c r="B660" s="187"/>
      <c r="C660" s="4"/>
      <c r="D660" s="4"/>
      <c r="E660" s="134"/>
      <c r="F660" s="183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120"/>
      <c r="AG660" s="183" t="str">
        <f t="shared" si="0"/>
        <v/>
      </c>
      <c r="AH660" s="4"/>
      <c r="AI660" s="25"/>
      <c r="AJ660" s="25"/>
      <c r="AK660" s="25"/>
      <c r="AL660" s="25"/>
      <c r="AM660" s="25"/>
      <c r="AN660" s="25"/>
      <c r="AO660" s="25"/>
    </row>
    <row r="661" spans="1:41" ht="15" customHeight="1" x14ac:dyDescent="0.2">
      <c r="A661" s="4"/>
      <c r="B661" s="187"/>
      <c r="C661" s="4"/>
      <c r="D661" s="4"/>
      <c r="E661" s="134"/>
      <c r="F661" s="183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120"/>
      <c r="AG661" s="183" t="str">
        <f t="shared" si="0"/>
        <v/>
      </c>
      <c r="AH661" s="4"/>
      <c r="AI661" s="25"/>
      <c r="AJ661" s="25"/>
      <c r="AK661" s="25"/>
      <c r="AL661" s="25"/>
      <c r="AM661" s="25"/>
      <c r="AN661" s="25"/>
      <c r="AO661" s="25"/>
    </row>
    <row r="662" spans="1:41" ht="15" customHeight="1" x14ac:dyDescent="0.2">
      <c r="A662" s="4"/>
      <c r="B662" s="187"/>
      <c r="C662" s="4"/>
      <c r="D662" s="4"/>
      <c r="E662" s="134"/>
      <c r="F662" s="183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120"/>
      <c r="AG662" s="183" t="str">
        <f t="shared" si="0"/>
        <v/>
      </c>
      <c r="AH662" s="4"/>
      <c r="AI662" s="25"/>
      <c r="AJ662" s="25"/>
      <c r="AK662" s="25"/>
      <c r="AL662" s="25"/>
      <c r="AM662" s="25"/>
      <c r="AN662" s="25"/>
      <c r="AO662" s="25"/>
    </row>
    <row r="663" spans="1:41" ht="15" customHeight="1" x14ac:dyDescent="0.2">
      <c r="A663" s="4"/>
      <c r="B663" s="187"/>
      <c r="C663" s="4"/>
      <c r="D663" s="4"/>
      <c r="E663" s="134"/>
      <c r="F663" s="183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120"/>
      <c r="AG663" s="183" t="str">
        <f t="shared" si="0"/>
        <v/>
      </c>
      <c r="AH663" s="4"/>
      <c r="AI663" s="25"/>
      <c r="AJ663" s="25"/>
      <c r="AK663" s="25"/>
      <c r="AL663" s="25"/>
      <c r="AM663" s="25"/>
      <c r="AN663" s="25"/>
      <c r="AO663" s="25"/>
    </row>
    <row r="664" spans="1:41" ht="15" customHeight="1" x14ac:dyDescent="0.2">
      <c r="A664" s="4"/>
      <c r="B664" s="187"/>
      <c r="C664" s="4"/>
      <c r="D664" s="4"/>
      <c r="E664" s="134"/>
      <c r="F664" s="183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120"/>
      <c r="AG664" s="183" t="str">
        <f t="shared" si="0"/>
        <v/>
      </c>
      <c r="AH664" s="4"/>
      <c r="AI664" s="25"/>
      <c r="AJ664" s="25"/>
      <c r="AK664" s="25"/>
      <c r="AL664" s="25"/>
      <c r="AM664" s="25"/>
      <c r="AN664" s="25"/>
      <c r="AO664" s="25"/>
    </row>
    <row r="665" spans="1:41" ht="15" customHeight="1" x14ac:dyDescent="0.2">
      <c r="A665" s="4"/>
      <c r="B665" s="187"/>
      <c r="C665" s="4"/>
      <c r="D665" s="4"/>
      <c r="E665" s="134"/>
      <c r="F665" s="183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120"/>
      <c r="AG665" s="183" t="str">
        <f t="shared" si="0"/>
        <v/>
      </c>
      <c r="AH665" s="4"/>
      <c r="AI665" s="25"/>
      <c r="AJ665" s="25"/>
      <c r="AK665" s="25"/>
      <c r="AL665" s="25"/>
      <c r="AM665" s="25"/>
      <c r="AN665" s="25"/>
      <c r="AO665" s="25"/>
    </row>
    <row r="666" spans="1:41" ht="15" customHeight="1" x14ac:dyDescent="0.2">
      <c r="B666" s="187"/>
      <c r="E666" s="134"/>
      <c r="F666" s="183"/>
      <c r="AG666" s="183" t="str">
        <f t="shared" si="0"/>
        <v/>
      </c>
      <c r="AI666" s="25"/>
      <c r="AJ666" s="25"/>
      <c r="AK666" s="25"/>
      <c r="AL666" s="25"/>
      <c r="AM666" s="25"/>
      <c r="AN666" s="25"/>
      <c r="AO666" s="25"/>
    </row>
    <row r="667" spans="1:41" ht="15" customHeight="1" x14ac:dyDescent="0.2">
      <c r="B667" s="187"/>
      <c r="E667" s="134"/>
      <c r="F667" s="183"/>
      <c r="AG667" s="183" t="str">
        <f t="shared" si="0"/>
        <v/>
      </c>
      <c r="AI667" s="25"/>
      <c r="AJ667" s="25"/>
      <c r="AK667" s="25"/>
      <c r="AL667" s="25"/>
      <c r="AM667" s="25"/>
      <c r="AN667" s="25"/>
      <c r="AO667" s="25"/>
    </row>
    <row r="668" spans="1:41" ht="15" customHeight="1" x14ac:dyDescent="0.2">
      <c r="B668" s="187"/>
      <c r="E668" s="134"/>
      <c r="F668" s="183"/>
      <c r="AG668" s="183" t="str">
        <f t="shared" si="0"/>
        <v/>
      </c>
      <c r="AI668" s="25"/>
      <c r="AJ668" s="25"/>
      <c r="AK668" s="25"/>
      <c r="AL668" s="25"/>
      <c r="AM668" s="25"/>
      <c r="AN668" s="25"/>
      <c r="AO668" s="25"/>
    </row>
    <row r="669" spans="1:41" ht="15" customHeight="1" x14ac:dyDescent="0.2">
      <c r="B669" s="187"/>
      <c r="E669" s="134"/>
      <c r="F669" s="183"/>
      <c r="AG669" s="183" t="str">
        <f t="shared" si="0"/>
        <v/>
      </c>
      <c r="AI669" s="25"/>
      <c r="AJ669" s="25"/>
      <c r="AK669" s="25"/>
      <c r="AL669" s="25"/>
      <c r="AM669" s="25"/>
      <c r="AN669" s="25"/>
      <c r="AO669" s="25"/>
    </row>
    <row r="670" spans="1:41" ht="15" customHeight="1" x14ac:dyDescent="0.2">
      <c r="B670" s="187"/>
      <c r="E670" s="134"/>
      <c r="F670" s="183"/>
      <c r="AG670" s="183" t="str">
        <f t="shared" si="0"/>
        <v/>
      </c>
      <c r="AI670" s="25"/>
      <c r="AJ670" s="25"/>
      <c r="AK670" s="25"/>
      <c r="AL670" s="25"/>
      <c r="AM670" s="25"/>
      <c r="AN670" s="25"/>
      <c r="AO670" s="25"/>
    </row>
    <row r="671" spans="1:41" ht="15" customHeight="1" x14ac:dyDescent="0.2">
      <c r="B671" s="187"/>
      <c r="E671" s="134"/>
      <c r="F671" s="183"/>
      <c r="AG671" s="183" t="str">
        <f t="shared" si="0"/>
        <v/>
      </c>
      <c r="AI671" s="25"/>
      <c r="AJ671" s="25"/>
      <c r="AK671" s="25"/>
      <c r="AL671" s="25"/>
      <c r="AM671" s="25"/>
      <c r="AN671" s="25"/>
      <c r="AO671" s="25"/>
    </row>
    <row r="672" spans="1:41" ht="15" customHeight="1" x14ac:dyDescent="0.2">
      <c r="B672" s="187"/>
      <c r="E672" s="134"/>
      <c r="F672" s="183"/>
      <c r="AG672" s="183" t="str">
        <f t="shared" si="0"/>
        <v/>
      </c>
      <c r="AI672" s="25"/>
      <c r="AJ672" s="25"/>
      <c r="AK672" s="25"/>
      <c r="AL672" s="25"/>
      <c r="AM672" s="25"/>
      <c r="AN672" s="25"/>
      <c r="AO672" s="25"/>
    </row>
    <row r="673" spans="2:41" ht="15" customHeight="1" x14ac:dyDescent="0.2">
      <c r="B673" s="187"/>
      <c r="E673" s="134"/>
      <c r="F673" s="188"/>
      <c r="AG673" s="183" t="str">
        <f t="shared" si="0"/>
        <v/>
      </c>
      <c r="AI673" s="25"/>
      <c r="AJ673" s="25"/>
      <c r="AK673" s="25"/>
      <c r="AL673" s="25"/>
      <c r="AM673" s="25"/>
      <c r="AN673" s="25"/>
      <c r="AO673" s="25"/>
    </row>
    <row r="674" spans="2:41" ht="15" customHeight="1" x14ac:dyDescent="0.2">
      <c r="B674" s="187"/>
      <c r="E674" s="134"/>
      <c r="F674" s="183"/>
      <c r="AG674" s="183" t="str">
        <f t="shared" si="0"/>
        <v/>
      </c>
      <c r="AI674" s="25"/>
      <c r="AJ674" s="25"/>
      <c r="AK674" s="25"/>
      <c r="AL674" s="25"/>
      <c r="AM674" s="25"/>
      <c r="AN674" s="25"/>
      <c r="AO674" s="25"/>
    </row>
    <row r="675" spans="2:41" ht="15" customHeight="1" x14ac:dyDescent="0.2">
      <c r="B675" s="187"/>
      <c r="E675" s="134"/>
      <c r="F675" s="188"/>
      <c r="AG675" s="183" t="str">
        <f t="shared" si="0"/>
        <v/>
      </c>
      <c r="AI675" s="25"/>
      <c r="AJ675" s="25"/>
      <c r="AK675" s="25"/>
      <c r="AL675" s="25"/>
      <c r="AM675" s="25"/>
      <c r="AN675" s="25"/>
      <c r="AO675" s="25"/>
    </row>
    <row r="676" spans="2:41" ht="15" customHeight="1" x14ac:dyDescent="0.2">
      <c r="B676" s="187"/>
      <c r="E676" s="134"/>
      <c r="F676" s="183"/>
      <c r="AG676" s="183" t="str">
        <f t="shared" si="0"/>
        <v/>
      </c>
      <c r="AI676" s="25"/>
      <c r="AJ676" s="25"/>
      <c r="AK676" s="25"/>
      <c r="AL676" s="25"/>
      <c r="AM676" s="25"/>
      <c r="AN676" s="25"/>
      <c r="AO676" s="25"/>
    </row>
    <row r="677" spans="2:41" ht="15" customHeight="1" x14ac:dyDescent="0.2">
      <c r="B677" s="187"/>
      <c r="E677" s="134"/>
      <c r="F677" s="188"/>
      <c r="AG677" s="183" t="str">
        <f t="shared" si="0"/>
        <v/>
      </c>
      <c r="AI677" s="25"/>
      <c r="AJ677" s="25"/>
      <c r="AK677" s="25"/>
      <c r="AL677" s="25"/>
      <c r="AM677" s="25"/>
      <c r="AN677" s="25"/>
      <c r="AO677" s="25"/>
    </row>
    <row r="678" spans="2:41" ht="15" customHeight="1" x14ac:dyDescent="0.2">
      <c r="B678" s="187"/>
      <c r="E678" s="134"/>
      <c r="F678" s="183"/>
      <c r="AG678" s="183" t="str">
        <f t="shared" si="0"/>
        <v/>
      </c>
      <c r="AI678" s="25"/>
      <c r="AJ678" s="25"/>
      <c r="AK678" s="25"/>
      <c r="AL678" s="25"/>
      <c r="AM678" s="25"/>
      <c r="AN678" s="25"/>
      <c r="AO678" s="25"/>
    </row>
    <row r="679" spans="2:41" ht="15" customHeight="1" x14ac:dyDescent="0.2">
      <c r="B679" s="187"/>
      <c r="E679" s="134"/>
      <c r="F679" s="183"/>
      <c r="AG679" s="183" t="str">
        <f t="shared" si="0"/>
        <v/>
      </c>
      <c r="AI679" s="25"/>
      <c r="AJ679" s="25"/>
      <c r="AK679" s="25"/>
      <c r="AL679" s="25"/>
      <c r="AM679" s="25"/>
      <c r="AN679" s="25"/>
      <c r="AO679" s="25"/>
    </row>
    <row r="680" spans="2:41" ht="15" customHeight="1" x14ac:dyDescent="0.2">
      <c r="B680" s="187"/>
      <c r="E680" s="134"/>
      <c r="F680" s="183"/>
      <c r="AG680" s="183" t="str">
        <f t="shared" si="0"/>
        <v/>
      </c>
      <c r="AI680" s="25"/>
      <c r="AJ680" s="25"/>
      <c r="AK680" s="25"/>
      <c r="AL680" s="25"/>
      <c r="AM680" s="25"/>
      <c r="AN680" s="25"/>
      <c r="AO680" s="25"/>
    </row>
    <row r="681" spans="2:41" ht="15" customHeight="1" x14ac:dyDescent="0.2">
      <c r="B681" s="187"/>
      <c r="E681" s="134"/>
      <c r="F681" s="183"/>
      <c r="AG681" s="183" t="str">
        <f t="shared" si="0"/>
        <v/>
      </c>
      <c r="AI681" s="25"/>
      <c r="AJ681" s="25"/>
      <c r="AK681" s="25"/>
      <c r="AL681" s="25"/>
      <c r="AM681" s="25"/>
      <c r="AN681" s="25"/>
      <c r="AO681" s="25"/>
    </row>
    <row r="682" spans="2:41" ht="15" customHeight="1" x14ac:dyDescent="0.2">
      <c r="B682" s="187"/>
      <c r="E682" s="134"/>
      <c r="F682" s="183"/>
      <c r="AG682" s="183" t="str">
        <f t="shared" si="0"/>
        <v/>
      </c>
      <c r="AI682" s="25"/>
      <c r="AJ682" s="25"/>
      <c r="AK682" s="25"/>
      <c r="AL682" s="25"/>
      <c r="AM682" s="25"/>
      <c r="AN682" s="25"/>
      <c r="AO682" s="25"/>
    </row>
    <row r="683" spans="2:41" ht="15" customHeight="1" x14ac:dyDescent="0.2">
      <c r="B683" s="187"/>
      <c r="E683" s="134"/>
      <c r="F683" s="183"/>
      <c r="AG683" s="183" t="str">
        <f t="shared" si="0"/>
        <v/>
      </c>
      <c r="AI683" s="25"/>
      <c r="AJ683" s="25"/>
      <c r="AK683" s="25"/>
      <c r="AL683" s="25"/>
      <c r="AM683" s="25"/>
      <c r="AN683" s="25"/>
      <c r="AO683" s="25"/>
    </row>
    <row r="684" spans="2:41" ht="15" customHeight="1" x14ac:dyDescent="0.2">
      <c r="B684" s="187"/>
      <c r="E684" s="134"/>
      <c r="F684" s="183"/>
      <c r="AG684" s="183" t="str">
        <f t="shared" si="0"/>
        <v/>
      </c>
      <c r="AI684" s="25"/>
      <c r="AJ684" s="25"/>
      <c r="AK684" s="25"/>
      <c r="AL684" s="25"/>
      <c r="AM684" s="25"/>
      <c r="AN684" s="25"/>
      <c r="AO684" s="25"/>
    </row>
    <row r="685" spans="2:41" ht="15" customHeight="1" x14ac:dyDescent="0.2">
      <c r="B685" s="187"/>
      <c r="E685" s="134"/>
      <c r="F685" s="183"/>
      <c r="AG685" s="183" t="str">
        <f t="shared" si="0"/>
        <v/>
      </c>
      <c r="AI685" s="25"/>
      <c r="AJ685" s="25"/>
      <c r="AK685" s="25"/>
      <c r="AL685" s="25"/>
      <c r="AM685" s="25"/>
      <c r="AN685" s="25"/>
      <c r="AO685" s="25"/>
    </row>
    <row r="686" spans="2:41" ht="15" customHeight="1" x14ac:dyDescent="0.2">
      <c r="B686" s="187"/>
      <c r="E686" s="134"/>
      <c r="F686" s="183"/>
      <c r="AG686" s="183" t="str">
        <f t="shared" si="0"/>
        <v/>
      </c>
      <c r="AI686" s="25"/>
      <c r="AJ686" s="25"/>
      <c r="AK686" s="25"/>
      <c r="AL686" s="25"/>
      <c r="AM686" s="25"/>
      <c r="AN686" s="25"/>
      <c r="AO686" s="25"/>
    </row>
    <row r="687" spans="2:41" ht="15" customHeight="1" x14ac:dyDescent="0.2">
      <c r="B687" s="187"/>
      <c r="E687" s="134"/>
      <c r="F687" s="183"/>
      <c r="AG687" s="183" t="str">
        <f t="shared" si="0"/>
        <v/>
      </c>
      <c r="AI687" s="25"/>
      <c r="AJ687" s="25"/>
      <c r="AK687" s="25"/>
      <c r="AL687" s="25"/>
      <c r="AM687" s="25"/>
      <c r="AN687" s="25"/>
      <c r="AO687" s="25"/>
    </row>
    <row r="688" spans="2:41" ht="15" customHeight="1" x14ac:dyDescent="0.2">
      <c r="B688" s="187"/>
      <c r="E688" s="134"/>
      <c r="F688" s="188"/>
      <c r="AG688" s="183" t="str">
        <f t="shared" si="0"/>
        <v/>
      </c>
      <c r="AI688" s="25"/>
      <c r="AJ688" s="25"/>
      <c r="AK688" s="25"/>
      <c r="AL688" s="25"/>
      <c r="AM688" s="25"/>
      <c r="AN688" s="25"/>
      <c r="AO688" s="25"/>
    </row>
    <row r="689" spans="2:41" ht="15" customHeight="1" x14ac:dyDescent="0.2">
      <c r="B689" s="187"/>
      <c r="E689" s="134"/>
      <c r="F689" s="188"/>
      <c r="AG689" s="183" t="str">
        <f t="shared" si="0"/>
        <v/>
      </c>
      <c r="AI689" s="25"/>
      <c r="AJ689" s="25"/>
      <c r="AK689" s="25"/>
      <c r="AL689" s="25"/>
      <c r="AM689" s="25"/>
      <c r="AN689" s="25"/>
      <c r="AO689" s="25"/>
    </row>
    <row r="690" spans="2:41" ht="15" customHeight="1" x14ac:dyDescent="0.2">
      <c r="B690" s="187"/>
      <c r="E690" s="134"/>
      <c r="F690" s="188"/>
      <c r="AG690" s="183" t="str">
        <f t="shared" si="0"/>
        <v/>
      </c>
      <c r="AI690" s="25"/>
      <c r="AJ690" s="25"/>
      <c r="AK690" s="25"/>
      <c r="AL690" s="25"/>
      <c r="AM690" s="25"/>
      <c r="AN690" s="25"/>
      <c r="AO690" s="25"/>
    </row>
    <row r="691" spans="2:41" ht="15" customHeight="1" x14ac:dyDescent="0.2">
      <c r="B691" s="187"/>
      <c r="E691" s="134"/>
      <c r="F691" s="183"/>
      <c r="AG691" s="183" t="str">
        <f t="shared" si="0"/>
        <v/>
      </c>
      <c r="AI691" s="25"/>
      <c r="AJ691" s="25"/>
      <c r="AK691" s="25"/>
      <c r="AL691" s="25"/>
      <c r="AM691" s="25"/>
      <c r="AN691" s="25"/>
      <c r="AO691" s="25"/>
    </row>
    <row r="692" spans="2:41" ht="15" customHeight="1" x14ac:dyDescent="0.2">
      <c r="B692" s="187"/>
      <c r="E692" s="134"/>
      <c r="F692" s="183"/>
      <c r="AG692" s="183" t="str">
        <f t="shared" si="0"/>
        <v/>
      </c>
      <c r="AI692" s="25"/>
      <c r="AJ692" s="25"/>
      <c r="AK692" s="25"/>
      <c r="AL692" s="25"/>
      <c r="AM692" s="25"/>
      <c r="AN692" s="25"/>
      <c r="AO692" s="25"/>
    </row>
    <row r="693" spans="2:41" ht="15" customHeight="1" x14ac:dyDescent="0.2">
      <c r="B693" s="187"/>
      <c r="E693" s="134"/>
      <c r="F693" s="183"/>
      <c r="AG693" s="183" t="str">
        <f t="shared" si="0"/>
        <v/>
      </c>
      <c r="AI693" s="25"/>
      <c r="AJ693" s="25"/>
      <c r="AK693" s="25"/>
      <c r="AL693" s="25"/>
      <c r="AM693" s="25"/>
      <c r="AN693" s="25"/>
      <c r="AO693" s="25"/>
    </row>
    <row r="694" spans="2:41" ht="15" customHeight="1" x14ac:dyDescent="0.2">
      <c r="B694" s="187"/>
      <c r="E694" s="134"/>
      <c r="F694" s="183"/>
      <c r="AG694" s="183" t="str">
        <f t="shared" si="0"/>
        <v/>
      </c>
      <c r="AI694" s="25"/>
      <c r="AJ694" s="25"/>
      <c r="AK694" s="25"/>
      <c r="AL694" s="25"/>
      <c r="AM694" s="25"/>
      <c r="AN694" s="25"/>
      <c r="AO694" s="25"/>
    </row>
    <row r="695" spans="2:41" ht="15" customHeight="1" x14ac:dyDescent="0.2">
      <c r="B695" s="187"/>
      <c r="E695" s="134"/>
      <c r="F695" s="183"/>
      <c r="AG695" s="183" t="str">
        <f t="shared" si="0"/>
        <v/>
      </c>
      <c r="AI695" s="25"/>
      <c r="AJ695" s="25"/>
      <c r="AK695" s="25"/>
      <c r="AL695" s="25"/>
      <c r="AM695" s="25"/>
      <c r="AN695" s="25"/>
      <c r="AO695" s="25"/>
    </row>
    <row r="696" spans="2:41" ht="15" customHeight="1" x14ac:dyDescent="0.2">
      <c r="B696" s="187"/>
      <c r="E696" s="134"/>
      <c r="F696" s="183"/>
      <c r="AG696" s="183" t="str">
        <f t="shared" si="0"/>
        <v/>
      </c>
      <c r="AI696" s="25"/>
      <c r="AJ696" s="25"/>
      <c r="AK696" s="25"/>
      <c r="AL696" s="25"/>
      <c r="AM696" s="25"/>
      <c r="AN696" s="25"/>
      <c r="AO696" s="25"/>
    </row>
    <row r="697" spans="2:41" ht="15" customHeight="1" x14ac:dyDescent="0.2">
      <c r="B697" s="187"/>
      <c r="E697" s="134"/>
      <c r="F697" s="183"/>
      <c r="AG697" s="183" t="str">
        <f t="shared" si="0"/>
        <v/>
      </c>
      <c r="AI697" s="25"/>
      <c r="AJ697" s="25"/>
      <c r="AK697" s="25"/>
      <c r="AL697" s="25"/>
      <c r="AM697" s="25"/>
      <c r="AN697" s="25"/>
      <c r="AO697" s="25"/>
    </row>
    <row r="698" spans="2:41" ht="15" customHeight="1" x14ac:dyDescent="0.2">
      <c r="B698" s="187"/>
      <c r="E698" s="134"/>
      <c r="F698" s="183"/>
      <c r="AG698" s="183" t="str">
        <f t="shared" si="0"/>
        <v/>
      </c>
      <c r="AI698" s="25"/>
      <c r="AJ698" s="25"/>
      <c r="AK698" s="25"/>
      <c r="AL698" s="25"/>
      <c r="AM698" s="25"/>
      <c r="AN698" s="25"/>
      <c r="AO698" s="25"/>
    </row>
    <row r="699" spans="2:41" ht="15" customHeight="1" x14ac:dyDescent="0.2">
      <c r="B699" s="187"/>
      <c r="E699" s="134"/>
      <c r="F699" s="183"/>
      <c r="AG699" s="183" t="str">
        <f t="shared" si="0"/>
        <v/>
      </c>
      <c r="AI699" s="25"/>
      <c r="AJ699" s="25"/>
      <c r="AK699" s="25"/>
      <c r="AL699" s="25"/>
      <c r="AM699" s="25"/>
      <c r="AN699" s="25"/>
      <c r="AO699" s="25"/>
    </row>
    <row r="700" spans="2:41" ht="15" customHeight="1" x14ac:dyDescent="0.2">
      <c r="B700" s="187"/>
      <c r="E700" s="134"/>
      <c r="F700" s="183"/>
      <c r="AG700" s="183" t="str">
        <f t="shared" si="0"/>
        <v/>
      </c>
      <c r="AI700" s="25"/>
      <c r="AJ700" s="25"/>
      <c r="AK700" s="25"/>
      <c r="AL700" s="25"/>
      <c r="AM700" s="25"/>
      <c r="AN700" s="25"/>
      <c r="AO700" s="25"/>
    </row>
    <row r="701" spans="2:41" ht="15" customHeight="1" x14ac:dyDescent="0.2">
      <c r="B701" s="187"/>
      <c r="E701" s="134"/>
      <c r="F701" s="183"/>
      <c r="AG701" s="183" t="str">
        <f t="shared" si="0"/>
        <v/>
      </c>
      <c r="AI701" s="25"/>
      <c r="AJ701" s="25"/>
      <c r="AK701" s="25"/>
      <c r="AL701" s="25"/>
      <c r="AM701" s="25"/>
      <c r="AN701" s="25"/>
      <c r="AO701" s="25"/>
    </row>
    <row r="702" spans="2:41" ht="15" customHeight="1" x14ac:dyDescent="0.2">
      <c r="B702" s="187"/>
      <c r="E702" s="134"/>
      <c r="F702" s="183"/>
      <c r="AG702" s="183" t="str">
        <f t="shared" si="0"/>
        <v/>
      </c>
      <c r="AI702" s="25"/>
      <c r="AJ702" s="25"/>
      <c r="AK702" s="25"/>
      <c r="AL702" s="25"/>
      <c r="AM702" s="25"/>
      <c r="AN702" s="25"/>
      <c r="AO702" s="25"/>
    </row>
    <row r="703" spans="2:41" ht="15" customHeight="1" x14ac:dyDescent="0.2">
      <c r="B703" s="187"/>
      <c r="E703" s="134"/>
      <c r="F703" s="183"/>
      <c r="AG703" s="183" t="str">
        <f t="shared" si="0"/>
        <v/>
      </c>
      <c r="AI703" s="25"/>
      <c r="AJ703" s="25"/>
      <c r="AK703" s="25"/>
      <c r="AL703" s="25"/>
      <c r="AM703" s="25"/>
      <c r="AN703" s="25"/>
      <c r="AO703" s="25"/>
    </row>
    <row r="704" spans="2:41" ht="15" customHeight="1" x14ac:dyDescent="0.2">
      <c r="B704" s="187"/>
      <c r="E704" s="134"/>
      <c r="F704" s="183"/>
      <c r="AG704" s="183" t="str">
        <f t="shared" si="0"/>
        <v/>
      </c>
      <c r="AI704" s="25"/>
      <c r="AJ704" s="25"/>
      <c r="AK704" s="25"/>
      <c r="AL704" s="25"/>
      <c r="AM704" s="25"/>
      <c r="AN704" s="25"/>
      <c r="AO704" s="25"/>
    </row>
    <row r="705" spans="2:41" ht="15" customHeight="1" x14ac:dyDescent="0.2">
      <c r="B705" s="187"/>
      <c r="E705" s="134"/>
      <c r="F705" s="188"/>
      <c r="AG705" s="183" t="str">
        <f t="shared" si="0"/>
        <v/>
      </c>
      <c r="AI705" s="25"/>
      <c r="AJ705" s="25"/>
      <c r="AK705" s="25"/>
      <c r="AL705" s="25"/>
      <c r="AM705" s="25"/>
      <c r="AN705" s="25"/>
      <c r="AO705" s="25"/>
    </row>
    <row r="706" spans="2:41" ht="15" customHeight="1" x14ac:dyDescent="0.2">
      <c r="B706" s="187"/>
      <c r="E706" s="134"/>
      <c r="F706" s="183"/>
      <c r="AG706" s="183" t="str">
        <f t="shared" si="0"/>
        <v/>
      </c>
      <c r="AI706" s="25"/>
      <c r="AJ706" s="25"/>
      <c r="AK706" s="25"/>
      <c r="AL706" s="25"/>
      <c r="AM706" s="25"/>
      <c r="AN706" s="25"/>
      <c r="AO706" s="25"/>
    </row>
    <row r="707" spans="2:41" ht="15" customHeight="1" x14ac:dyDescent="0.2">
      <c r="B707" s="187"/>
      <c r="E707" s="134"/>
      <c r="F707" s="183"/>
      <c r="AG707" s="183" t="str">
        <f t="shared" si="0"/>
        <v/>
      </c>
      <c r="AI707" s="25"/>
      <c r="AJ707" s="25"/>
      <c r="AK707" s="25"/>
      <c r="AL707" s="25"/>
      <c r="AM707" s="25"/>
      <c r="AN707" s="25"/>
      <c r="AO707" s="25"/>
    </row>
    <row r="708" spans="2:41" ht="15" customHeight="1" x14ac:dyDescent="0.2">
      <c r="B708" s="187"/>
      <c r="E708" s="134"/>
      <c r="F708" s="183"/>
      <c r="AG708" s="183" t="str">
        <f t="shared" si="0"/>
        <v/>
      </c>
      <c r="AI708" s="25"/>
      <c r="AJ708" s="25"/>
      <c r="AK708" s="25"/>
      <c r="AL708" s="25"/>
      <c r="AM708" s="25"/>
      <c r="AN708" s="25"/>
      <c r="AO708" s="25"/>
    </row>
    <row r="709" spans="2:41" ht="15" customHeight="1" x14ac:dyDescent="0.2">
      <c r="B709" s="187"/>
      <c r="E709" s="134"/>
      <c r="F709" s="183"/>
      <c r="AG709" s="183" t="str">
        <f t="shared" si="0"/>
        <v/>
      </c>
      <c r="AI709" s="25"/>
      <c r="AJ709" s="25"/>
      <c r="AK709" s="25"/>
      <c r="AL709" s="25"/>
      <c r="AM709" s="25"/>
      <c r="AN709" s="25"/>
      <c r="AO709" s="25"/>
    </row>
    <row r="710" spans="2:41" ht="15" customHeight="1" x14ac:dyDescent="0.2">
      <c r="B710" s="187"/>
      <c r="E710" s="134"/>
      <c r="F710" s="183"/>
      <c r="AG710" s="183" t="str">
        <f t="shared" si="0"/>
        <v/>
      </c>
      <c r="AI710" s="25"/>
      <c r="AJ710" s="25"/>
      <c r="AK710" s="25"/>
      <c r="AL710" s="25"/>
      <c r="AM710" s="25"/>
      <c r="AN710" s="25"/>
      <c r="AO710" s="25"/>
    </row>
    <row r="711" spans="2:41" ht="15" customHeight="1" x14ac:dyDescent="0.2">
      <c r="B711" s="187"/>
      <c r="E711" s="134"/>
      <c r="F711" s="183"/>
      <c r="AG711" s="183" t="str">
        <f t="shared" si="0"/>
        <v/>
      </c>
      <c r="AI711" s="25"/>
      <c r="AJ711" s="25"/>
      <c r="AK711" s="25"/>
      <c r="AL711" s="25"/>
      <c r="AM711" s="25"/>
      <c r="AN711" s="25"/>
      <c r="AO711" s="25"/>
    </row>
    <row r="712" spans="2:41" ht="15" customHeight="1" x14ac:dyDescent="0.2">
      <c r="B712" s="187"/>
      <c r="E712" s="134"/>
      <c r="F712" s="183"/>
      <c r="AG712" s="183" t="str">
        <f t="shared" si="0"/>
        <v/>
      </c>
      <c r="AI712" s="25"/>
      <c r="AJ712" s="25"/>
      <c r="AK712" s="25"/>
      <c r="AL712" s="25"/>
      <c r="AM712" s="25"/>
      <c r="AN712" s="25"/>
      <c r="AO712" s="25"/>
    </row>
    <row r="713" spans="2:41" ht="15" customHeight="1" x14ac:dyDescent="0.2">
      <c r="B713" s="187"/>
      <c r="E713" s="134"/>
      <c r="F713" s="183"/>
      <c r="AG713" s="183" t="str">
        <f t="shared" si="0"/>
        <v/>
      </c>
      <c r="AI713" s="25"/>
      <c r="AJ713" s="25"/>
      <c r="AK713" s="25"/>
      <c r="AL713" s="25"/>
      <c r="AM713" s="25"/>
      <c r="AN713" s="25"/>
      <c r="AO713" s="25"/>
    </row>
    <row r="714" spans="2:41" ht="15" customHeight="1" x14ac:dyDescent="0.2">
      <c r="B714" s="187"/>
      <c r="E714" s="134"/>
      <c r="F714" s="183"/>
      <c r="AG714" s="183" t="str">
        <f t="shared" si="0"/>
        <v/>
      </c>
      <c r="AI714" s="25"/>
      <c r="AJ714" s="25"/>
      <c r="AK714" s="25"/>
      <c r="AL714" s="25"/>
      <c r="AM714" s="25"/>
      <c r="AN714" s="25"/>
      <c r="AO714" s="25"/>
    </row>
    <row r="715" spans="2:41" ht="15" customHeight="1" x14ac:dyDescent="0.2">
      <c r="B715" s="187"/>
      <c r="E715" s="134"/>
      <c r="F715" s="183"/>
      <c r="AG715" s="183" t="str">
        <f t="shared" ref="AG715:AG778" si="1">IF(F715&lt;&gt;"",SUM(G715:AE715), "")</f>
        <v/>
      </c>
      <c r="AI715" s="25"/>
      <c r="AJ715" s="25"/>
      <c r="AK715" s="25"/>
      <c r="AL715" s="25"/>
      <c r="AM715" s="25"/>
      <c r="AN715" s="25"/>
      <c r="AO715" s="25"/>
    </row>
    <row r="716" spans="2:41" ht="15" customHeight="1" x14ac:dyDescent="0.2">
      <c r="B716" s="187"/>
      <c r="E716" s="134"/>
      <c r="F716" s="183"/>
      <c r="AG716" s="183" t="str">
        <f t="shared" si="1"/>
        <v/>
      </c>
      <c r="AI716" s="25"/>
      <c r="AJ716" s="25"/>
      <c r="AK716" s="25"/>
      <c r="AL716" s="25"/>
      <c r="AM716" s="25"/>
      <c r="AN716" s="25"/>
      <c r="AO716" s="25"/>
    </row>
    <row r="717" spans="2:41" ht="15" customHeight="1" x14ac:dyDescent="0.2">
      <c r="B717" s="187"/>
      <c r="E717" s="134"/>
      <c r="F717" s="183"/>
      <c r="AG717" s="183" t="str">
        <f t="shared" si="1"/>
        <v/>
      </c>
      <c r="AI717" s="25"/>
      <c r="AJ717" s="25"/>
      <c r="AK717" s="25"/>
      <c r="AL717" s="25"/>
      <c r="AM717" s="25"/>
      <c r="AN717" s="25"/>
      <c r="AO717" s="25"/>
    </row>
    <row r="718" spans="2:41" ht="15" customHeight="1" x14ac:dyDescent="0.2">
      <c r="B718" s="187"/>
      <c r="E718" s="134"/>
      <c r="F718" s="183"/>
      <c r="AG718" s="183" t="str">
        <f t="shared" si="1"/>
        <v/>
      </c>
      <c r="AI718" s="25"/>
      <c r="AJ718" s="25"/>
      <c r="AK718" s="25"/>
      <c r="AL718" s="25"/>
      <c r="AM718" s="25"/>
      <c r="AN718" s="25"/>
      <c r="AO718" s="25"/>
    </row>
    <row r="719" spans="2:41" ht="15" customHeight="1" x14ac:dyDescent="0.2">
      <c r="B719" s="187"/>
      <c r="E719" s="134"/>
      <c r="F719" s="183"/>
      <c r="AG719" s="183" t="str">
        <f t="shared" si="1"/>
        <v/>
      </c>
      <c r="AI719" s="25"/>
      <c r="AJ719" s="25"/>
      <c r="AK719" s="25"/>
      <c r="AL719" s="25"/>
      <c r="AM719" s="25"/>
      <c r="AN719" s="25"/>
      <c r="AO719" s="25"/>
    </row>
    <row r="720" spans="2:41" ht="15" customHeight="1" x14ac:dyDescent="0.2">
      <c r="B720" s="187"/>
      <c r="E720" s="134"/>
      <c r="F720" s="183"/>
      <c r="AG720" s="183" t="str">
        <f t="shared" si="1"/>
        <v/>
      </c>
      <c r="AI720" s="25"/>
      <c r="AJ720" s="25"/>
      <c r="AK720" s="25"/>
      <c r="AL720" s="25"/>
      <c r="AM720" s="25"/>
      <c r="AN720" s="25"/>
      <c r="AO720" s="25"/>
    </row>
    <row r="721" spans="2:41" ht="15" customHeight="1" x14ac:dyDescent="0.2">
      <c r="B721" s="187"/>
      <c r="E721" s="134"/>
      <c r="F721" s="183"/>
      <c r="AG721" s="183" t="str">
        <f t="shared" si="1"/>
        <v/>
      </c>
      <c r="AI721" s="25"/>
      <c r="AJ721" s="25"/>
      <c r="AK721" s="25"/>
      <c r="AL721" s="25"/>
      <c r="AM721" s="25"/>
      <c r="AN721" s="25"/>
      <c r="AO721" s="25"/>
    </row>
    <row r="722" spans="2:41" ht="15" customHeight="1" x14ac:dyDescent="0.2">
      <c r="B722" s="187"/>
      <c r="E722" s="134"/>
      <c r="F722" s="183"/>
      <c r="AG722" s="183" t="str">
        <f t="shared" si="1"/>
        <v/>
      </c>
      <c r="AI722" s="25"/>
      <c r="AJ722" s="25"/>
      <c r="AK722" s="25"/>
      <c r="AL722" s="25"/>
      <c r="AM722" s="25"/>
      <c r="AN722" s="25"/>
      <c r="AO722" s="25"/>
    </row>
    <row r="723" spans="2:41" ht="15" customHeight="1" x14ac:dyDescent="0.2">
      <c r="B723" s="187"/>
      <c r="E723" s="134"/>
      <c r="F723" s="183"/>
      <c r="AG723" s="183" t="str">
        <f t="shared" si="1"/>
        <v/>
      </c>
      <c r="AI723" s="25"/>
      <c r="AJ723" s="25"/>
      <c r="AK723" s="25"/>
      <c r="AL723" s="25"/>
      <c r="AM723" s="25"/>
      <c r="AN723" s="25"/>
      <c r="AO723" s="25"/>
    </row>
    <row r="724" spans="2:41" ht="15" customHeight="1" x14ac:dyDescent="0.2">
      <c r="B724" s="187"/>
      <c r="E724" s="134"/>
      <c r="F724" s="183"/>
      <c r="AG724" s="183" t="str">
        <f t="shared" si="1"/>
        <v/>
      </c>
      <c r="AI724" s="25"/>
      <c r="AJ724" s="25"/>
      <c r="AK724" s="25"/>
      <c r="AL724" s="25"/>
      <c r="AM724" s="25"/>
      <c r="AN724" s="25"/>
      <c r="AO724" s="25"/>
    </row>
    <row r="725" spans="2:41" ht="15" customHeight="1" x14ac:dyDescent="0.2">
      <c r="B725" s="187"/>
      <c r="E725" s="134"/>
      <c r="F725" s="183"/>
      <c r="AG725" s="183" t="str">
        <f t="shared" si="1"/>
        <v/>
      </c>
      <c r="AI725" s="25"/>
      <c r="AJ725" s="25"/>
      <c r="AK725" s="25"/>
      <c r="AL725" s="25"/>
      <c r="AM725" s="25"/>
      <c r="AN725" s="25"/>
      <c r="AO725" s="25"/>
    </row>
    <row r="726" spans="2:41" ht="15" customHeight="1" x14ac:dyDescent="0.2">
      <c r="B726" s="187"/>
      <c r="E726" s="134"/>
      <c r="F726" s="183"/>
      <c r="AG726" s="183" t="str">
        <f t="shared" si="1"/>
        <v/>
      </c>
      <c r="AI726" s="25"/>
      <c r="AJ726" s="25"/>
      <c r="AK726" s="25"/>
      <c r="AL726" s="25"/>
      <c r="AM726" s="25"/>
      <c r="AN726" s="25"/>
      <c r="AO726" s="25"/>
    </row>
    <row r="727" spans="2:41" ht="15" customHeight="1" x14ac:dyDescent="0.2">
      <c r="B727" s="187"/>
      <c r="E727" s="134"/>
      <c r="F727" s="188"/>
      <c r="AG727" s="183" t="str">
        <f t="shared" si="1"/>
        <v/>
      </c>
      <c r="AI727" s="25"/>
      <c r="AJ727" s="25"/>
      <c r="AK727" s="25"/>
      <c r="AL727" s="25"/>
      <c r="AM727" s="25"/>
      <c r="AN727" s="25"/>
      <c r="AO727" s="25"/>
    </row>
    <row r="728" spans="2:41" ht="15" customHeight="1" x14ac:dyDescent="0.2">
      <c r="B728" s="187"/>
      <c r="E728" s="134"/>
      <c r="F728" s="188"/>
      <c r="AG728" s="183" t="str">
        <f t="shared" si="1"/>
        <v/>
      </c>
      <c r="AI728" s="25"/>
      <c r="AJ728" s="25"/>
      <c r="AK728" s="25"/>
      <c r="AL728" s="25"/>
      <c r="AM728" s="25"/>
      <c r="AN728" s="25"/>
      <c r="AO728" s="25"/>
    </row>
    <row r="729" spans="2:41" ht="15" customHeight="1" x14ac:dyDescent="0.2">
      <c r="B729" s="187"/>
      <c r="E729" s="134"/>
      <c r="F729" s="188"/>
      <c r="AG729" s="183" t="str">
        <f t="shared" si="1"/>
        <v/>
      </c>
      <c r="AI729" s="25"/>
      <c r="AJ729" s="25"/>
      <c r="AK729" s="25"/>
      <c r="AL729" s="25"/>
      <c r="AM729" s="25"/>
      <c r="AN729" s="25"/>
      <c r="AO729" s="25"/>
    </row>
    <row r="730" spans="2:41" ht="15" customHeight="1" x14ac:dyDescent="0.2">
      <c r="B730" s="187"/>
      <c r="E730" s="134"/>
      <c r="F730" s="183"/>
      <c r="AG730" s="183" t="str">
        <f t="shared" si="1"/>
        <v/>
      </c>
      <c r="AI730" s="25"/>
      <c r="AJ730" s="25"/>
      <c r="AK730" s="25"/>
      <c r="AL730" s="25"/>
      <c r="AM730" s="25"/>
      <c r="AN730" s="25"/>
      <c r="AO730" s="25"/>
    </row>
    <row r="731" spans="2:41" ht="15" customHeight="1" x14ac:dyDescent="0.2">
      <c r="B731" s="187"/>
      <c r="E731" s="134"/>
      <c r="F731" s="183"/>
      <c r="AG731" s="183" t="str">
        <f t="shared" si="1"/>
        <v/>
      </c>
      <c r="AI731" s="25"/>
      <c r="AJ731" s="25"/>
      <c r="AK731" s="25"/>
      <c r="AL731" s="25"/>
      <c r="AM731" s="25"/>
      <c r="AN731" s="25"/>
      <c r="AO731" s="25"/>
    </row>
    <row r="732" spans="2:41" ht="15" customHeight="1" x14ac:dyDescent="0.2">
      <c r="B732" s="187"/>
      <c r="E732" s="134"/>
      <c r="F732" s="183"/>
      <c r="AG732" s="183" t="str">
        <f t="shared" si="1"/>
        <v/>
      </c>
      <c r="AI732" s="25"/>
      <c r="AJ732" s="25"/>
      <c r="AK732" s="25"/>
      <c r="AL732" s="25"/>
      <c r="AM732" s="25"/>
      <c r="AN732" s="25"/>
      <c r="AO732" s="25"/>
    </row>
    <row r="733" spans="2:41" ht="15" customHeight="1" x14ac:dyDescent="0.2">
      <c r="B733" s="187"/>
      <c r="E733" s="134"/>
      <c r="F733" s="183"/>
      <c r="AG733" s="183" t="str">
        <f t="shared" si="1"/>
        <v/>
      </c>
      <c r="AI733" s="25"/>
      <c r="AJ733" s="25"/>
      <c r="AK733" s="25"/>
      <c r="AL733" s="25"/>
      <c r="AM733" s="25"/>
      <c r="AN733" s="25"/>
      <c r="AO733" s="25"/>
    </row>
    <row r="734" spans="2:41" ht="15" customHeight="1" x14ac:dyDescent="0.2">
      <c r="B734" s="187"/>
      <c r="E734" s="134"/>
      <c r="F734" s="183"/>
      <c r="AG734" s="183" t="str">
        <f t="shared" si="1"/>
        <v/>
      </c>
      <c r="AI734" s="25"/>
      <c r="AJ734" s="25"/>
      <c r="AK734" s="25"/>
      <c r="AL734" s="25"/>
      <c r="AM734" s="25"/>
      <c r="AN734" s="25"/>
      <c r="AO734" s="25"/>
    </row>
    <row r="735" spans="2:41" ht="15" customHeight="1" x14ac:dyDescent="0.2">
      <c r="B735" s="187"/>
      <c r="E735" s="134"/>
      <c r="F735" s="183"/>
      <c r="AG735" s="183" t="str">
        <f t="shared" si="1"/>
        <v/>
      </c>
      <c r="AI735" s="25"/>
      <c r="AJ735" s="25"/>
      <c r="AK735" s="25"/>
      <c r="AL735" s="25"/>
      <c r="AM735" s="25"/>
      <c r="AN735" s="25"/>
      <c r="AO735" s="25"/>
    </row>
    <row r="736" spans="2:41" ht="15" customHeight="1" x14ac:dyDescent="0.2">
      <c r="B736" s="187"/>
      <c r="E736" s="134"/>
      <c r="F736" s="183"/>
      <c r="AG736" s="183" t="str">
        <f t="shared" si="1"/>
        <v/>
      </c>
      <c r="AI736" s="25"/>
      <c r="AJ736" s="25"/>
      <c r="AK736" s="25"/>
      <c r="AL736" s="25"/>
      <c r="AM736" s="25"/>
      <c r="AN736" s="25"/>
      <c r="AO736" s="25"/>
    </row>
    <row r="737" spans="2:41" ht="15" customHeight="1" x14ac:dyDescent="0.2">
      <c r="B737" s="187"/>
      <c r="E737" s="134"/>
      <c r="F737" s="183"/>
      <c r="AG737" s="183" t="str">
        <f t="shared" si="1"/>
        <v/>
      </c>
      <c r="AI737" s="25"/>
      <c r="AJ737" s="25"/>
      <c r="AK737" s="25"/>
      <c r="AL737" s="25"/>
      <c r="AM737" s="25"/>
      <c r="AN737" s="25"/>
      <c r="AO737" s="25"/>
    </row>
    <row r="738" spans="2:41" ht="15" customHeight="1" x14ac:dyDescent="0.2">
      <c r="B738" s="187"/>
      <c r="E738" s="134"/>
      <c r="F738" s="183"/>
      <c r="AG738" s="183" t="str">
        <f t="shared" si="1"/>
        <v/>
      </c>
      <c r="AI738" s="25"/>
      <c r="AJ738" s="25"/>
      <c r="AK738" s="25"/>
      <c r="AL738" s="25"/>
      <c r="AM738" s="25"/>
      <c r="AN738" s="25"/>
      <c r="AO738" s="25"/>
    </row>
    <row r="739" spans="2:41" ht="15" customHeight="1" x14ac:dyDescent="0.2">
      <c r="B739" s="187"/>
      <c r="E739" s="134"/>
      <c r="F739" s="183"/>
      <c r="AG739" s="183" t="str">
        <f t="shared" si="1"/>
        <v/>
      </c>
      <c r="AI739" s="25"/>
      <c r="AJ739" s="25"/>
      <c r="AK739" s="25"/>
      <c r="AL739" s="25"/>
      <c r="AM739" s="25"/>
      <c r="AN739" s="25"/>
      <c r="AO739" s="25"/>
    </row>
    <row r="740" spans="2:41" ht="15" customHeight="1" x14ac:dyDescent="0.2">
      <c r="B740" s="187"/>
      <c r="E740" s="134"/>
      <c r="F740" s="183"/>
      <c r="AG740" s="183" t="str">
        <f t="shared" si="1"/>
        <v/>
      </c>
      <c r="AI740" s="25"/>
      <c r="AJ740" s="25"/>
      <c r="AK740" s="25"/>
      <c r="AL740" s="25"/>
      <c r="AM740" s="25"/>
      <c r="AN740" s="25"/>
      <c r="AO740" s="25"/>
    </row>
    <row r="741" spans="2:41" ht="15" customHeight="1" x14ac:dyDescent="0.2">
      <c r="B741" s="187"/>
      <c r="E741" s="134"/>
      <c r="F741" s="183"/>
      <c r="AG741" s="183" t="str">
        <f t="shared" si="1"/>
        <v/>
      </c>
      <c r="AI741" s="25"/>
      <c r="AJ741" s="25"/>
      <c r="AK741" s="25"/>
      <c r="AL741" s="25"/>
      <c r="AM741" s="25"/>
      <c r="AN741" s="25"/>
      <c r="AO741" s="25"/>
    </row>
    <row r="742" spans="2:41" ht="15" customHeight="1" x14ac:dyDescent="0.2">
      <c r="B742" s="187"/>
      <c r="E742" s="134"/>
      <c r="F742" s="183"/>
      <c r="AG742" s="183" t="str">
        <f t="shared" si="1"/>
        <v/>
      </c>
      <c r="AI742" s="25"/>
      <c r="AJ742" s="25"/>
      <c r="AK742" s="25"/>
      <c r="AL742" s="25"/>
      <c r="AM742" s="25"/>
      <c r="AN742" s="25"/>
      <c r="AO742" s="25"/>
    </row>
    <row r="743" spans="2:41" ht="15" customHeight="1" x14ac:dyDescent="0.2">
      <c r="B743" s="187"/>
      <c r="E743" s="134"/>
      <c r="F743" s="183"/>
      <c r="AG743" s="183" t="str">
        <f t="shared" si="1"/>
        <v/>
      </c>
      <c r="AI743" s="25"/>
      <c r="AJ743" s="25"/>
      <c r="AK743" s="25"/>
      <c r="AL743" s="25"/>
      <c r="AM743" s="25"/>
      <c r="AN743" s="25"/>
      <c r="AO743" s="25"/>
    </row>
    <row r="744" spans="2:41" ht="15" customHeight="1" x14ac:dyDescent="0.2">
      <c r="B744" s="187"/>
      <c r="E744" s="134"/>
      <c r="F744" s="183"/>
      <c r="AG744" s="183" t="str">
        <f t="shared" si="1"/>
        <v/>
      </c>
      <c r="AI744" s="25"/>
      <c r="AJ744" s="25"/>
      <c r="AK744" s="25"/>
      <c r="AL744" s="25"/>
      <c r="AM744" s="25"/>
      <c r="AN744" s="25"/>
      <c r="AO744" s="25"/>
    </row>
    <row r="745" spans="2:41" ht="15" customHeight="1" x14ac:dyDescent="0.2">
      <c r="B745" s="187"/>
      <c r="E745" s="134"/>
      <c r="F745" s="183"/>
      <c r="AG745" s="183" t="str">
        <f t="shared" si="1"/>
        <v/>
      </c>
      <c r="AI745" s="25"/>
      <c r="AJ745" s="25"/>
      <c r="AK745" s="25"/>
      <c r="AL745" s="25"/>
      <c r="AM745" s="25"/>
      <c r="AN745" s="25"/>
      <c r="AO745" s="25"/>
    </row>
    <row r="746" spans="2:41" ht="15" customHeight="1" x14ac:dyDescent="0.2">
      <c r="B746" s="187"/>
      <c r="E746" s="134"/>
      <c r="F746" s="183"/>
      <c r="AG746" s="183" t="str">
        <f t="shared" si="1"/>
        <v/>
      </c>
      <c r="AI746" s="25"/>
      <c r="AJ746" s="25"/>
      <c r="AK746" s="25"/>
      <c r="AL746" s="25"/>
      <c r="AM746" s="25"/>
      <c r="AN746" s="25"/>
      <c r="AO746" s="25"/>
    </row>
    <row r="747" spans="2:41" ht="15" customHeight="1" x14ac:dyDescent="0.2">
      <c r="B747" s="187"/>
      <c r="E747" s="134"/>
      <c r="F747" s="189"/>
      <c r="AG747" s="183" t="str">
        <f t="shared" si="1"/>
        <v/>
      </c>
      <c r="AI747" s="25"/>
      <c r="AJ747" s="25"/>
      <c r="AK747" s="25"/>
      <c r="AL747" s="25"/>
      <c r="AM747" s="25"/>
      <c r="AN747" s="25"/>
      <c r="AO747" s="25"/>
    </row>
    <row r="748" spans="2:41" ht="15" customHeight="1" x14ac:dyDescent="0.2">
      <c r="B748" s="187"/>
      <c r="E748" s="134"/>
      <c r="F748" s="188"/>
      <c r="AG748" s="183" t="str">
        <f t="shared" si="1"/>
        <v/>
      </c>
      <c r="AI748" s="25"/>
      <c r="AJ748" s="25"/>
      <c r="AK748" s="25"/>
      <c r="AL748" s="25"/>
      <c r="AM748" s="25"/>
      <c r="AN748" s="25"/>
      <c r="AO748" s="25"/>
    </row>
    <row r="749" spans="2:41" ht="15" customHeight="1" x14ac:dyDescent="0.2">
      <c r="B749" s="187"/>
      <c r="E749" s="134"/>
      <c r="F749" s="183"/>
      <c r="AG749" s="183" t="str">
        <f t="shared" si="1"/>
        <v/>
      </c>
      <c r="AI749" s="25"/>
      <c r="AJ749" s="25"/>
      <c r="AK749" s="25"/>
      <c r="AL749" s="25"/>
      <c r="AM749" s="25"/>
      <c r="AN749" s="25"/>
      <c r="AO749" s="25"/>
    </row>
    <row r="750" spans="2:41" ht="15" customHeight="1" x14ac:dyDescent="0.2">
      <c r="B750" s="187"/>
      <c r="E750" s="134"/>
      <c r="F750" s="188"/>
      <c r="AG750" s="183" t="str">
        <f t="shared" si="1"/>
        <v/>
      </c>
      <c r="AI750" s="25"/>
      <c r="AJ750" s="25"/>
      <c r="AK750" s="25"/>
      <c r="AL750" s="25"/>
      <c r="AM750" s="25"/>
      <c r="AN750" s="25"/>
      <c r="AO750" s="25"/>
    </row>
    <row r="751" spans="2:41" ht="15" customHeight="1" x14ac:dyDescent="0.2">
      <c r="B751" s="187"/>
      <c r="E751" s="134"/>
      <c r="F751" s="188"/>
      <c r="AG751" s="183" t="str">
        <f t="shared" si="1"/>
        <v/>
      </c>
      <c r="AI751" s="25"/>
      <c r="AJ751" s="25"/>
      <c r="AK751" s="25"/>
      <c r="AL751" s="25"/>
      <c r="AM751" s="25"/>
      <c r="AN751" s="25"/>
      <c r="AO751" s="25"/>
    </row>
    <row r="752" spans="2:41" ht="15" customHeight="1" x14ac:dyDescent="0.2">
      <c r="B752" s="187"/>
      <c r="E752" s="134"/>
      <c r="F752" s="183"/>
      <c r="AG752" s="183" t="str">
        <f t="shared" si="1"/>
        <v/>
      </c>
      <c r="AI752" s="25"/>
      <c r="AJ752" s="25"/>
      <c r="AK752" s="25"/>
      <c r="AL752" s="25"/>
      <c r="AM752" s="25"/>
      <c r="AN752" s="25"/>
      <c r="AO752" s="25"/>
    </row>
    <row r="753" spans="2:41" ht="15" customHeight="1" x14ac:dyDescent="0.2">
      <c r="B753" s="187"/>
      <c r="E753" s="134"/>
      <c r="F753" s="183"/>
      <c r="AG753" s="183" t="str">
        <f t="shared" si="1"/>
        <v/>
      </c>
      <c r="AI753" s="25"/>
      <c r="AJ753" s="25"/>
      <c r="AK753" s="25"/>
      <c r="AL753" s="25"/>
      <c r="AM753" s="25"/>
      <c r="AN753" s="25"/>
      <c r="AO753" s="25"/>
    </row>
    <row r="754" spans="2:41" ht="15" customHeight="1" x14ac:dyDescent="0.2">
      <c r="B754" s="187"/>
      <c r="E754" s="134"/>
      <c r="F754" s="183"/>
      <c r="AG754" s="183" t="str">
        <f t="shared" si="1"/>
        <v/>
      </c>
      <c r="AI754" s="25"/>
      <c r="AJ754" s="25"/>
      <c r="AK754" s="25"/>
      <c r="AL754" s="25"/>
      <c r="AM754" s="25"/>
      <c r="AN754" s="25"/>
      <c r="AO754" s="25"/>
    </row>
    <row r="755" spans="2:41" ht="15" customHeight="1" x14ac:dyDescent="0.2">
      <c r="B755" s="187"/>
      <c r="E755" s="134"/>
      <c r="F755" s="183"/>
      <c r="AG755" s="183" t="str">
        <f t="shared" si="1"/>
        <v/>
      </c>
      <c r="AI755" s="25"/>
      <c r="AJ755" s="25"/>
      <c r="AK755" s="25"/>
      <c r="AL755" s="25"/>
      <c r="AM755" s="25"/>
      <c r="AN755" s="25"/>
      <c r="AO755" s="25"/>
    </row>
    <row r="756" spans="2:41" ht="15" customHeight="1" x14ac:dyDescent="0.2">
      <c r="B756" s="187"/>
      <c r="E756" s="134"/>
      <c r="F756" s="183"/>
      <c r="AG756" s="183" t="str">
        <f t="shared" si="1"/>
        <v/>
      </c>
      <c r="AI756" s="25"/>
      <c r="AJ756" s="25"/>
      <c r="AK756" s="25"/>
      <c r="AL756" s="25"/>
      <c r="AM756" s="25"/>
      <c r="AN756" s="25"/>
      <c r="AO756" s="25"/>
    </row>
    <row r="757" spans="2:41" ht="15" customHeight="1" x14ac:dyDescent="0.2">
      <c r="B757" s="187"/>
      <c r="E757" s="134"/>
      <c r="F757" s="183"/>
      <c r="AG757" s="183" t="str">
        <f t="shared" si="1"/>
        <v/>
      </c>
      <c r="AI757" s="25"/>
      <c r="AJ757" s="25"/>
      <c r="AK757" s="25"/>
      <c r="AL757" s="25"/>
      <c r="AM757" s="25"/>
      <c r="AN757" s="25"/>
      <c r="AO757" s="25"/>
    </row>
    <row r="758" spans="2:41" ht="15" customHeight="1" x14ac:dyDescent="0.2">
      <c r="B758" s="187"/>
      <c r="E758" s="134"/>
      <c r="F758" s="183"/>
      <c r="AG758" s="183" t="str">
        <f t="shared" si="1"/>
        <v/>
      </c>
      <c r="AI758" s="25"/>
      <c r="AJ758" s="25"/>
      <c r="AK758" s="25"/>
      <c r="AL758" s="25"/>
      <c r="AM758" s="25"/>
      <c r="AN758" s="25"/>
      <c r="AO758" s="25"/>
    </row>
    <row r="759" spans="2:41" ht="15" customHeight="1" x14ac:dyDescent="0.2">
      <c r="B759" s="187"/>
      <c r="E759" s="134"/>
      <c r="F759" s="183"/>
      <c r="AG759" s="183" t="str">
        <f t="shared" si="1"/>
        <v/>
      </c>
      <c r="AI759" s="25"/>
      <c r="AJ759" s="25"/>
      <c r="AK759" s="25"/>
      <c r="AL759" s="25"/>
      <c r="AM759" s="25"/>
      <c r="AN759" s="25"/>
      <c r="AO759" s="25"/>
    </row>
    <row r="760" spans="2:41" ht="15" customHeight="1" x14ac:dyDescent="0.2">
      <c r="B760" s="187"/>
      <c r="E760" s="134"/>
      <c r="F760" s="183"/>
      <c r="AG760" s="183" t="str">
        <f t="shared" si="1"/>
        <v/>
      </c>
      <c r="AI760" s="25"/>
      <c r="AJ760" s="25"/>
      <c r="AK760" s="25"/>
      <c r="AL760" s="25"/>
      <c r="AM760" s="25"/>
      <c r="AN760" s="25"/>
      <c r="AO760" s="25"/>
    </row>
    <row r="761" spans="2:41" ht="15" customHeight="1" x14ac:dyDescent="0.2">
      <c r="B761" s="187"/>
      <c r="E761" s="134"/>
      <c r="F761" s="183"/>
      <c r="AG761" s="183" t="str">
        <f t="shared" si="1"/>
        <v/>
      </c>
      <c r="AI761" s="25"/>
      <c r="AJ761" s="25"/>
      <c r="AK761" s="25"/>
      <c r="AL761" s="25"/>
      <c r="AM761" s="25"/>
      <c r="AN761" s="25"/>
      <c r="AO761" s="25"/>
    </row>
    <row r="762" spans="2:41" ht="15" customHeight="1" x14ac:dyDescent="0.2">
      <c r="B762" s="187"/>
      <c r="E762" s="134"/>
      <c r="F762" s="192"/>
      <c r="AG762" s="183" t="str">
        <f t="shared" si="1"/>
        <v/>
      </c>
      <c r="AI762" s="25"/>
      <c r="AJ762" s="25"/>
      <c r="AK762" s="25"/>
      <c r="AL762" s="25"/>
      <c r="AM762" s="25"/>
      <c r="AN762" s="25"/>
      <c r="AO762" s="25"/>
    </row>
    <row r="763" spans="2:41" ht="15" customHeight="1" x14ac:dyDescent="0.2">
      <c r="B763" s="187"/>
      <c r="E763" s="134"/>
      <c r="F763" s="183"/>
      <c r="AG763" s="183" t="str">
        <f t="shared" si="1"/>
        <v/>
      </c>
      <c r="AI763" s="25"/>
      <c r="AJ763" s="25"/>
      <c r="AK763" s="25"/>
      <c r="AL763" s="25"/>
      <c r="AM763" s="25"/>
      <c r="AN763" s="25"/>
      <c r="AO763" s="25"/>
    </row>
    <row r="764" spans="2:41" ht="15" customHeight="1" x14ac:dyDescent="0.2">
      <c r="B764" s="187"/>
      <c r="E764" s="134"/>
      <c r="F764" s="183"/>
      <c r="AG764" s="183" t="str">
        <f t="shared" si="1"/>
        <v/>
      </c>
      <c r="AI764" s="25"/>
      <c r="AJ764" s="25"/>
      <c r="AK764" s="25"/>
      <c r="AL764" s="25"/>
      <c r="AM764" s="25"/>
      <c r="AN764" s="25"/>
      <c r="AO764" s="25"/>
    </row>
    <row r="765" spans="2:41" ht="15" customHeight="1" x14ac:dyDescent="0.2">
      <c r="B765" s="187"/>
      <c r="E765" s="134"/>
      <c r="F765" s="183"/>
      <c r="AG765" s="183" t="str">
        <f t="shared" si="1"/>
        <v/>
      </c>
      <c r="AI765" s="25"/>
      <c r="AJ765" s="25"/>
      <c r="AK765" s="25"/>
      <c r="AL765" s="25"/>
      <c r="AM765" s="25"/>
      <c r="AN765" s="25"/>
      <c r="AO765" s="25"/>
    </row>
    <row r="766" spans="2:41" ht="15" customHeight="1" x14ac:dyDescent="0.2">
      <c r="B766" s="187"/>
      <c r="E766" s="134"/>
      <c r="F766" s="183"/>
      <c r="AG766" s="183" t="str">
        <f t="shared" si="1"/>
        <v/>
      </c>
      <c r="AI766" s="25"/>
      <c r="AJ766" s="25"/>
      <c r="AK766" s="25"/>
      <c r="AL766" s="25"/>
      <c r="AM766" s="25"/>
      <c r="AN766" s="25"/>
      <c r="AO766" s="25"/>
    </row>
    <row r="767" spans="2:41" ht="15" customHeight="1" x14ac:dyDescent="0.2">
      <c r="B767" s="187"/>
      <c r="E767" s="134"/>
      <c r="F767" s="183"/>
      <c r="AG767" s="183" t="str">
        <f t="shared" si="1"/>
        <v/>
      </c>
      <c r="AI767" s="25"/>
      <c r="AJ767" s="25"/>
      <c r="AK767" s="25"/>
      <c r="AL767" s="25"/>
      <c r="AM767" s="25"/>
      <c r="AN767" s="25"/>
      <c r="AO767" s="25"/>
    </row>
    <row r="768" spans="2:41" ht="15" customHeight="1" x14ac:dyDescent="0.2">
      <c r="B768" s="187"/>
      <c r="E768" s="134"/>
      <c r="F768" s="183"/>
      <c r="AG768" s="183" t="str">
        <f t="shared" si="1"/>
        <v/>
      </c>
      <c r="AI768" s="25"/>
      <c r="AJ768" s="25"/>
      <c r="AK768" s="25"/>
      <c r="AL768" s="25"/>
      <c r="AM768" s="25"/>
      <c r="AN768" s="25"/>
      <c r="AO768" s="25"/>
    </row>
    <row r="769" spans="2:41" ht="15" customHeight="1" x14ac:dyDescent="0.2">
      <c r="B769" s="187"/>
      <c r="E769" s="134"/>
      <c r="F769" s="183"/>
      <c r="AG769" s="183" t="str">
        <f t="shared" si="1"/>
        <v/>
      </c>
      <c r="AI769" s="25"/>
      <c r="AJ769" s="25"/>
      <c r="AK769" s="25"/>
      <c r="AL769" s="25"/>
      <c r="AM769" s="25"/>
      <c r="AN769" s="25"/>
      <c r="AO769" s="25"/>
    </row>
    <row r="770" spans="2:41" ht="15" customHeight="1" x14ac:dyDescent="0.2">
      <c r="B770" s="187"/>
      <c r="E770" s="134"/>
      <c r="F770" s="183"/>
      <c r="AG770" s="183" t="str">
        <f t="shared" si="1"/>
        <v/>
      </c>
      <c r="AI770" s="25"/>
      <c r="AJ770" s="25"/>
      <c r="AK770" s="25"/>
      <c r="AL770" s="25"/>
      <c r="AM770" s="25"/>
      <c r="AN770" s="25"/>
      <c r="AO770" s="25"/>
    </row>
    <row r="771" spans="2:41" ht="15" customHeight="1" x14ac:dyDescent="0.2">
      <c r="B771" s="187"/>
      <c r="E771" s="134"/>
      <c r="F771" s="183"/>
      <c r="AG771" s="183" t="str">
        <f t="shared" si="1"/>
        <v/>
      </c>
      <c r="AI771" s="25"/>
      <c r="AJ771" s="25"/>
      <c r="AK771" s="25"/>
      <c r="AL771" s="25"/>
      <c r="AM771" s="25"/>
      <c r="AN771" s="25"/>
      <c r="AO771" s="25"/>
    </row>
    <row r="772" spans="2:41" ht="15" customHeight="1" x14ac:dyDescent="0.2">
      <c r="B772" s="187"/>
      <c r="E772" s="134"/>
      <c r="F772" s="188"/>
      <c r="AG772" s="183" t="str">
        <f t="shared" si="1"/>
        <v/>
      </c>
      <c r="AI772" s="25"/>
      <c r="AJ772" s="25"/>
      <c r="AK772" s="25"/>
      <c r="AL772" s="25"/>
      <c r="AM772" s="25"/>
      <c r="AN772" s="25"/>
      <c r="AO772" s="25"/>
    </row>
    <row r="773" spans="2:41" ht="15" customHeight="1" x14ac:dyDescent="0.2">
      <c r="B773" s="187"/>
      <c r="E773" s="134"/>
      <c r="F773" s="183"/>
      <c r="AG773" s="183" t="str">
        <f t="shared" si="1"/>
        <v/>
      </c>
      <c r="AI773" s="25"/>
      <c r="AJ773" s="25"/>
      <c r="AK773" s="25"/>
      <c r="AL773" s="25"/>
      <c r="AM773" s="25"/>
      <c r="AN773" s="25"/>
      <c r="AO773" s="25"/>
    </row>
    <row r="774" spans="2:41" ht="15" customHeight="1" x14ac:dyDescent="0.2">
      <c r="B774" s="187"/>
      <c r="E774" s="134"/>
      <c r="F774" s="183"/>
      <c r="AG774" s="183" t="str">
        <f t="shared" si="1"/>
        <v/>
      </c>
      <c r="AI774" s="25"/>
      <c r="AJ774" s="25"/>
      <c r="AK774" s="25"/>
      <c r="AL774" s="25"/>
      <c r="AM774" s="25"/>
      <c r="AN774" s="25"/>
      <c r="AO774" s="25"/>
    </row>
    <row r="775" spans="2:41" ht="15" customHeight="1" x14ac:dyDescent="0.2">
      <c r="B775" s="187"/>
      <c r="E775" s="134"/>
      <c r="F775" s="183"/>
      <c r="AG775" s="183" t="str">
        <f t="shared" si="1"/>
        <v/>
      </c>
      <c r="AI775" s="25"/>
      <c r="AJ775" s="25"/>
      <c r="AK775" s="25"/>
      <c r="AL775" s="25"/>
      <c r="AM775" s="25"/>
      <c r="AN775" s="25"/>
      <c r="AO775" s="25"/>
    </row>
    <row r="776" spans="2:41" ht="15" customHeight="1" x14ac:dyDescent="0.2">
      <c r="B776" s="187"/>
      <c r="E776" s="134"/>
      <c r="F776" s="183"/>
      <c r="AG776" s="183" t="str">
        <f t="shared" si="1"/>
        <v/>
      </c>
      <c r="AI776" s="25"/>
      <c r="AJ776" s="25"/>
      <c r="AK776" s="25"/>
      <c r="AL776" s="25"/>
      <c r="AM776" s="25"/>
      <c r="AN776" s="25"/>
      <c r="AO776" s="25"/>
    </row>
    <row r="777" spans="2:41" ht="15" customHeight="1" x14ac:dyDescent="0.2">
      <c r="B777" s="187"/>
      <c r="E777" s="134"/>
      <c r="F777" s="183"/>
      <c r="AG777" s="183" t="str">
        <f t="shared" si="1"/>
        <v/>
      </c>
      <c r="AI777" s="25"/>
      <c r="AJ777" s="25"/>
      <c r="AK777" s="25"/>
      <c r="AL777" s="25"/>
      <c r="AM777" s="25"/>
      <c r="AN777" s="25"/>
      <c r="AO777" s="25"/>
    </row>
    <row r="778" spans="2:41" ht="15" customHeight="1" x14ac:dyDescent="0.2">
      <c r="B778" s="187"/>
      <c r="E778" s="134"/>
      <c r="F778" s="183"/>
      <c r="AG778" s="183" t="str">
        <f t="shared" si="1"/>
        <v/>
      </c>
      <c r="AI778" s="25"/>
      <c r="AJ778" s="25"/>
      <c r="AK778" s="25"/>
      <c r="AL778" s="25"/>
      <c r="AM778" s="25"/>
      <c r="AN778" s="25"/>
      <c r="AO778" s="25"/>
    </row>
    <row r="779" spans="2:41" ht="15" customHeight="1" x14ac:dyDescent="0.2">
      <c r="B779" s="187"/>
      <c r="E779" s="134"/>
      <c r="F779" s="183"/>
      <c r="AG779" s="183" t="str">
        <f t="shared" ref="AG779:AG842" si="2">IF(F779&lt;&gt;"",SUM(G779:AE779), "")</f>
        <v/>
      </c>
      <c r="AI779" s="25"/>
      <c r="AJ779" s="25"/>
      <c r="AK779" s="25"/>
      <c r="AL779" s="25"/>
      <c r="AM779" s="25"/>
      <c r="AN779" s="25"/>
      <c r="AO779" s="25"/>
    </row>
    <row r="780" spans="2:41" ht="15" customHeight="1" x14ac:dyDescent="0.2">
      <c r="B780" s="187"/>
      <c r="E780" s="134"/>
      <c r="F780" s="183"/>
      <c r="AG780" s="183" t="str">
        <f t="shared" si="2"/>
        <v/>
      </c>
      <c r="AI780" s="25"/>
      <c r="AJ780" s="25"/>
      <c r="AK780" s="25"/>
      <c r="AL780" s="25"/>
      <c r="AM780" s="25"/>
      <c r="AN780" s="25"/>
      <c r="AO780" s="25"/>
    </row>
    <row r="781" spans="2:41" ht="15" customHeight="1" x14ac:dyDescent="0.2">
      <c r="B781" s="187"/>
      <c r="E781" s="134" t="str">
        <f>IF(F781="","",VLOOKUP(F781,All_LTMN_Lookups!J827:K2048,2))</f>
        <v/>
      </c>
      <c r="F781" s="183"/>
      <c r="AG781" s="183" t="str">
        <f t="shared" si="2"/>
        <v/>
      </c>
      <c r="AI781" s="25"/>
      <c r="AJ781" s="25"/>
      <c r="AK781" s="25"/>
      <c r="AL781" s="25"/>
      <c r="AM781" s="25"/>
      <c r="AN781" s="25"/>
      <c r="AO781" s="25"/>
    </row>
    <row r="782" spans="2:41" ht="15" customHeight="1" x14ac:dyDescent="0.2">
      <c r="B782" s="187"/>
      <c r="E782" s="134" t="str">
        <f>IF(F782="","",VLOOKUP(F782,All_LTMN_Lookups!J828:K2049,2))</f>
        <v/>
      </c>
      <c r="F782" s="183"/>
      <c r="AG782" s="183" t="str">
        <f t="shared" si="2"/>
        <v/>
      </c>
      <c r="AI782" s="25"/>
      <c r="AJ782" s="25"/>
      <c r="AK782" s="25"/>
      <c r="AL782" s="25"/>
      <c r="AM782" s="25"/>
      <c r="AN782" s="25"/>
      <c r="AO782" s="25"/>
    </row>
    <row r="783" spans="2:41" ht="15" customHeight="1" x14ac:dyDescent="0.2">
      <c r="B783" s="187"/>
      <c r="E783" s="134" t="str">
        <f>IF(F783="","",VLOOKUP(F783,All_LTMN_Lookups!J829:K2050,2))</f>
        <v/>
      </c>
      <c r="F783" s="183"/>
      <c r="AG783" s="183" t="str">
        <f t="shared" si="2"/>
        <v/>
      </c>
      <c r="AI783" s="25"/>
      <c r="AJ783" s="25"/>
      <c r="AK783" s="25"/>
      <c r="AL783" s="25"/>
      <c r="AM783" s="25"/>
      <c r="AN783" s="25"/>
      <c r="AO783" s="25"/>
    </row>
    <row r="784" spans="2:41" ht="15" customHeight="1" x14ac:dyDescent="0.2">
      <c r="B784" s="187"/>
      <c r="E784" s="134" t="str">
        <f>IF(F784="","",VLOOKUP(F784,All_LTMN_Lookups!J830:K2051,2))</f>
        <v/>
      </c>
      <c r="F784" s="183"/>
      <c r="AG784" s="183" t="str">
        <f t="shared" si="2"/>
        <v/>
      </c>
      <c r="AI784" s="25"/>
      <c r="AJ784" s="25"/>
      <c r="AK784" s="25"/>
      <c r="AL784" s="25"/>
      <c r="AM784" s="25"/>
      <c r="AN784" s="25"/>
      <c r="AO784" s="25"/>
    </row>
    <row r="785" spans="2:41" ht="15" customHeight="1" x14ac:dyDescent="0.2">
      <c r="B785" s="187"/>
      <c r="E785" s="134" t="str">
        <f>IF(F785="","",VLOOKUP(F785,All_LTMN_Lookups!J831:K2052,2))</f>
        <v/>
      </c>
      <c r="F785" s="183"/>
      <c r="AG785" s="183" t="str">
        <f t="shared" si="2"/>
        <v/>
      </c>
      <c r="AI785" s="25"/>
      <c r="AJ785" s="25"/>
      <c r="AK785" s="25"/>
      <c r="AL785" s="25"/>
      <c r="AM785" s="25"/>
      <c r="AN785" s="25"/>
      <c r="AO785" s="25"/>
    </row>
    <row r="786" spans="2:41" ht="15" customHeight="1" x14ac:dyDescent="0.2">
      <c r="B786" s="187"/>
      <c r="E786" s="134" t="str">
        <f>IF(F786="","",VLOOKUP(F786,All_LTMN_Lookups!J832:K2053,2))</f>
        <v/>
      </c>
      <c r="F786" s="192"/>
      <c r="AG786" s="183" t="str">
        <f t="shared" si="2"/>
        <v/>
      </c>
      <c r="AI786" s="25"/>
      <c r="AJ786" s="25"/>
      <c r="AK786" s="25"/>
      <c r="AL786" s="25"/>
      <c r="AM786" s="25"/>
      <c r="AN786" s="25"/>
      <c r="AO786" s="25"/>
    </row>
    <row r="787" spans="2:41" ht="15" customHeight="1" x14ac:dyDescent="0.2">
      <c r="B787" s="187"/>
      <c r="E787" s="134" t="str">
        <f>IF(F787="","",VLOOKUP(F787,All_LTMN_Lookups!J833:K2054,2))</f>
        <v/>
      </c>
      <c r="F787" s="183"/>
      <c r="AG787" s="183" t="str">
        <f t="shared" si="2"/>
        <v/>
      </c>
      <c r="AI787" s="25"/>
      <c r="AJ787" s="25"/>
      <c r="AK787" s="25"/>
      <c r="AL787" s="25"/>
      <c r="AM787" s="25"/>
      <c r="AN787" s="25"/>
      <c r="AO787" s="25"/>
    </row>
    <row r="788" spans="2:41" ht="15" customHeight="1" x14ac:dyDescent="0.2">
      <c r="B788" s="187"/>
      <c r="E788" s="134" t="str">
        <f>IF(F788="","",VLOOKUP(F788,All_LTMN_Lookups!J834:K2055,2))</f>
        <v/>
      </c>
      <c r="F788" s="183"/>
      <c r="AG788" s="183" t="str">
        <f t="shared" si="2"/>
        <v/>
      </c>
      <c r="AI788" s="25"/>
      <c r="AJ788" s="25"/>
      <c r="AK788" s="25"/>
      <c r="AL788" s="25"/>
      <c r="AM788" s="25"/>
      <c r="AN788" s="25"/>
      <c r="AO788" s="25"/>
    </row>
    <row r="789" spans="2:41" ht="15" customHeight="1" x14ac:dyDescent="0.2">
      <c r="B789" s="187"/>
      <c r="E789" s="134" t="str">
        <f>IF(F789="","",VLOOKUP(F789,All_LTMN_Lookups!J835:K2056,2))</f>
        <v/>
      </c>
      <c r="F789" s="183"/>
      <c r="AG789" s="183" t="str">
        <f t="shared" si="2"/>
        <v/>
      </c>
      <c r="AI789" s="25"/>
      <c r="AJ789" s="25"/>
      <c r="AK789" s="25"/>
      <c r="AL789" s="25"/>
      <c r="AM789" s="25"/>
      <c r="AN789" s="25"/>
      <c r="AO789" s="25"/>
    </row>
    <row r="790" spans="2:41" ht="15" customHeight="1" x14ac:dyDescent="0.2">
      <c r="B790" s="187"/>
      <c r="E790" s="134" t="str">
        <f>IF(F790="","",VLOOKUP(F790,All_LTMN_Lookups!J836:K2057,2))</f>
        <v/>
      </c>
      <c r="F790" s="183"/>
      <c r="AG790" s="183" t="str">
        <f t="shared" si="2"/>
        <v/>
      </c>
      <c r="AI790" s="25"/>
      <c r="AJ790" s="25"/>
      <c r="AK790" s="25"/>
      <c r="AL790" s="25"/>
      <c r="AM790" s="25"/>
      <c r="AN790" s="25"/>
      <c r="AO790" s="25"/>
    </row>
    <row r="791" spans="2:41" ht="15" customHeight="1" x14ac:dyDescent="0.2">
      <c r="B791" s="187"/>
      <c r="E791" s="134" t="str">
        <f>IF(F791="","",VLOOKUP(F791,All_LTMN_Lookups!J837:K2058,2))</f>
        <v/>
      </c>
      <c r="F791" s="183"/>
      <c r="AG791" s="183" t="str">
        <f t="shared" si="2"/>
        <v/>
      </c>
      <c r="AI791" s="25"/>
      <c r="AJ791" s="25"/>
      <c r="AK791" s="25"/>
      <c r="AL791" s="25"/>
      <c r="AM791" s="25"/>
      <c r="AN791" s="25"/>
      <c r="AO791" s="25"/>
    </row>
    <row r="792" spans="2:41" ht="15" customHeight="1" x14ac:dyDescent="0.2">
      <c r="B792" s="187"/>
      <c r="E792" s="134" t="str">
        <f>IF(F792="","",VLOOKUP(F792,All_LTMN_Lookups!J838:K2059,2))</f>
        <v/>
      </c>
      <c r="F792" s="183"/>
      <c r="AG792" s="183" t="str">
        <f t="shared" si="2"/>
        <v/>
      </c>
      <c r="AI792" s="25"/>
      <c r="AJ792" s="25"/>
      <c r="AK792" s="25"/>
      <c r="AL792" s="25"/>
      <c r="AM792" s="25"/>
      <c r="AN792" s="25"/>
      <c r="AO792" s="25"/>
    </row>
    <row r="793" spans="2:41" ht="15" customHeight="1" x14ac:dyDescent="0.2">
      <c r="B793" s="187"/>
      <c r="E793" s="134" t="str">
        <f>IF(F793="","",VLOOKUP(F793,All_LTMN_Lookups!J839:K2060,2))</f>
        <v/>
      </c>
      <c r="F793" s="183"/>
      <c r="AG793" s="183" t="str">
        <f t="shared" si="2"/>
        <v/>
      </c>
      <c r="AI793" s="25"/>
      <c r="AJ793" s="25"/>
      <c r="AK793" s="25"/>
      <c r="AL793" s="25"/>
      <c r="AM793" s="25"/>
      <c r="AN793" s="25"/>
      <c r="AO793" s="25"/>
    </row>
    <row r="794" spans="2:41" ht="15" customHeight="1" x14ac:dyDescent="0.2">
      <c r="B794" s="187"/>
      <c r="E794" s="134" t="str">
        <f>IF(F794="","",VLOOKUP(F794,All_LTMN_Lookups!J840:K2061,2))</f>
        <v/>
      </c>
      <c r="F794" s="183"/>
      <c r="AG794" s="183" t="str">
        <f t="shared" si="2"/>
        <v/>
      </c>
      <c r="AI794" s="25"/>
      <c r="AJ794" s="25"/>
      <c r="AK794" s="25"/>
      <c r="AL794" s="25"/>
      <c r="AM794" s="25"/>
      <c r="AN794" s="25"/>
      <c r="AO794" s="25"/>
    </row>
    <row r="795" spans="2:41" ht="15" customHeight="1" x14ac:dyDescent="0.2">
      <c r="B795" s="187"/>
      <c r="E795" s="134" t="str">
        <f>IF(F795="","",VLOOKUP(F795,All_LTMN_Lookups!J841:K2062,2))</f>
        <v/>
      </c>
      <c r="F795" s="183"/>
      <c r="AG795" s="183" t="str">
        <f t="shared" si="2"/>
        <v/>
      </c>
      <c r="AI795" s="25"/>
      <c r="AJ795" s="25"/>
      <c r="AK795" s="25"/>
      <c r="AL795" s="25"/>
      <c r="AM795" s="25"/>
      <c r="AN795" s="25"/>
      <c r="AO795" s="25"/>
    </row>
    <row r="796" spans="2:41" ht="15" customHeight="1" x14ac:dyDescent="0.2">
      <c r="B796" s="187"/>
      <c r="E796" s="134" t="str">
        <f>IF(F796="","",VLOOKUP(F796,All_LTMN_Lookups!J842:K2063,2))</f>
        <v/>
      </c>
      <c r="F796" s="183"/>
      <c r="AG796" s="183" t="str">
        <f t="shared" si="2"/>
        <v/>
      </c>
      <c r="AI796" s="25"/>
      <c r="AJ796" s="25"/>
      <c r="AK796" s="25"/>
      <c r="AL796" s="25"/>
      <c r="AM796" s="25"/>
      <c r="AN796" s="25"/>
      <c r="AO796" s="25"/>
    </row>
    <row r="797" spans="2:41" ht="15" customHeight="1" x14ac:dyDescent="0.2">
      <c r="B797" s="187"/>
      <c r="E797" s="134" t="str">
        <f>IF(F797="","",VLOOKUP(F797,All_LTMN_Lookups!J843:K2064,2))</f>
        <v/>
      </c>
      <c r="F797" s="183"/>
      <c r="AG797" s="183" t="str">
        <f t="shared" si="2"/>
        <v/>
      </c>
      <c r="AI797" s="25"/>
      <c r="AJ797" s="25"/>
      <c r="AK797" s="25"/>
      <c r="AL797" s="25"/>
      <c r="AM797" s="25"/>
      <c r="AN797" s="25"/>
      <c r="AO797" s="25"/>
    </row>
    <row r="798" spans="2:41" ht="15" customHeight="1" x14ac:dyDescent="0.2">
      <c r="B798" s="187"/>
      <c r="E798" s="134" t="str">
        <f>IF(F798="","",VLOOKUP(F798,All_LTMN_Lookups!J844:K2065,2))</f>
        <v/>
      </c>
      <c r="F798" s="192"/>
      <c r="AG798" s="183" t="str">
        <f t="shared" si="2"/>
        <v/>
      </c>
      <c r="AI798" s="25"/>
      <c r="AJ798" s="25"/>
      <c r="AK798" s="25"/>
      <c r="AL798" s="25"/>
      <c r="AM798" s="25"/>
      <c r="AN798" s="25"/>
      <c r="AO798" s="25"/>
    </row>
    <row r="799" spans="2:41" ht="15" customHeight="1" x14ac:dyDescent="0.2">
      <c r="B799" s="187"/>
      <c r="E799" s="134" t="str">
        <f>IF(F799="","",VLOOKUP(F799,All_LTMN_Lookups!J845:K2066,2))</f>
        <v/>
      </c>
      <c r="F799" s="183"/>
      <c r="AG799" s="183" t="str">
        <f t="shared" si="2"/>
        <v/>
      </c>
      <c r="AI799" s="25"/>
      <c r="AJ799" s="25"/>
      <c r="AK799" s="25"/>
      <c r="AL799" s="25"/>
      <c r="AM799" s="25"/>
      <c r="AN799" s="25"/>
      <c r="AO799" s="25"/>
    </row>
    <row r="800" spans="2:41" ht="15" customHeight="1" x14ac:dyDescent="0.2">
      <c r="B800" s="187"/>
      <c r="E800" s="134" t="str">
        <f>IF(F800="","",VLOOKUP(F800,All_LTMN_Lookups!J846:K2067,2))</f>
        <v/>
      </c>
      <c r="F800" s="183"/>
      <c r="AG800" s="183" t="str">
        <f t="shared" si="2"/>
        <v/>
      </c>
      <c r="AI800" s="25"/>
      <c r="AJ800" s="25"/>
      <c r="AK800" s="25"/>
      <c r="AL800" s="25"/>
      <c r="AM800" s="25"/>
      <c r="AN800" s="25"/>
      <c r="AO800" s="25"/>
    </row>
    <row r="801" spans="2:41" ht="15" customHeight="1" x14ac:dyDescent="0.2">
      <c r="B801" s="187"/>
      <c r="E801" s="134" t="str">
        <f>IF(F801="","",VLOOKUP(F801,All_LTMN_Lookups!J847:K2068,2))</f>
        <v/>
      </c>
      <c r="F801" s="183"/>
      <c r="AG801" s="183" t="str">
        <f t="shared" si="2"/>
        <v/>
      </c>
      <c r="AI801" s="25"/>
      <c r="AJ801" s="25"/>
      <c r="AK801" s="25"/>
      <c r="AL801" s="25"/>
      <c r="AM801" s="25"/>
      <c r="AN801" s="25"/>
      <c r="AO801" s="25"/>
    </row>
    <row r="802" spans="2:41" ht="15" customHeight="1" x14ac:dyDescent="0.2">
      <c r="B802" s="187"/>
      <c r="E802" s="134" t="str">
        <f>IF(F802="","",VLOOKUP(F802,All_LTMN_Lookups!J848:K2069,2))</f>
        <v/>
      </c>
      <c r="F802" s="183"/>
      <c r="AG802" s="183" t="str">
        <f t="shared" si="2"/>
        <v/>
      </c>
      <c r="AI802" s="25"/>
      <c r="AJ802" s="25"/>
      <c r="AK802" s="25"/>
      <c r="AL802" s="25"/>
      <c r="AM802" s="25"/>
      <c r="AN802" s="25"/>
      <c r="AO802" s="25"/>
    </row>
    <row r="803" spans="2:41" ht="15" customHeight="1" x14ac:dyDescent="0.2">
      <c r="B803" s="187"/>
      <c r="E803" s="134" t="str">
        <f>IF(F803="","",VLOOKUP(F803,All_LTMN_Lookups!J849:K2070,2))</f>
        <v/>
      </c>
      <c r="F803" s="183"/>
      <c r="AG803" s="183" t="str">
        <f t="shared" si="2"/>
        <v/>
      </c>
      <c r="AI803" s="25"/>
      <c r="AJ803" s="25"/>
      <c r="AK803" s="25"/>
      <c r="AL803" s="25"/>
      <c r="AM803" s="25"/>
      <c r="AN803" s="25"/>
      <c r="AO803" s="25"/>
    </row>
    <row r="804" spans="2:41" ht="15" customHeight="1" x14ac:dyDescent="0.2">
      <c r="B804" s="187"/>
      <c r="E804" s="134" t="str">
        <f>IF(F804="","",VLOOKUP(F804,All_LTMN_Lookups!J850:K2071,2))</f>
        <v/>
      </c>
      <c r="F804" s="183"/>
      <c r="AG804" s="183" t="str">
        <f t="shared" si="2"/>
        <v/>
      </c>
      <c r="AI804" s="25"/>
      <c r="AJ804" s="25"/>
      <c r="AK804" s="25"/>
      <c r="AL804" s="25"/>
      <c r="AM804" s="25"/>
      <c r="AN804" s="25"/>
      <c r="AO804" s="25"/>
    </row>
    <row r="805" spans="2:41" ht="15" customHeight="1" x14ac:dyDescent="0.2">
      <c r="B805" s="187"/>
      <c r="E805" s="134" t="str">
        <f>IF(F805="","",VLOOKUP(F805,All_LTMN_Lookups!J851:K2072,2))</f>
        <v/>
      </c>
      <c r="F805" s="183"/>
      <c r="AG805" s="183" t="str">
        <f t="shared" si="2"/>
        <v/>
      </c>
      <c r="AI805" s="25"/>
      <c r="AJ805" s="25"/>
      <c r="AK805" s="25"/>
      <c r="AL805" s="25"/>
      <c r="AM805" s="25"/>
      <c r="AN805" s="25"/>
      <c r="AO805" s="25"/>
    </row>
    <row r="806" spans="2:41" ht="15" customHeight="1" x14ac:dyDescent="0.2">
      <c r="B806" s="187"/>
      <c r="E806" s="134" t="str">
        <f>IF(F806="","",VLOOKUP(F806,All_LTMN_Lookups!J852:K2073,2))</f>
        <v/>
      </c>
      <c r="F806" s="183"/>
      <c r="AG806" s="183" t="str">
        <f t="shared" si="2"/>
        <v/>
      </c>
      <c r="AI806" s="25"/>
      <c r="AJ806" s="25"/>
      <c r="AK806" s="25"/>
      <c r="AL806" s="25"/>
      <c r="AM806" s="25"/>
      <c r="AN806" s="25"/>
      <c r="AO806" s="25"/>
    </row>
    <row r="807" spans="2:41" ht="15" customHeight="1" x14ac:dyDescent="0.2">
      <c r="B807" s="187"/>
      <c r="E807" s="134" t="str">
        <f>IF(F807="","",VLOOKUP(F807,All_LTMN_Lookups!J853:K2074,2))</f>
        <v/>
      </c>
      <c r="F807" s="183"/>
      <c r="AG807" s="183" t="str">
        <f t="shared" si="2"/>
        <v/>
      </c>
      <c r="AI807" s="25"/>
      <c r="AJ807" s="25"/>
      <c r="AK807" s="25"/>
      <c r="AL807" s="25"/>
      <c r="AM807" s="25"/>
      <c r="AN807" s="25"/>
      <c r="AO807" s="25"/>
    </row>
    <row r="808" spans="2:41" ht="15" customHeight="1" x14ac:dyDescent="0.2">
      <c r="B808" s="187"/>
      <c r="E808" s="134" t="str">
        <f>IF(F808="","",VLOOKUP(F808,All_LTMN_Lookups!J854:K2075,2))</f>
        <v/>
      </c>
      <c r="F808" s="183"/>
      <c r="AG808" s="183" t="str">
        <f t="shared" si="2"/>
        <v/>
      </c>
      <c r="AI808" s="25"/>
      <c r="AJ808" s="25"/>
      <c r="AK808" s="25"/>
      <c r="AL808" s="25"/>
      <c r="AM808" s="25"/>
      <c r="AN808" s="25"/>
      <c r="AO808" s="25"/>
    </row>
    <row r="809" spans="2:41" ht="15" customHeight="1" x14ac:dyDescent="0.2">
      <c r="B809" s="187"/>
      <c r="E809" s="134" t="str">
        <f>IF(F809="","",VLOOKUP(F809,All_LTMN_Lookups!J855:K2076,2))</f>
        <v/>
      </c>
      <c r="F809" s="183"/>
      <c r="AG809" s="183" t="str">
        <f t="shared" si="2"/>
        <v/>
      </c>
      <c r="AI809" s="25"/>
      <c r="AJ809" s="25"/>
      <c r="AK809" s="25"/>
      <c r="AL809" s="25"/>
      <c r="AM809" s="25"/>
      <c r="AN809" s="25"/>
      <c r="AO809" s="25"/>
    </row>
    <row r="810" spans="2:41" ht="15" customHeight="1" x14ac:dyDescent="0.2">
      <c r="B810" s="187"/>
      <c r="E810" s="134" t="str">
        <f>IF(F810="","",VLOOKUP(F810,All_LTMN_Lookups!J856:K2077,2))</f>
        <v/>
      </c>
      <c r="F810" s="183"/>
      <c r="AG810" s="183" t="str">
        <f t="shared" si="2"/>
        <v/>
      </c>
      <c r="AI810" s="25"/>
      <c r="AJ810" s="25"/>
      <c r="AK810" s="25"/>
      <c r="AL810" s="25"/>
      <c r="AM810" s="25"/>
      <c r="AN810" s="25"/>
      <c r="AO810" s="25"/>
    </row>
    <row r="811" spans="2:41" ht="15" customHeight="1" x14ac:dyDescent="0.2">
      <c r="B811" s="187"/>
      <c r="E811" s="134" t="str">
        <f>IF(F811="","",VLOOKUP(F811,All_LTMN_Lookups!J857:K2078,2))</f>
        <v/>
      </c>
      <c r="F811" s="183"/>
      <c r="AG811" s="183" t="str">
        <f t="shared" si="2"/>
        <v/>
      </c>
      <c r="AI811" s="25"/>
      <c r="AJ811" s="25"/>
      <c r="AK811" s="25"/>
      <c r="AL811" s="25"/>
      <c r="AM811" s="25"/>
      <c r="AN811" s="25"/>
      <c r="AO811" s="25"/>
    </row>
    <row r="812" spans="2:41" ht="15" customHeight="1" x14ac:dyDescent="0.2">
      <c r="B812" s="187"/>
      <c r="E812" s="134" t="str">
        <f>IF(F812="","",VLOOKUP(F812,All_LTMN_Lookups!J858:K2079,2))</f>
        <v/>
      </c>
      <c r="F812" s="183"/>
      <c r="AG812" s="183" t="str">
        <f t="shared" si="2"/>
        <v/>
      </c>
      <c r="AI812" s="25"/>
      <c r="AJ812" s="25"/>
      <c r="AK812" s="25"/>
      <c r="AL812" s="25"/>
      <c r="AM812" s="25"/>
      <c r="AN812" s="25"/>
      <c r="AO812" s="25"/>
    </row>
    <row r="813" spans="2:41" ht="15" customHeight="1" x14ac:dyDescent="0.2">
      <c r="B813" s="187"/>
      <c r="E813" s="134" t="str">
        <f>IF(F813="","",VLOOKUP(F813,All_LTMN_Lookups!J859:K2080,2))</f>
        <v/>
      </c>
      <c r="F813" s="183"/>
      <c r="AG813" s="183" t="str">
        <f t="shared" si="2"/>
        <v/>
      </c>
      <c r="AI813" s="25"/>
      <c r="AJ813" s="25"/>
      <c r="AK813" s="25"/>
      <c r="AL813" s="25"/>
      <c r="AM813" s="25"/>
      <c r="AN813" s="25"/>
      <c r="AO813" s="25"/>
    </row>
    <row r="814" spans="2:41" ht="15" customHeight="1" x14ac:dyDescent="0.2">
      <c r="B814" s="187"/>
      <c r="E814" s="134" t="str">
        <f>IF(F814="","",VLOOKUP(F814,All_LTMN_Lookups!J860:K2081,2))</f>
        <v/>
      </c>
      <c r="F814" s="183"/>
      <c r="AG814" s="183" t="str">
        <f t="shared" si="2"/>
        <v/>
      </c>
      <c r="AI814" s="25"/>
      <c r="AJ814" s="25"/>
      <c r="AK814" s="25"/>
      <c r="AL814" s="25"/>
      <c r="AM814" s="25"/>
      <c r="AN814" s="25"/>
      <c r="AO814" s="25"/>
    </row>
    <row r="815" spans="2:41" ht="15" customHeight="1" x14ac:dyDescent="0.2">
      <c r="B815" s="187"/>
      <c r="E815" s="134" t="str">
        <f>IF(F815="","",VLOOKUP(F815,All_LTMN_Lookups!J861:K2082,2))</f>
        <v/>
      </c>
      <c r="F815" s="183"/>
      <c r="AG815" s="183" t="str">
        <f t="shared" si="2"/>
        <v/>
      </c>
      <c r="AI815" s="25"/>
      <c r="AJ815" s="25"/>
      <c r="AK815" s="25"/>
      <c r="AL815" s="25"/>
      <c r="AM815" s="25"/>
      <c r="AN815" s="25"/>
      <c r="AO815" s="25"/>
    </row>
    <row r="816" spans="2:41" ht="15" customHeight="1" x14ac:dyDescent="0.2">
      <c r="B816" s="187"/>
      <c r="E816" s="134" t="str">
        <f>IF(F816="","",VLOOKUP(F816,All_LTMN_Lookups!J862:K2083,2))</f>
        <v/>
      </c>
      <c r="F816" s="183"/>
      <c r="AG816" s="183" t="str">
        <f t="shared" si="2"/>
        <v/>
      </c>
      <c r="AI816" s="25"/>
      <c r="AJ816" s="25"/>
      <c r="AK816" s="25"/>
      <c r="AL816" s="25"/>
      <c r="AM816" s="25"/>
      <c r="AN816" s="25"/>
      <c r="AO816" s="25"/>
    </row>
    <row r="817" spans="2:41" ht="15" customHeight="1" x14ac:dyDescent="0.2">
      <c r="B817" s="187"/>
      <c r="E817" s="134" t="str">
        <f>IF(F817="","",VLOOKUP(F817,All_LTMN_Lookups!J863:K2084,2))</f>
        <v/>
      </c>
      <c r="F817" s="183"/>
      <c r="AG817" s="183" t="str">
        <f t="shared" si="2"/>
        <v/>
      </c>
      <c r="AI817" s="25"/>
      <c r="AJ817" s="25"/>
      <c r="AK817" s="25"/>
      <c r="AL817" s="25"/>
      <c r="AM817" s="25"/>
      <c r="AN817" s="25"/>
      <c r="AO817" s="25"/>
    </row>
    <row r="818" spans="2:41" ht="15" customHeight="1" x14ac:dyDescent="0.2">
      <c r="B818" s="187"/>
      <c r="E818" s="134" t="str">
        <f>IF(F818="","",VLOOKUP(F818,All_LTMN_Lookups!J864:K2085,2))</f>
        <v/>
      </c>
      <c r="F818" s="183"/>
      <c r="AG818" s="183" t="str">
        <f t="shared" si="2"/>
        <v/>
      </c>
      <c r="AI818" s="25"/>
      <c r="AJ818" s="25"/>
      <c r="AK818" s="25"/>
      <c r="AL818" s="25"/>
      <c r="AM818" s="25"/>
      <c r="AN818" s="25"/>
      <c r="AO818" s="25"/>
    </row>
    <row r="819" spans="2:41" ht="15" customHeight="1" x14ac:dyDescent="0.2">
      <c r="B819" s="187"/>
      <c r="E819" s="134" t="str">
        <f>IF(F819="","",VLOOKUP(F819,All_LTMN_Lookups!J865:K2086,2))</f>
        <v/>
      </c>
      <c r="F819" s="183"/>
      <c r="AG819" s="183" t="str">
        <f t="shared" si="2"/>
        <v/>
      </c>
      <c r="AI819" s="25"/>
      <c r="AJ819" s="25"/>
      <c r="AK819" s="25"/>
      <c r="AL819" s="25"/>
      <c r="AM819" s="25"/>
      <c r="AN819" s="25"/>
      <c r="AO819" s="25"/>
    </row>
    <row r="820" spans="2:41" ht="15" customHeight="1" x14ac:dyDescent="0.2">
      <c r="B820" s="187"/>
      <c r="E820" s="134" t="str">
        <f>IF(F820="","",VLOOKUP(F820,All_LTMN_Lookups!J866:K2087,2))</f>
        <v/>
      </c>
      <c r="F820" s="183"/>
      <c r="AG820" s="183" t="str">
        <f t="shared" si="2"/>
        <v/>
      </c>
      <c r="AI820" s="25"/>
      <c r="AJ820" s="25"/>
      <c r="AK820" s="25"/>
      <c r="AL820" s="25"/>
      <c r="AM820" s="25"/>
      <c r="AN820" s="25"/>
      <c r="AO820" s="25"/>
    </row>
    <row r="821" spans="2:41" ht="15" customHeight="1" x14ac:dyDescent="0.2">
      <c r="B821" s="187"/>
      <c r="E821" s="134" t="str">
        <f>IF(F821="","",VLOOKUP(F821,All_LTMN_Lookups!J867:K2088,2))</f>
        <v/>
      </c>
      <c r="F821" s="183"/>
      <c r="AG821" s="183" t="str">
        <f t="shared" si="2"/>
        <v/>
      </c>
      <c r="AI821" s="25"/>
      <c r="AJ821" s="25"/>
      <c r="AK821" s="25"/>
      <c r="AL821" s="25"/>
      <c r="AM821" s="25"/>
      <c r="AN821" s="25"/>
      <c r="AO821" s="25"/>
    </row>
    <row r="822" spans="2:41" ht="15" customHeight="1" x14ac:dyDescent="0.2">
      <c r="B822" s="187"/>
      <c r="E822" s="134" t="str">
        <f>IF(F822="","",VLOOKUP(F822,All_LTMN_Lookups!J868:K2089,2))</f>
        <v/>
      </c>
      <c r="F822" s="183"/>
      <c r="AG822" s="183" t="str">
        <f t="shared" si="2"/>
        <v/>
      </c>
      <c r="AI822" s="25"/>
      <c r="AJ822" s="25"/>
      <c r="AK822" s="25"/>
      <c r="AL822" s="25"/>
      <c r="AM822" s="25"/>
      <c r="AN822" s="25"/>
      <c r="AO822" s="25"/>
    </row>
    <row r="823" spans="2:41" ht="15" customHeight="1" x14ac:dyDescent="0.2">
      <c r="B823" s="187"/>
      <c r="E823" s="134" t="str">
        <f>IF(F823="","",VLOOKUP(F823,All_LTMN_Lookups!J869:K2090,2))</f>
        <v/>
      </c>
      <c r="F823" s="183"/>
      <c r="AG823" s="183" t="str">
        <f t="shared" si="2"/>
        <v/>
      </c>
      <c r="AI823" s="25"/>
      <c r="AJ823" s="25"/>
      <c r="AK823" s="25"/>
      <c r="AL823" s="25"/>
      <c r="AM823" s="25"/>
      <c r="AN823" s="25"/>
      <c r="AO823" s="25"/>
    </row>
    <row r="824" spans="2:41" ht="15" customHeight="1" x14ac:dyDescent="0.2">
      <c r="B824" s="187"/>
      <c r="E824" s="134" t="str">
        <f>IF(F824="","",VLOOKUP(F824,All_LTMN_Lookups!J870:K2091,2))</f>
        <v/>
      </c>
      <c r="F824" s="183"/>
      <c r="AG824" s="183" t="str">
        <f t="shared" si="2"/>
        <v/>
      </c>
      <c r="AI824" s="25"/>
      <c r="AJ824" s="25"/>
      <c r="AK824" s="25"/>
      <c r="AL824" s="25"/>
      <c r="AM824" s="25"/>
      <c r="AN824" s="25"/>
      <c r="AO824" s="25"/>
    </row>
    <row r="825" spans="2:41" ht="15" customHeight="1" x14ac:dyDescent="0.2">
      <c r="B825" s="187"/>
      <c r="E825" s="134" t="str">
        <f>IF(F825="","",VLOOKUP(F825,All_LTMN_Lookups!J871:K2092,2))</f>
        <v/>
      </c>
      <c r="F825" s="183"/>
      <c r="AG825" s="183" t="str">
        <f t="shared" si="2"/>
        <v/>
      </c>
      <c r="AI825" s="25"/>
      <c r="AJ825" s="25"/>
      <c r="AK825" s="25"/>
      <c r="AL825" s="25"/>
      <c r="AM825" s="25"/>
      <c r="AN825" s="25"/>
      <c r="AO825" s="25"/>
    </row>
    <row r="826" spans="2:41" ht="15" customHeight="1" x14ac:dyDescent="0.2">
      <c r="B826" s="187"/>
      <c r="E826" s="134" t="str">
        <f>IF(F826="","",VLOOKUP(F826,All_LTMN_Lookups!J872:K2093,2))</f>
        <v/>
      </c>
      <c r="F826" s="183"/>
      <c r="AG826" s="183" t="str">
        <f t="shared" si="2"/>
        <v/>
      </c>
      <c r="AI826" s="25"/>
      <c r="AJ826" s="25"/>
      <c r="AK826" s="25"/>
      <c r="AL826" s="25"/>
      <c r="AM826" s="25"/>
      <c r="AN826" s="25"/>
      <c r="AO826" s="25"/>
    </row>
    <row r="827" spans="2:41" ht="15" customHeight="1" x14ac:dyDescent="0.2">
      <c r="B827" s="187"/>
      <c r="E827" s="134" t="str">
        <f>IF(F827="","",VLOOKUP(F827,All_LTMN_Lookups!J873:K2094,2))</f>
        <v/>
      </c>
      <c r="F827" s="183"/>
      <c r="AG827" s="183" t="str">
        <f t="shared" si="2"/>
        <v/>
      </c>
      <c r="AI827" s="25"/>
      <c r="AJ827" s="25"/>
      <c r="AK827" s="25"/>
      <c r="AL827" s="25"/>
      <c r="AM827" s="25"/>
      <c r="AN827" s="25"/>
      <c r="AO827" s="25"/>
    </row>
    <row r="828" spans="2:41" ht="15" customHeight="1" x14ac:dyDescent="0.2">
      <c r="B828" s="187"/>
      <c r="E828" s="134" t="str">
        <f>IF(F828="","",VLOOKUP(F828,All_LTMN_Lookups!J874:K2095,2))</f>
        <v/>
      </c>
      <c r="F828" s="183"/>
      <c r="AG828" s="183" t="str">
        <f t="shared" si="2"/>
        <v/>
      </c>
      <c r="AI828" s="25"/>
      <c r="AJ828" s="25"/>
      <c r="AK828" s="25"/>
      <c r="AL828" s="25"/>
      <c r="AM828" s="25"/>
      <c r="AN828" s="25"/>
      <c r="AO828" s="25"/>
    </row>
    <row r="829" spans="2:41" ht="15" customHeight="1" x14ac:dyDescent="0.2">
      <c r="B829" s="187"/>
      <c r="E829" s="134" t="str">
        <f>IF(F829="","",VLOOKUP(F829,All_LTMN_Lookups!J875:K2096,2))</f>
        <v/>
      </c>
      <c r="F829" s="183"/>
      <c r="AG829" s="183" t="str">
        <f t="shared" si="2"/>
        <v/>
      </c>
      <c r="AI829" s="25"/>
      <c r="AJ829" s="25"/>
      <c r="AK829" s="25"/>
      <c r="AL829" s="25"/>
      <c r="AM829" s="25"/>
      <c r="AN829" s="25"/>
      <c r="AO829" s="25"/>
    </row>
    <row r="830" spans="2:41" ht="15" customHeight="1" x14ac:dyDescent="0.2">
      <c r="B830" s="187"/>
      <c r="E830" s="134" t="str">
        <f>IF(F830="","",VLOOKUP(F830,All_LTMN_Lookups!J876:K2097,2))</f>
        <v/>
      </c>
      <c r="F830" s="183"/>
      <c r="AG830" s="183" t="str">
        <f t="shared" si="2"/>
        <v/>
      </c>
      <c r="AI830" s="25"/>
      <c r="AJ830" s="25"/>
      <c r="AK830" s="25"/>
      <c r="AL830" s="25"/>
      <c r="AM830" s="25"/>
      <c r="AN830" s="25"/>
      <c r="AO830" s="25"/>
    </row>
    <row r="831" spans="2:41" ht="15" customHeight="1" x14ac:dyDescent="0.2">
      <c r="B831" s="187"/>
      <c r="E831" s="134" t="str">
        <f>IF(F831="","",VLOOKUP(F831,All_LTMN_Lookups!J877:K2098,2))</f>
        <v/>
      </c>
      <c r="F831" s="183"/>
      <c r="AG831" s="183" t="str">
        <f t="shared" si="2"/>
        <v/>
      </c>
      <c r="AI831" s="25"/>
      <c r="AJ831" s="25"/>
      <c r="AK831" s="25"/>
      <c r="AL831" s="25"/>
      <c r="AM831" s="25"/>
      <c r="AN831" s="25"/>
      <c r="AO831" s="25"/>
    </row>
    <row r="832" spans="2:41" ht="15" customHeight="1" x14ac:dyDescent="0.2">
      <c r="B832" s="187"/>
      <c r="E832" s="134" t="str">
        <f>IF(F832="","",VLOOKUP(F832,All_LTMN_Lookups!J878:K2099,2))</f>
        <v/>
      </c>
      <c r="F832" s="183"/>
      <c r="AG832" s="183" t="str">
        <f t="shared" si="2"/>
        <v/>
      </c>
      <c r="AI832" s="25"/>
      <c r="AJ832" s="25"/>
      <c r="AK832" s="25"/>
      <c r="AL832" s="25"/>
      <c r="AM832" s="25"/>
      <c r="AN832" s="25"/>
      <c r="AO832" s="25"/>
    </row>
    <row r="833" spans="2:41" ht="15" customHeight="1" x14ac:dyDescent="0.2">
      <c r="B833" s="187"/>
      <c r="E833" s="134" t="str">
        <f>IF(F833="","",VLOOKUP(F833,All_LTMN_Lookups!J879:K2100,2))</f>
        <v/>
      </c>
      <c r="F833" s="188"/>
      <c r="AG833" s="183" t="str">
        <f t="shared" si="2"/>
        <v/>
      </c>
      <c r="AI833" s="25"/>
      <c r="AJ833" s="25"/>
      <c r="AK833" s="25"/>
      <c r="AL833" s="25"/>
      <c r="AM833" s="25"/>
      <c r="AN833" s="25"/>
      <c r="AO833" s="25"/>
    </row>
    <row r="834" spans="2:41" ht="15" customHeight="1" x14ac:dyDescent="0.2">
      <c r="B834" s="187"/>
      <c r="E834" s="134" t="str">
        <f>IF(F834="","",VLOOKUP(F834,All_LTMN_Lookups!J880:K2101,2))</f>
        <v/>
      </c>
      <c r="F834" s="188"/>
      <c r="AG834" s="183" t="str">
        <f t="shared" si="2"/>
        <v/>
      </c>
      <c r="AI834" s="25"/>
      <c r="AJ834" s="25"/>
      <c r="AK834" s="25"/>
      <c r="AL834" s="25"/>
      <c r="AM834" s="25"/>
      <c r="AN834" s="25"/>
      <c r="AO834" s="25"/>
    </row>
    <row r="835" spans="2:41" ht="15" customHeight="1" x14ac:dyDescent="0.2">
      <c r="B835" s="187"/>
      <c r="E835" s="134" t="str">
        <f>IF(F835="","",VLOOKUP(F835,All_LTMN_Lookups!J881:K2102,2))</f>
        <v/>
      </c>
      <c r="F835" s="183"/>
      <c r="AG835" s="183" t="str">
        <f t="shared" si="2"/>
        <v/>
      </c>
      <c r="AI835" s="25"/>
      <c r="AJ835" s="25"/>
      <c r="AK835" s="25"/>
      <c r="AL835" s="25"/>
      <c r="AM835" s="25"/>
      <c r="AN835" s="25"/>
      <c r="AO835" s="25"/>
    </row>
    <row r="836" spans="2:41" ht="15" customHeight="1" x14ac:dyDescent="0.2">
      <c r="B836" s="187"/>
      <c r="E836" s="134" t="str">
        <f>IF(F836="","",VLOOKUP(F836,All_LTMN_Lookups!J882:K2103,2))</f>
        <v/>
      </c>
      <c r="F836" s="183"/>
      <c r="AG836" s="183" t="str">
        <f t="shared" si="2"/>
        <v/>
      </c>
      <c r="AI836" s="25"/>
      <c r="AJ836" s="25"/>
      <c r="AK836" s="25"/>
      <c r="AL836" s="25"/>
      <c r="AM836" s="25"/>
      <c r="AN836" s="25"/>
      <c r="AO836" s="25"/>
    </row>
    <row r="837" spans="2:41" ht="15" customHeight="1" x14ac:dyDescent="0.2">
      <c r="B837" s="187"/>
      <c r="E837" s="134" t="str">
        <f>IF(F837="","",VLOOKUP(F837,All_LTMN_Lookups!J883:K2104,2))</f>
        <v/>
      </c>
      <c r="F837" s="183"/>
      <c r="AG837" s="183" t="str">
        <f t="shared" si="2"/>
        <v/>
      </c>
      <c r="AI837" s="25"/>
      <c r="AJ837" s="25"/>
      <c r="AK837" s="25"/>
      <c r="AL837" s="25"/>
      <c r="AM837" s="25"/>
      <c r="AN837" s="25"/>
      <c r="AO837" s="25"/>
    </row>
    <row r="838" spans="2:41" ht="15" customHeight="1" x14ac:dyDescent="0.2">
      <c r="B838" s="187"/>
      <c r="E838" s="134" t="str">
        <f>IF(F838="","",VLOOKUP(F838,All_LTMN_Lookups!J884:K2105,2))</f>
        <v/>
      </c>
      <c r="F838" s="183"/>
      <c r="AG838" s="183" t="str">
        <f t="shared" si="2"/>
        <v/>
      </c>
      <c r="AI838" s="25"/>
      <c r="AJ838" s="25"/>
      <c r="AK838" s="25"/>
      <c r="AL838" s="25"/>
      <c r="AM838" s="25"/>
      <c r="AN838" s="25"/>
      <c r="AO838" s="25"/>
    </row>
    <row r="839" spans="2:41" ht="15" customHeight="1" x14ac:dyDescent="0.2">
      <c r="B839" s="187"/>
      <c r="E839" s="134" t="str">
        <f>IF(F839="","",VLOOKUP(F839,All_LTMN_Lookups!J885:K2106,2))</f>
        <v/>
      </c>
      <c r="F839" s="183"/>
      <c r="AG839" s="183" t="str">
        <f t="shared" si="2"/>
        <v/>
      </c>
      <c r="AI839" s="25"/>
      <c r="AJ839" s="25"/>
      <c r="AK839" s="25"/>
      <c r="AL839" s="25"/>
      <c r="AM839" s="25"/>
      <c r="AN839" s="25"/>
      <c r="AO839" s="25"/>
    </row>
    <row r="840" spans="2:41" ht="15" customHeight="1" x14ac:dyDescent="0.2">
      <c r="B840" s="187"/>
      <c r="E840" s="134" t="str">
        <f>IF(F840="","",VLOOKUP(F840,All_LTMN_Lookups!J886:K2107,2))</f>
        <v/>
      </c>
      <c r="F840" s="183"/>
      <c r="AG840" s="183" t="str">
        <f t="shared" si="2"/>
        <v/>
      </c>
      <c r="AI840" s="25"/>
      <c r="AJ840" s="25"/>
      <c r="AK840" s="25"/>
      <c r="AL840" s="25"/>
      <c r="AM840" s="25"/>
      <c r="AN840" s="25"/>
      <c r="AO840" s="25"/>
    </row>
    <row r="841" spans="2:41" ht="15" customHeight="1" x14ac:dyDescent="0.2">
      <c r="B841" s="187"/>
      <c r="E841" s="134" t="str">
        <f>IF(F841="","",VLOOKUP(F841,All_LTMN_Lookups!J887:K2108,2))</f>
        <v/>
      </c>
      <c r="F841" s="183"/>
      <c r="AG841" s="183" t="str">
        <f t="shared" si="2"/>
        <v/>
      </c>
      <c r="AI841" s="25"/>
      <c r="AJ841" s="25"/>
      <c r="AK841" s="25"/>
      <c r="AL841" s="25"/>
      <c r="AM841" s="25"/>
      <c r="AN841" s="25"/>
      <c r="AO841" s="25"/>
    </row>
    <row r="842" spans="2:41" ht="15" customHeight="1" x14ac:dyDescent="0.2">
      <c r="B842" s="187"/>
      <c r="E842" s="134" t="str">
        <f>IF(F842="","",VLOOKUP(F842,All_LTMN_Lookups!J888:K2109,2))</f>
        <v/>
      </c>
      <c r="F842" s="183"/>
      <c r="AG842" s="183" t="str">
        <f t="shared" si="2"/>
        <v/>
      </c>
      <c r="AI842" s="25"/>
      <c r="AJ842" s="25"/>
      <c r="AK842" s="25"/>
      <c r="AL842" s="25"/>
      <c r="AM842" s="25"/>
      <c r="AN842" s="25"/>
      <c r="AO842" s="25"/>
    </row>
    <row r="843" spans="2:41" ht="15" customHeight="1" x14ac:dyDescent="0.2">
      <c r="B843" s="187"/>
      <c r="E843" s="134" t="str">
        <f>IF(F843="","",VLOOKUP(F843,All_LTMN_Lookups!J889:K2110,2))</f>
        <v/>
      </c>
      <c r="F843" s="183"/>
      <c r="AG843" s="183" t="str">
        <f t="shared" ref="AG843:AG906" si="3">IF(F843&lt;&gt;"",SUM(G843:AE843), "")</f>
        <v/>
      </c>
      <c r="AI843" s="25"/>
      <c r="AJ843" s="25"/>
      <c r="AK843" s="25"/>
      <c r="AL843" s="25"/>
      <c r="AM843" s="25"/>
      <c r="AN843" s="25"/>
      <c r="AO843" s="25"/>
    </row>
    <row r="844" spans="2:41" ht="15" customHeight="1" x14ac:dyDescent="0.2">
      <c r="B844" s="187"/>
      <c r="E844" s="134" t="str">
        <f>IF(F844="","",VLOOKUP(F844,All_LTMN_Lookups!J890:K2111,2))</f>
        <v/>
      </c>
      <c r="F844" s="183"/>
      <c r="AG844" s="183" t="str">
        <f t="shared" si="3"/>
        <v/>
      </c>
      <c r="AI844" s="25"/>
      <c r="AJ844" s="25"/>
      <c r="AK844" s="25"/>
      <c r="AL844" s="25"/>
      <c r="AM844" s="25"/>
      <c r="AN844" s="25"/>
      <c r="AO844" s="25"/>
    </row>
    <row r="845" spans="2:41" ht="15" customHeight="1" x14ac:dyDescent="0.2">
      <c r="B845" s="187"/>
      <c r="E845" s="134" t="str">
        <f>IF(F845="","",VLOOKUP(F845,All_LTMN_Lookups!J891:K2112,2))</f>
        <v/>
      </c>
      <c r="F845" s="183"/>
      <c r="AG845" s="183" t="str">
        <f t="shared" si="3"/>
        <v/>
      </c>
      <c r="AI845" s="25"/>
      <c r="AJ845" s="25"/>
      <c r="AK845" s="25"/>
      <c r="AL845" s="25"/>
      <c r="AM845" s="25"/>
      <c r="AN845" s="25"/>
      <c r="AO845" s="25"/>
    </row>
    <row r="846" spans="2:41" ht="15" customHeight="1" x14ac:dyDescent="0.2">
      <c r="B846" s="187"/>
      <c r="E846" s="134" t="str">
        <f>IF(F846="","",VLOOKUP(F846,All_LTMN_Lookups!J892:K2113,2))</f>
        <v/>
      </c>
      <c r="F846" s="183"/>
      <c r="AG846" s="183" t="str">
        <f t="shared" si="3"/>
        <v/>
      </c>
      <c r="AI846" s="25"/>
      <c r="AJ846" s="25"/>
      <c r="AK846" s="25"/>
      <c r="AL846" s="25"/>
      <c r="AM846" s="25"/>
      <c r="AN846" s="25"/>
      <c r="AO846" s="25"/>
    </row>
    <row r="847" spans="2:41" ht="15" customHeight="1" x14ac:dyDescent="0.2">
      <c r="B847" s="187"/>
      <c r="E847" s="134" t="str">
        <f>IF(F847="","",VLOOKUP(F847,All_LTMN_Lookups!J893:K2114,2))</f>
        <v/>
      </c>
      <c r="F847" s="188"/>
      <c r="AG847" s="183" t="str">
        <f t="shared" si="3"/>
        <v/>
      </c>
      <c r="AI847" s="25"/>
      <c r="AJ847" s="25"/>
      <c r="AK847" s="25"/>
      <c r="AL847" s="25"/>
      <c r="AM847" s="25"/>
      <c r="AN847" s="25"/>
      <c r="AO847" s="25"/>
    </row>
    <row r="848" spans="2:41" ht="15" customHeight="1" x14ac:dyDescent="0.2">
      <c r="B848" s="187"/>
      <c r="E848" s="134" t="str">
        <f>IF(F848="","",VLOOKUP(F848,All_LTMN_Lookups!J894:K2115,2))</f>
        <v/>
      </c>
      <c r="F848" s="188"/>
      <c r="AG848" s="183" t="str">
        <f t="shared" si="3"/>
        <v/>
      </c>
      <c r="AI848" s="25"/>
      <c r="AJ848" s="25"/>
      <c r="AK848" s="25"/>
      <c r="AL848" s="25"/>
      <c r="AM848" s="25"/>
      <c r="AN848" s="25"/>
      <c r="AO848" s="25"/>
    </row>
    <row r="849" spans="2:41" ht="15" customHeight="1" x14ac:dyDescent="0.2">
      <c r="B849" s="187"/>
      <c r="E849" s="134" t="str">
        <f>IF(F849="","",VLOOKUP(F849,All_LTMN_Lookups!J895:K2116,2))</f>
        <v/>
      </c>
      <c r="F849" s="183"/>
      <c r="AG849" s="183" t="str">
        <f t="shared" si="3"/>
        <v/>
      </c>
      <c r="AI849" s="25"/>
      <c r="AJ849" s="25"/>
      <c r="AK849" s="25"/>
      <c r="AL849" s="25"/>
      <c r="AM849" s="25"/>
      <c r="AN849" s="25"/>
      <c r="AO849" s="25"/>
    </row>
    <row r="850" spans="2:41" ht="15" customHeight="1" x14ac:dyDescent="0.2">
      <c r="B850" s="187"/>
      <c r="E850" s="134" t="str">
        <f>IF(F850="","",VLOOKUP(F850,All_LTMN_Lookups!J896:K2117,2))</f>
        <v/>
      </c>
      <c r="F850" s="183"/>
      <c r="AG850" s="183" t="str">
        <f t="shared" si="3"/>
        <v/>
      </c>
      <c r="AI850" s="25"/>
      <c r="AJ850" s="25"/>
      <c r="AK850" s="25"/>
      <c r="AL850" s="25"/>
      <c r="AM850" s="25"/>
      <c r="AN850" s="25"/>
      <c r="AO850" s="25"/>
    </row>
    <row r="851" spans="2:41" ht="15" customHeight="1" x14ac:dyDescent="0.2">
      <c r="B851" s="187"/>
      <c r="E851" s="134" t="str">
        <f>IF(F851="","",VLOOKUP(F851,All_LTMN_Lookups!J897:K2118,2))</f>
        <v/>
      </c>
      <c r="F851" s="183"/>
      <c r="AG851" s="183" t="str">
        <f t="shared" si="3"/>
        <v/>
      </c>
      <c r="AI851" s="25"/>
      <c r="AJ851" s="25"/>
      <c r="AK851" s="25"/>
      <c r="AL851" s="25"/>
      <c r="AM851" s="25"/>
      <c r="AN851" s="25"/>
      <c r="AO851" s="25"/>
    </row>
    <row r="852" spans="2:41" ht="15" customHeight="1" x14ac:dyDescent="0.2">
      <c r="B852" s="187"/>
      <c r="E852" s="134" t="str">
        <f>IF(F852="","",VLOOKUP(F852,All_LTMN_Lookups!J898:K2119,2))</f>
        <v/>
      </c>
      <c r="F852" s="183"/>
      <c r="AG852" s="183" t="str">
        <f t="shared" si="3"/>
        <v/>
      </c>
      <c r="AI852" s="25"/>
      <c r="AJ852" s="25"/>
      <c r="AK852" s="25"/>
      <c r="AL852" s="25"/>
      <c r="AM852" s="25"/>
      <c r="AN852" s="25"/>
      <c r="AO852" s="25"/>
    </row>
    <row r="853" spans="2:41" ht="15" customHeight="1" x14ac:dyDescent="0.2">
      <c r="B853" s="187"/>
      <c r="E853" s="134" t="str">
        <f>IF(F853="","",VLOOKUP(F853,All_LTMN_Lookups!J899:K2120,2))</f>
        <v/>
      </c>
      <c r="F853" s="183"/>
      <c r="AG853" s="183" t="str">
        <f t="shared" si="3"/>
        <v/>
      </c>
      <c r="AI853" s="25"/>
      <c r="AJ853" s="25"/>
      <c r="AK853" s="25"/>
      <c r="AL853" s="25"/>
      <c r="AM853" s="25"/>
      <c r="AN853" s="25"/>
      <c r="AO853" s="25"/>
    </row>
    <row r="854" spans="2:41" ht="15" customHeight="1" x14ac:dyDescent="0.2">
      <c r="B854" s="187"/>
      <c r="E854" s="134" t="str">
        <f>IF(F854="","",VLOOKUP(F854,All_LTMN_Lookups!J900:K2121,2))</f>
        <v/>
      </c>
      <c r="F854" s="183"/>
      <c r="AG854" s="183" t="str">
        <f t="shared" si="3"/>
        <v/>
      </c>
      <c r="AI854" s="25"/>
      <c r="AJ854" s="25"/>
      <c r="AK854" s="25"/>
      <c r="AL854" s="25"/>
      <c r="AM854" s="25"/>
      <c r="AN854" s="25"/>
      <c r="AO854" s="25"/>
    </row>
    <row r="855" spans="2:41" ht="15" customHeight="1" x14ac:dyDescent="0.2">
      <c r="B855" s="187"/>
      <c r="E855" s="134" t="str">
        <f>IF(F855="","",VLOOKUP(F855,All_LTMN_Lookups!J901:K2122,2))</f>
        <v/>
      </c>
      <c r="F855" s="183"/>
      <c r="AG855" s="183" t="str">
        <f t="shared" si="3"/>
        <v/>
      </c>
      <c r="AI855" s="25"/>
      <c r="AJ855" s="25"/>
      <c r="AK855" s="25"/>
      <c r="AL855" s="25"/>
      <c r="AM855" s="25"/>
      <c r="AN855" s="25"/>
      <c r="AO855" s="25"/>
    </row>
    <row r="856" spans="2:41" ht="15" customHeight="1" x14ac:dyDescent="0.2">
      <c r="B856" s="187"/>
      <c r="E856" s="134" t="str">
        <f>IF(F856="","",VLOOKUP(F856,All_LTMN_Lookups!J902:K2123,2))</f>
        <v/>
      </c>
      <c r="F856" s="183"/>
      <c r="AG856" s="183" t="str">
        <f t="shared" si="3"/>
        <v/>
      </c>
      <c r="AI856" s="25"/>
      <c r="AJ856" s="25"/>
      <c r="AK856" s="25"/>
      <c r="AL856" s="25"/>
      <c r="AM856" s="25"/>
      <c r="AN856" s="25"/>
      <c r="AO856" s="25"/>
    </row>
    <row r="857" spans="2:41" ht="15" customHeight="1" x14ac:dyDescent="0.2">
      <c r="B857" s="187"/>
      <c r="E857" s="134" t="str">
        <f>IF(F857="","",VLOOKUP(F857,All_LTMN_Lookups!J903:K2124,2))</f>
        <v/>
      </c>
      <c r="F857" s="183"/>
      <c r="AG857" s="183" t="str">
        <f t="shared" si="3"/>
        <v/>
      </c>
      <c r="AI857" s="25"/>
      <c r="AJ857" s="25"/>
      <c r="AK857" s="25"/>
      <c r="AL857" s="25"/>
      <c r="AM857" s="25"/>
      <c r="AN857" s="25"/>
      <c r="AO857" s="25"/>
    </row>
    <row r="858" spans="2:41" ht="15" customHeight="1" x14ac:dyDescent="0.2">
      <c r="B858" s="187"/>
      <c r="E858" s="134" t="str">
        <f>IF(F858="","",VLOOKUP(F858,All_LTMN_Lookups!J904:K2125,2))</f>
        <v/>
      </c>
      <c r="F858" s="183"/>
      <c r="AG858" s="183" t="str">
        <f t="shared" si="3"/>
        <v/>
      </c>
      <c r="AI858" s="25"/>
      <c r="AJ858" s="25"/>
      <c r="AK858" s="25"/>
      <c r="AL858" s="25"/>
      <c r="AM858" s="25"/>
      <c r="AN858" s="25"/>
      <c r="AO858" s="25"/>
    </row>
    <row r="859" spans="2:41" ht="15" customHeight="1" x14ac:dyDescent="0.2">
      <c r="B859" s="187"/>
      <c r="E859" s="134" t="str">
        <f>IF(F859="","",VLOOKUP(F859,All_LTMN_Lookups!J905:K2126,2))</f>
        <v/>
      </c>
      <c r="F859" s="183"/>
      <c r="AG859" s="183" t="str">
        <f t="shared" si="3"/>
        <v/>
      </c>
      <c r="AI859" s="25"/>
      <c r="AJ859" s="25"/>
      <c r="AK859" s="25"/>
      <c r="AL859" s="25"/>
      <c r="AM859" s="25"/>
      <c r="AN859" s="25"/>
      <c r="AO859" s="25"/>
    </row>
    <row r="860" spans="2:41" ht="15" customHeight="1" x14ac:dyDescent="0.2">
      <c r="B860" s="187"/>
      <c r="E860" s="134" t="str">
        <f>IF(F860="","",VLOOKUP(F860,All_LTMN_Lookups!J906:K2127,2))</f>
        <v/>
      </c>
      <c r="F860" s="183"/>
      <c r="AG860" s="183" t="str">
        <f t="shared" si="3"/>
        <v/>
      </c>
      <c r="AI860" s="25"/>
      <c r="AJ860" s="25"/>
      <c r="AK860" s="25"/>
      <c r="AL860" s="25"/>
      <c r="AM860" s="25"/>
      <c r="AN860" s="25"/>
      <c r="AO860" s="25"/>
    </row>
    <row r="861" spans="2:41" ht="15" customHeight="1" x14ac:dyDescent="0.2">
      <c r="B861" s="187"/>
      <c r="E861" s="134" t="str">
        <f>IF(F861="","",VLOOKUP(F861,All_LTMN_Lookups!J907:K2128,2))</f>
        <v/>
      </c>
      <c r="F861" s="183"/>
      <c r="AG861" s="183" t="str">
        <f t="shared" si="3"/>
        <v/>
      </c>
      <c r="AI861" s="25"/>
      <c r="AJ861" s="25"/>
      <c r="AK861" s="25"/>
      <c r="AL861" s="25"/>
      <c r="AM861" s="25"/>
      <c r="AN861" s="25"/>
      <c r="AO861" s="25"/>
    </row>
    <row r="862" spans="2:41" ht="15" customHeight="1" x14ac:dyDescent="0.2">
      <c r="B862" s="187"/>
      <c r="E862" s="134" t="str">
        <f>IF(F862="","",VLOOKUP(F862,All_LTMN_Lookups!J908:K2129,2))</f>
        <v/>
      </c>
      <c r="F862" s="188"/>
      <c r="AG862" s="183" t="str">
        <f t="shared" si="3"/>
        <v/>
      </c>
      <c r="AI862" s="25"/>
      <c r="AJ862" s="25"/>
      <c r="AK862" s="25"/>
      <c r="AL862" s="25"/>
      <c r="AM862" s="25"/>
      <c r="AN862" s="25"/>
      <c r="AO862" s="25"/>
    </row>
    <row r="863" spans="2:41" ht="15" customHeight="1" x14ac:dyDescent="0.2">
      <c r="B863" s="187"/>
      <c r="E863" s="134" t="str">
        <f>IF(F863="","",VLOOKUP(F863,All_LTMN_Lookups!J909:K2130,2))</f>
        <v/>
      </c>
      <c r="F863" s="188"/>
      <c r="AG863" s="183" t="str">
        <f t="shared" si="3"/>
        <v/>
      </c>
      <c r="AI863" s="25"/>
      <c r="AJ863" s="25"/>
      <c r="AK863" s="25"/>
      <c r="AL863" s="25"/>
      <c r="AM863" s="25"/>
      <c r="AN863" s="25"/>
      <c r="AO863" s="25"/>
    </row>
    <row r="864" spans="2:41" ht="15" customHeight="1" x14ac:dyDescent="0.2">
      <c r="B864" s="187"/>
      <c r="E864" s="134" t="str">
        <f>IF(F864="","",VLOOKUP(F864,All_LTMN_Lookups!J910:K2131,2))</f>
        <v/>
      </c>
      <c r="F864" s="183"/>
      <c r="AG864" s="183" t="str">
        <f t="shared" si="3"/>
        <v/>
      </c>
      <c r="AI864" s="25"/>
      <c r="AJ864" s="25"/>
      <c r="AK864" s="25"/>
      <c r="AL864" s="25"/>
      <c r="AM864" s="25"/>
      <c r="AN864" s="25"/>
      <c r="AO864" s="25"/>
    </row>
    <row r="865" spans="2:41" ht="15" customHeight="1" x14ac:dyDescent="0.2">
      <c r="B865" s="187"/>
      <c r="E865" s="134" t="str">
        <f>IF(F865="","",VLOOKUP(F865,All_LTMN_Lookups!J911:K2132,2))</f>
        <v/>
      </c>
      <c r="F865" s="183"/>
      <c r="AG865" s="183" t="str">
        <f t="shared" si="3"/>
        <v/>
      </c>
      <c r="AI865" s="25"/>
      <c r="AJ865" s="25"/>
      <c r="AK865" s="25"/>
      <c r="AL865" s="25"/>
      <c r="AM865" s="25"/>
      <c r="AN865" s="25"/>
      <c r="AO865" s="25"/>
    </row>
    <row r="866" spans="2:41" ht="15" customHeight="1" x14ac:dyDescent="0.2">
      <c r="B866" s="187"/>
      <c r="E866" s="134" t="str">
        <f>IF(F866="","",VLOOKUP(F866,All_LTMN_Lookups!J912:K2133,2))</f>
        <v/>
      </c>
      <c r="F866" s="183"/>
      <c r="AG866" s="183" t="str">
        <f t="shared" si="3"/>
        <v/>
      </c>
      <c r="AI866" s="25"/>
      <c r="AJ866" s="25"/>
      <c r="AK866" s="25"/>
      <c r="AL866" s="25"/>
      <c r="AM866" s="25"/>
      <c r="AN866" s="25"/>
      <c r="AO866" s="25"/>
    </row>
    <row r="867" spans="2:41" ht="15" customHeight="1" x14ac:dyDescent="0.2">
      <c r="B867" s="187"/>
      <c r="E867" s="134" t="str">
        <f>IF(F867="","",VLOOKUP(F867,All_LTMN_Lookups!J913:K2134,2))</f>
        <v/>
      </c>
      <c r="F867" s="183"/>
      <c r="AG867" s="183" t="str">
        <f t="shared" si="3"/>
        <v/>
      </c>
      <c r="AI867" s="25"/>
      <c r="AJ867" s="25"/>
      <c r="AK867" s="25"/>
      <c r="AL867" s="25"/>
      <c r="AM867" s="25"/>
      <c r="AN867" s="25"/>
      <c r="AO867" s="25"/>
    </row>
    <row r="868" spans="2:41" ht="15" customHeight="1" x14ac:dyDescent="0.2">
      <c r="B868" s="187"/>
      <c r="E868" s="134" t="str">
        <f>IF(F868="","",VLOOKUP(F868,All_LTMN_Lookups!J914:K2135,2))</f>
        <v/>
      </c>
      <c r="F868" s="183"/>
      <c r="AG868" s="183" t="str">
        <f t="shared" si="3"/>
        <v/>
      </c>
      <c r="AI868" s="25"/>
      <c r="AJ868" s="25"/>
      <c r="AK868" s="25"/>
      <c r="AL868" s="25"/>
      <c r="AM868" s="25"/>
      <c r="AN868" s="25"/>
      <c r="AO868" s="25"/>
    </row>
    <row r="869" spans="2:41" ht="15" customHeight="1" x14ac:dyDescent="0.2">
      <c r="B869" s="187"/>
      <c r="E869" s="134" t="str">
        <f>IF(F869="","",VLOOKUP(F869,All_LTMN_Lookups!J915:K2136,2))</f>
        <v/>
      </c>
      <c r="F869" s="183"/>
      <c r="AG869" s="183" t="str">
        <f t="shared" si="3"/>
        <v/>
      </c>
      <c r="AI869" s="25"/>
      <c r="AJ869" s="25"/>
      <c r="AK869" s="25"/>
      <c r="AL869" s="25"/>
      <c r="AM869" s="25"/>
      <c r="AN869" s="25"/>
      <c r="AO869" s="25"/>
    </row>
    <row r="870" spans="2:41" ht="15" customHeight="1" x14ac:dyDescent="0.2">
      <c r="B870" s="187"/>
      <c r="E870" s="134" t="str">
        <f>IF(F870="","",VLOOKUP(F870,All_LTMN_Lookups!J916:K2137,2))</f>
        <v/>
      </c>
      <c r="F870" s="183"/>
      <c r="AG870" s="183" t="str">
        <f t="shared" si="3"/>
        <v/>
      </c>
      <c r="AI870" s="25"/>
      <c r="AJ870" s="25"/>
      <c r="AK870" s="25"/>
      <c r="AL870" s="25"/>
      <c r="AM870" s="25"/>
      <c r="AN870" s="25"/>
      <c r="AO870" s="25"/>
    </row>
    <row r="871" spans="2:41" ht="15" customHeight="1" x14ac:dyDescent="0.2">
      <c r="B871" s="187"/>
      <c r="E871" s="134" t="str">
        <f>IF(F871="","",VLOOKUP(F871,All_LTMN_Lookups!J917:K2138,2))</f>
        <v/>
      </c>
      <c r="F871" s="183"/>
      <c r="AG871" s="183" t="str">
        <f t="shared" si="3"/>
        <v/>
      </c>
      <c r="AI871" s="25"/>
      <c r="AJ871" s="25"/>
      <c r="AK871" s="25"/>
      <c r="AL871" s="25"/>
      <c r="AM871" s="25"/>
      <c r="AN871" s="25"/>
      <c r="AO871" s="25"/>
    </row>
    <row r="872" spans="2:41" ht="15" customHeight="1" x14ac:dyDescent="0.2">
      <c r="B872" s="187"/>
      <c r="E872" s="134" t="str">
        <f>IF(F872="","",VLOOKUP(F872,All_LTMN_Lookups!J918:K2139,2))</f>
        <v/>
      </c>
      <c r="F872" s="183"/>
      <c r="AG872" s="183" t="str">
        <f t="shared" si="3"/>
        <v/>
      </c>
      <c r="AI872" s="25"/>
      <c r="AJ872" s="25"/>
      <c r="AK872" s="25"/>
      <c r="AL872" s="25"/>
      <c r="AM872" s="25"/>
      <c r="AN872" s="25"/>
      <c r="AO872" s="25"/>
    </row>
    <row r="873" spans="2:41" ht="15" customHeight="1" x14ac:dyDescent="0.2">
      <c r="B873" s="187"/>
      <c r="E873" s="134" t="str">
        <f>IF(F873="","",VLOOKUP(F873,All_LTMN_Lookups!J919:K2140,2))</f>
        <v/>
      </c>
      <c r="F873" s="183"/>
      <c r="AG873" s="183" t="str">
        <f t="shared" si="3"/>
        <v/>
      </c>
      <c r="AI873" s="25"/>
      <c r="AJ873" s="25"/>
      <c r="AK873" s="25"/>
      <c r="AL873" s="25"/>
      <c r="AM873" s="25"/>
      <c r="AN873" s="25"/>
      <c r="AO873" s="25"/>
    </row>
    <row r="874" spans="2:41" ht="15" customHeight="1" x14ac:dyDescent="0.2">
      <c r="B874" s="187"/>
      <c r="E874" s="134" t="str">
        <f>IF(F874="","",VLOOKUP(F874,All_LTMN_Lookups!J920:K2141,2))</f>
        <v/>
      </c>
      <c r="F874" s="183"/>
      <c r="AG874" s="183" t="str">
        <f t="shared" si="3"/>
        <v/>
      </c>
      <c r="AI874" s="25"/>
      <c r="AJ874" s="25"/>
      <c r="AK874" s="25"/>
      <c r="AL874" s="25"/>
      <c r="AM874" s="25"/>
      <c r="AN874" s="25"/>
      <c r="AO874" s="25"/>
    </row>
    <row r="875" spans="2:41" ht="15" customHeight="1" x14ac:dyDescent="0.2">
      <c r="B875" s="187"/>
      <c r="E875" s="134" t="str">
        <f>IF(F875="","",VLOOKUP(F875,All_LTMN_Lookups!J921:K2142,2))</f>
        <v/>
      </c>
      <c r="F875" s="183"/>
      <c r="AG875" s="183" t="str">
        <f t="shared" si="3"/>
        <v/>
      </c>
      <c r="AI875" s="25"/>
      <c r="AJ875" s="25"/>
      <c r="AK875" s="25"/>
      <c r="AL875" s="25"/>
      <c r="AM875" s="25"/>
      <c r="AN875" s="25"/>
      <c r="AO875" s="25"/>
    </row>
    <row r="876" spans="2:41" ht="15" customHeight="1" x14ac:dyDescent="0.2">
      <c r="B876" s="187"/>
      <c r="E876" s="134" t="str">
        <f>IF(F876="","",VLOOKUP(F876,All_LTMN_Lookups!J922:K2143,2))</f>
        <v/>
      </c>
      <c r="F876" s="183"/>
      <c r="AG876" s="183" t="str">
        <f t="shared" si="3"/>
        <v/>
      </c>
      <c r="AI876" s="25"/>
      <c r="AJ876" s="25"/>
      <c r="AK876" s="25"/>
      <c r="AL876" s="25"/>
      <c r="AM876" s="25"/>
      <c r="AN876" s="25"/>
      <c r="AO876" s="25"/>
    </row>
    <row r="877" spans="2:41" ht="15" customHeight="1" x14ac:dyDescent="0.2">
      <c r="B877" s="187"/>
      <c r="E877" s="134" t="str">
        <f>IF(F877="","",VLOOKUP(F877,All_LTMN_Lookups!J923:K2144,2))</f>
        <v/>
      </c>
      <c r="F877" s="183"/>
      <c r="AG877" s="183" t="str">
        <f t="shared" si="3"/>
        <v/>
      </c>
      <c r="AI877" s="25"/>
      <c r="AJ877" s="25"/>
      <c r="AK877" s="25"/>
      <c r="AL877" s="25"/>
      <c r="AM877" s="25"/>
      <c r="AN877" s="25"/>
      <c r="AO877" s="25"/>
    </row>
    <row r="878" spans="2:41" ht="15" customHeight="1" x14ac:dyDescent="0.2">
      <c r="B878" s="187"/>
      <c r="E878" s="134" t="str">
        <f>IF(F878="","",VLOOKUP(F878,All_LTMN_Lookups!J924:K2145,2))</f>
        <v/>
      </c>
      <c r="F878" s="183"/>
      <c r="AG878" s="183" t="str">
        <f t="shared" si="3"/>
        <v/>
      </c>
      <c r="AI878" s="25"/>
      <c r="AJ878" s="25"/>
      <c r="AK878" s="25"/>
      <c r="AL878" s="25"/>
      <c r="AM878" s="25"/>
      <c r="AN878" s="25"/>
      <c r="AO878" s="25"/>
    </row>
    <row r="879" spans="2:41" ht="15" customHeight="1" x14ac:dyDescent="0.2">
      <c r="B879" s="187"/>
      <c r="E879" s="134" t="str">
        <f>IF(F879="","",VLOOKUP(F879,All_LTMN_Lookups!J925:K2146,2))</f>
        <v/>
      </c>
      <c r="F879" s="183"/>
      <c r="AG879" s="183" t="str">
        <f t="shared" si="3"/>
        <v/>
      </c>
      <c r="AI879" s="25"/>
      <c r="AJ879" s="25"/>
      <c r="AK879" s="25"/>
      <c r="AL879" s="25"/>
      <c r="AM879" s="25"/>
      <c r="AN879" s="25"/>
      <c r="AO879" s="25"/>
    </row>
    <row r="880" spans="2:41" ht="15" customHeight="1" x14ac:dyDescent="0.2">
      <c r="B880" s="187"/>
      <c r="E880" s="134" t="str">
        <f>IF(F880="","",VLOOKUP(F880,All_LTMN_Lookups!J926:K2147,2))</f>
        <v/>
      </c>
      <c r="F880" s="183"/>
      <c r="AG880" s="183" t="str">
        <f t="shared" si="3"/>
        <v/>
      </c>
      <c r="AI880" s="25"/>
      <c r="AJ880" s="25"/>
      <c r="AK880" s="25"/>
      <c r="AL880" s="25"/>
      <c r="AM880" s="25"/>
      <c r="AN880" s="25"/>
      <c r="AO880" s="25"/>
    </row>
    <row r="881" spans="2:41" ht="15" customHeight="1" x14ac:dyDescent="0.2">
      <c r="B881" s="187"/>
      <c r="E881" s="134" t="str">
        <f>IF(F881="","",VLOOKUP(F881,All_LTMN_Lookups!J927:K2148,2))</f>
        <v/>
      </c>
      <c r="F881" s="183"/>
      <c r="AG881" s="183" t="str">
        <f t="shared" si="3"/>
        <v/>
      </c>
      <c r="AI881" s="25"/>
      <c r="AJ881" s="25"/>
      <c r="AK881" s="25"/>
      <c r="AL881" s="25"/>
      <c r="AM881" s="25"/>
      <c r="AN881" s="25"/>
      <c r="AO881" s="25"/>
    </row>
    <row r="882" spans="2:41" ht="15" customHeight="1" x14ac:dyDescent="0.2">
      <c r="B882" s="187"/>
      <c r="E882" s="134" t="str">
        <f>IF(F882="","",VLOOKUP(F882,All_LTMN_Lookups!J928:K2149,2))</f>
        <v/>
      </c>
      <c r="F882" s="183"/>
      <c r="AG882" s="183" t="str">
        <f t="shared" si="3"/>
        <v/>
      </c>
      <c r="AI882" s="25"/>
      <c r="AJ882" s="25"/>
      <c r="AK882" s="25"/>
      <c r="AL882" s="25"/>
      <c r="AM882" s="25"/>
      <c r="AN882" s="25"/>
      <c r="AO882" s="25"/>
    </row>
    <row r="883" spans="2:41" ht="15" customHeight="1" x14ac:dyDescent="0.2">
      <c r="B883" s="187"/>
      <c r="E883" s="134" t="str">
        <f>IF(F883="","",VLOOKUP(F883,All_LTMN_Lookups!J929:K2150,2))</f>
        <v/>
      </c>
      <c r="F883" s="183"/>
      <c r="AG883" s="183" t="str">
        <f t="shared" si="3"/>
        <v/>
      </c>
      <c r="AI883" s="25"/>
      <c r="AJ883" s="25"/>
      <c r="AK883" s="25"/>
      <c r="AL883" s="25"/>
      <c r="AM883" s="25"/>
      <c r="AN883" s="25"/>
      <c r="AO883" s="25"/>
    </row>
    <row r="884" spans="2:41" ht="15" customHeight="1" x14ac:dyDescent="0.2">
      <c r="B884" s="187"/>
      <c r="E884" s="134" t="str">
        <f>IF(F884="","",VLOOKUP(F884,All_LTMN_Lookups!J930:K2151,2))</f>
        <v/>
      </c>
      <c r="F884" s="183"/>
      <c r="AG884" s="183" t="str">
        <f t="shared" si="3"/>
        <v/>
      </c>
      <c r="AI884" s="25"/>
      <c r="AJ884" s="25"/>
      <c r="AK884" s="25"/>
      <c r="AL884" s="25"/>
      <c r="AM884" s="25"/>
      <c r="AN884" s="25"/>
      <c r="AO884" s="25"/>
    </row>
    <row r="885" spans="2:41" ht="15" customHeight="1" x14ac:dyDescent="0.2">
      <c r="B885" s="187"/>
      <c r="E885" s="134" t="str">
        <f>IF(F885="","",VLOOKUP(F885,All_LTMN_Lookups!J931:K2152,2))</f>
        <v/>
      </c>
      <c r="F885" s="183"/>
      <c r="AG885" s="183" t="str">
        <f t="shared" si="3"/>
        <v/>
      </c>
      <c r="AI885" s="25"/>
      <c r="AJ885" s="25"/>
      <c r="AK885" s="25"/>
      <c r="AL885" s="25"/>
      <c r="AM885" s="25"/>
      <c r="AN885" s="25"/>
      <c r="AO885" s="25"/>
    </row>
    <row r="886" spans="2:41" ht="15" customHeight="1" x14ac:dyDescent="0.2">
      <c r="B886" s="187"/>
      <c r="E886" s="134" t="str">
        <f>IF(F886="","",VLOOKUP(F886,All_LTMN_Lookups!J932:K2153,2))</f>
        <v/>
      </c>
      <c r="F886" s="188"/>
      <c r="AG886" s="183" t="str">
        <f t="shared" si="3"/>
        <v/>
      </c>
      <c r="AI886" s="25"/>
      <c r="AJ886" s="25"/>
      <c r="AK886" s="25"/>
      <c r="AL886" s="25"/>
      <c r="AM886" s="25"/>
      <c r="AN886" s="25"/>
      <c r="AO886" s="25"/>
    </row>
    <row r="887" spans="2:41" ht="15" customHeight="1" x14ac:dyDescent="0.2">
      <c r="B887" s="187"/>
      <c r="E887" s="134" t="str">
        <f>IF(F887="","",VLOOKUP(F887,All_LTMN_Lookups!J933:K2154,2))</f>
        <v/>
      </c>
      <c r="F887" s="188"/>
      <c r="AG887" s="183" t="str">
        <f t="shared" si="3"/>
        <v/>
      </c>
      <c r="AI887" s="25"/>
      <c r="AJ887" s="25"/>
      <c r="AK887" s="25"/>
      <c r="AL887" s="25"/>
      <c r="AM887" s="25"/>
      <c r="AN887" s="25"/>
      <c r="AO887" s="25"/>
    </row>
    <row r="888" spans="2:41" ht="15" customHeight="1" x14ac:dyDescent="0.2">
      <c r="B888" s="187"/>
      <c r="E888" s="134" t="str">
        <f>IF(F888="","",VLOOKUP(F888,All_LTMN_Lookups!J934:K2155,2))</f>
        <v/>
      </c>
      <c r="F888" s="188"/>
      <c r="AG888" s="183" t="str">
        <f t="shared" si="3"/>
        <v/>
      </c>
      <c r="AI888" s="25"/>
      <c r="AJ888" s="25"/>
      <c r="AK888" s="25"/>
      <c r="AL888" s="25"/>
      <c r="AM888" s="25"/>
      <c r="AN888" s="25"/>
      <c r="AO888" s="25"/>
    </row>
    <row r="889" spans="2:41" ht="15" customHeight="1" x14ac:dyDescent="0.2">
      <c r="B889" s="187"/>
      <c r="E889" s="134" t="str">
        <f>IF(F889="","",VLOOKUP(F889,All_LTMN_Lookups!J935:K2156,2))</f>
        <v/>
      </c>
      <c r="F889" s="188"/>
      <c r="AG889" s="183" t="str">
        <f t="shared" si="3"/>
        <v/>
      </c>
      <c r="AI889" s="25"/>
      <c r="AJ889" s="25"/>
      <c r="AK889" s="25"/>
      <c r="AL889" s="25"/>
      <c r="AM889" s="25"/>
      <c r="AN889" s="25"/>
      <c r="AO889" s="25"/>
    </row>
    <row r="890" spans="2:41" ht="15" customHeight="1" x14ac:dyDescent="0.2">
      <c r="B890" s="187"/>
      <c r="E890" s="134" t="str">
        <f>IF(F890="","",VLOOKUP(F890,All_LTMN_Lookups!J936:K2157,2))</f>
        <v/>
      </c>
      <c r="F890" s="183"/>
      <c r="AG890" s="183" t="str">
        <f t="shared" si="3"/>
        <v/>
      </c>
      <c r="AI890" s="25"/>
      <c r="AJ890" s="25"/>
      <c r="AK890" s="25"/>
      <c r="AL890" s="25"/>
      <c r="AM890" s="25"/>
      <c r="AN890" s="25"/>
      <c r="AO890" s="25"/>
    </row>
    <row r="891" spans="2:41" ht="15" customHeight="1" x14ac:dyDescent="0.2">
      <c r="B891" s="187"/>
      <c r="E891" s="134" t="str">
        <f>IF(F891="","",VLOOKUP(F891,All_LTMN_Lookups!J937:K2158,2))</f>
        <v/>
      </c>
      <c r="AG891" s="183" t="str">
        <f t="shared" si="3"/>
        <v/>
      </c>
      <c r="AI891" s="25"/>
      <c r="AJ891" s="25"/>
      <c r="AK891" s="25"/>
      <c r="AL891" s="25"/>
      <c r="AM891" s="25"/>
      <c r="AN891" s="25"/>
      <c r="AO891" s="25"/>
    </row>
    <row r="892" spans="2:41" ht="15" customHeight="1" x14ac:dyDescent="0.2">
      <c r="B892" s="187"/>
      <c r="E892" s="134" t="str">
        <f>IF(F892="","",VLOOKUP(F892,All_LTMN_Lookups!J938:K2159,2))</f>
        <v/>
      </c>
      <c r="AG892" s="183" t="str">
        <f t="shared" si="3"/>
        <v/>
      </c>
      <c r="AI892" s="25"/>
      <c r="AJ892" s="25"/>
      <c r="AK892" s="25"/>
      <c r="AL892" s="25"/>
      <c r="AM892" s="25"/>
      <c r="AN892" s="25"/>
      <c r="AO892" s="25"/>
    </row>
    <row r="893" spans="2:41" ht="15" customHeight="1" x14ac:dyDescent="0.2">
      <c r="B893" s="187"/>
      <c r="E893" s="134" t="str">
        <f>IF(F893="","",VLOOKUP(F893,All_LTMN_Lookups!J939:K2160,2))</f>
        <v/>
      </c>
      <c r="AG893" s="183" t="str">
        <f t="shared" si="3"/>
        <v/>
      </c>
      <c r="AI893" s="25"/>
      <c r="AJ893" s="25"/>
      <c r="AK893" s="25"/>
      <c r="AL893" s="25"/>
      <c r="AM893" s="25"/>
      <c r="AN893" s="25"/>
      <c r="AO893" s="25"/>
    </row>
    <row r="894" spans="2:41" ht="15" customHeight="1" x14ac:dyDescent="0.2">
      <c r="B894" s="187"/>
      <c r="E894" s="134" t="str">
        <f>IF(F894="","",VLOOKUP(F894,All_LTMN_Lookups!J940:K2161,2))</f>
        <v/>
      </c>
      <c r="AG894" s="183" t="str">
        <f t="shared" si="3"/>
        <v/>
      </c>
      <c r="AI894" s="25"/>
      <c r="AJ894" s="25"/>
      <c r="AK894" s="25"/>
      <c r="AL894" s="25"/>
      <c r="AM894" s="25"/>
      <c r="AN894" s="25"/>
      <c r="AO894" s="25"/>
    </row>
    <row r="895" spans="2:41" ht="15" customHeight="1" x14ac:dyDescent="0.2">
      <c r="B895" s="187"/>
      <c r="E895" s="134" t="str">
        <f>IF(F895="","",VLOOKUP(F895,All_LTMN_Lookups!J941:K2162,2))</f>
        <v/>
      </c>
      <c r="AG895" s="183" t="str">
        <f t="shared" si="3"/>
        <v/>
      </c>
      <c r="AI895" s="25"/>
      <c r="AJ895" s="25"/>
      <c r="AK895" s="25"/>
      <c r="AL895" s="25"/>
      <c r="AM895" s="25"/>
      <c r="AN895" s="25"/>
      <c r="AO895" s="25"/>
    </row>
    <row r="896" spans="2:41" ht="15" customHeight="1" x14ac:dyDescent="0.2">
      <c r="B896" s="187"/>
      <c r="E896" s="134" t="str">
        <f>IF(F896="","",VLOOKUP(F896,All_LTMN_Lookups!J942:K2163,2))</f>
        <v/>
      </c>
      <c r="AG896" s="183" t="str">
        <f t="shared" si="3"/>
        <v/>
      </c>
      <c r="AI896" s="25"/>
      <c r="AJ896" s="25"/>
      <c r="AK896" s="25"/>
      <c r="AL896" s="25"/>
      <c r="AM896" s="25"/>
      <c r="AN896" s="25"/>
      <c r="AO896" s="25"/>
    </row>
    <row r="897" spans="2:41" ht="15" customHeight="1" x14ac:dyDescent="0.2">
      <c r="B897" s="187"/>
      <c r="E897" s="134" t="str">
        <f>IF(F897="","",VLOOKUP(F897,All_LTMN_Lookups!J943:K2164,2))</f>
        <v/>
      </c>
      <c r="AG897" s="183" t="str">
        <f t="shared" si="3"/>
        <v/>
      </c>
      <c r="AI897" s="25"/>
      <c r="AJ897" s="25"/>
      <c r="AK897" s="25"/>
      <c r="AL897" s="25"/>
      <c r="AM897" s="25"/>
      <c r="AN897" s="25"/>
      <c r="AO897" s="25"/>
    </row>
    <row r="898" spans="2:41" ht="15" customHeight="1" x14ac:dyDescent="0.2">
      <c r="B898" s="187"/>
      <c r="E898" s="134" t="str">
        <f>IF(F898="","",VLOOKUP(F898,All_LTMN_Lookups!J944:K2165,2))</f>
        <v/>
      </c>
      <c r="AG898" s="183" t="str">
        <f t="shared" si="3"/>
        <v/>
      </c>
      <c r="AI898" s="25"/>
      <c r="AJ898" s="25"/>
      <c r="AK898" s="25"/>
      <c r="AL898" s="25"/>
      <c r="AM898" s="25"/>
      <c r="AN898" s="25"/>
      <c r="AO898" s="25"/>
    </row>
    <row r="899" spans="2:41" ht="15" customHeight="1" x14ac:dyDescent="0.2">
      <c r="B899" s="187"/>
      <c r="E899" s="134" t="str">
        <f>IF(F899="","",VLOOKUP(F899,All_LTMN_Lookups!J945:K2166,2))</f>
        <v/>
      </c>
      <c r="AG899" s="183" t="str">
        <f t="shared" si="3"/>
        <v/>
      </c>
      <c r="AI899" s="25"/>
      <c r="AJ899" s="25"/>
      <c r="AK899" s="25"/>
      <c r="AL899" s="25"/>
      <c r="AM899" s="25"/>
      <c r="AN899" s="25"/>
      <c r="AO899" s="25"/>
    </row>
    <row r="900" spans="2:41" ht="15" customHeight="1" x14ac:dyDescent="0.2">
      <c r="B900" s="187"/>
      <c r="E900" s="134" t="str">
        <f>IF(F900="","",VLOOKUP(F900,All_LTMN_Lookups!J946:K2167,2))</f>
        <v/>
      </c>
      <c r="AG900" s="183" t="str">
        <f t="shared" si="3"/>
        <v/>
      </c>
      <c r="AI900" s="25"/>
      <c r="AJ900" s="25"/>
      <c r="AK900" s="25"/>
      <c r="AL900" s="25"/>
      <c r="AM900" s="25"/>
      <c r="AN900" s="25"/>
      <c r="AO900" s="25"/>
    </row>
    <row r="901" spans="2:41" ht="15" customHeight="1" x14ac:dyDescent="0.2">
      <c r="B901" s="187"/>
      <c r="E901" s="134" t="str">
        <f>IF(F901="","",VLOOKUP(F901,All_LTMN_Lookups!J947:K2168,2))</f>
        <v/>
      </c>
      <c r="AG901" s="183" t="str">
        <f t="shared" si="3"/>
        <v/>
      </c>
      <c r="AI901" s="25"/>
      <c r="AJ901" s="25"/>
      <c r="AK901" s="25"/>
      <c r="AL901" s="25"/>
      <c r="AM901" s="25"/>
      <c r="AN901" s="25"/>
      <c r="AO901" s="25"/>
    </row>
    <row r="902" spans="2:41" ht="15" customHeight="1" x14ac:dyDescent="0.2">
      <c r="B902" s="187"/>
      <c r="E902" s="134" t="str">
        <f>IF(F902="","",VLOOKUP(F902,All_LTMN_Lookups!J948:K2169,2))</f>
        <v/>
      </c>
      <c r="AG902" s="183" t="str">
        <f t="shared" si="3"/>
        <v/>
      </c>
      <c r="AI902" s="25"/>
      <c r="AJ902" s="25"/>
      <c r="AK902" s="25"/>
      <c r="AL902" s="25"/>
      <c r="AM902" s="25"/>
      <c r="AN902" s="25"/>
      <c r="AO902" s="25"/>
    </row>
    <row r="903" spans="2:41" ht="15" customHeight="1" x14ac:dyDescent="0.2">
      <c r="B903" s="187"/>
      <c r="E903" s="134" t="str">
        <f>IF(F903="","",VLOOKUP(F903,All_LTMN_Lookups!J949:K2170,2))</f>
        <v/>
      </c>
      <c r="AG903" s="183" t="str">
        <f t="shared" si="3"/>
        <v/>
      </c>
      <c r="AI903" s="25"/>
      <c r="AJ903" s="25"/>
      <c r="AK903" s="25"/>
      <c r="AL903" s="25"/>
      <c r="AM903" s="25"/>
      <c r="AN903" s="25"/>
      <c r="AO903" s="25"/>
    </row>
    <row r="904" spans="2:41" ht="15" customHeight="1" x14ac:dyDescent="0.2">
      <c r="B904" s="187"/>
      <c r="E904" s="134" t="str">
        <f>IF(F904="","",VLOOKUP(F904,All_LTMN_Lookups!J950:K2171,2))</f>
        <v/>
      </c>
      <c r="AG904" s="183" t="str">
        <f t="shared" si="3"/>
        <v/>
      </c>
      <c r="AI904" s="25"/>
      <c r="AJ904" s="25"/>
      <c r="AK904" s="25"/>
      <c r="AL904" s="25"/>
      <c r="AM904" s="25"/>
      <c r="AN904" s="25"/>
      <c r="AO904" s="25"/>
    </row>
    <row r="905" spans="2:41" ht="15" customHeight="1" x14ac:dyDescent="0.2">
      <c r="B905" s="187"/>
      <c r="E905" s="134" t="str">
        <f>IF(F905="","",VLOOKUP(F905,All_LTMN_Lookups!J951:K2172,2))</f>
        <v/>
      </c>
      <c r="AG905" s="183" t="str">
        <f t="shared" si="3"/>
        <v/>
      </c>
      <c r="AI905" s="25"/>
      <c r="AJ905" s="25"/>
      <c r="AK905" s="25"/>
      <c r="AL905" s="25"/>
      <c r="AM905" s="25"/>
      <c r="AN905" s="25"/>
      <c r="AO905" s="25"/>
    </row>
    <row r="906" spans="2:41" ht="15" customHeight="1" x14ac:dyDescent="0.2">
      <c r="B906" s="187"/>
      <c r="E906" s="134" t="str">
        <f>IF(F906="","",VLOOKUP(F906,All_LTMN_Lookups!J952:K2173,2))</f>
        <v/>
      </c>
      <c r="AG906" s="183" t="str">
        <f t="shared" si="3"/>
        <v/>
      </c>
      <c r="AI906" s="25"/>
      <c r="AJ906" s="25"/>
      <c r="AK906" s="25"/>
      <c r="AL906" s="25"/>
      <c r="AM906" s="25"/>
      <c r="AN906" s="25"/>
      <c r="AO906" s="25"/>
    </row>
    <row r="907" spans="2:41" ht="15" customHeight="1" x14ac:dyDescent="0.2">
      <c r="B907" s="187"/>
      <c r="E907" s="134" t="str">
        <f>IF(F907="","",VLOOKUP(F907,All_LTMN_Lookups!J953:K2174,2))</f>
        <v/>
      </c>
      <c r="AG907" s="183" t="str">
        <f t="shared" ref="AG907:AG970" si="4">IF(F907&lt;&gt;"",SUM(G907:AE907), "")</f>
        <v/>
      </c>
      <c r="AI907" s="25"/>
      <c r="AJ907" s="25"/>
      <c r="AK907" s="25"/>
      <c r="AL907" s="25"/>
      <c r="AM907" s="25"/>
      <c r="AN907" s="25"/>
      <c r="AO907" s="25"/>
    </row>
    <row r="908" spans="2:41" ht="15" customHeight="1" x14ac:dyDescent="0.2">
      <c r="B908" s="187"/>
      <c r="E908" s="134" t="str">
        <f>IF(F908="","",VLOOKUP(F908,All_LTMN_Lookups!J954:K2175,2))</f>
        <v/>
      </c>
      <c r="AG908" s="183" t="str">
        <f t="shared" si="4"/>
        <v/>
      </c>
      <c r="AI908" s="25"/>
      <c r="AJ908" s="25"/>
      <c r="AK908" s="25"/>
      <c r="AL908" s="25"/>
      <c r="AM908" s="25"/>
      <c r="AN908" s="25"/>
      <c r="AO908" s="25"/>
    </row>
    <row r="909" spans="2:41" ht="15" customHeight="1" x14ac:dyDescent="0.2">
      <c r="B909" s="187"/>
      <c r="E909" s="134" t="str">
        <f>IF(F909="","",VLOOKUP(F909,All_LTMN_Lookups!J955:K2176,2))</f>
        <v/>
      </c>
      <c r="AG909" s="183" t="str">
        <f t="shared" si="4"/>
        <v/>
      </c>
      <c r="AI909" s="25"/>
      <c r="AJ909" s="25"/>
      <c r="AK909" s="25"/>
      <c r="AL909" s="25"/>
      <c r="AM909" s="25"/>
      <c r="AN909" s="25"/>
      <c r="AO909" s="25"/>
    </row>
    <row r="910" spans="2:41" ht="15" customHeight="1" x14ac:dyDescent="0.2">
      <c r="B910" s="187"/>
      <c r="E910" s="134" t="str">
        <f>IF(F910="","",VLOOKUP(F910,All_LTMN_Lookups!J956:K2177,2))</f>
        <v/>
      </c>
      <c r="AG910" s="183" t="str">
        <f t="shared" si="4"/>
        <v/>
      </c>
      <c r="AI910" s="25"/>
      <c r="AJ910" s="25"/>
      <c r="AK910" s="25"/>
      <c r="AL910" s="25"/>
      <c r="AM910" s="25"/>
      <c r="AN910" s="25"/>
      <c r="AO910" s="25"/>
    </row>
    <row r="911" spans="2:41" ht="15" customHeight="1" x14ac:dyDescent="0.2">
      <c r="B911" s="187"/>
      <c r="E911" s="134" t="str">
        <f>IF(F911="","",VLOOKUP(F911,All_LTMN_Lookups!J957:K2178,2))</f>
        <v/>
      </c>
      <c r="AG911" s="183" t="str">
        <f t="shared" si="4"/>
        <v/>
      </c>
      <c r="AI911" s="25"/>
      <c r="AJ911" s="25"/>
      <c r="AK911" s="25"/>
      <c r="AL911" s="25"/>
      <c r="AM911" s="25"/>
      <c r="AN911" s="25"/>
      <c r="AO911" s="25"/>
    </row>
    <row r="912" spans="2:41" ht="15" customHeight="1" x14ac:dyDescent="0.2">
      <c r="B912" s="187"/>
      <c r="E912" s="134" t="str">
        <f>IF(F912="","",VLOOKUP(F912,All_LTMN_Lookups!J958:K2179,2))</f>
        <v/>
      </c>
      <c r="AG912" s="183" t="str">
        <f t="shared" si="4"/>
        <v/>
      </c>
      <c r="AI912" s="25"/>
      <c r="AJ912" s="25"/>
      <c r="AK912" s="25"/>
      <c r="AL912" s="25"/>
      <c r="AM912" s="25"/>
      <c r="AN912" s="25"/>
      <c r="AO912" s="25"/>
    </row>
    <row r="913" spans="2:41" ht="15" customHeight="1" x14ac:dyDescent="0.2">
      <c r="B913" s="187"/>
      <c r="E913" s="134" t="str">
        <f>IF(F913="","",VLOOKUP(F913,All_LTMN_Lookups!J959:K2180,2))</f>
        <v/>
      </c>
      <c r="AG913" s="183" t="str">
        <f t="shared" si="4"/>
        <v/>
      </c>
      <c r="AI913" s="25"/>
      <c r="AJ913" s="25"/>
      <c r="AK913" s="25"/>
      <c r="AL913" s="25"/>
      <c r="AM913" s="25"/>
      <c r="AN913" s="25"/>
      <c r="AO913" s="25"/>
    </row>
    <row r="914" spans="2:41" ht="15" customHeight="1" x14ac:dyDescent="0.2">
      <c r="B914" s="187"/>
      <c r="E914" s="134" t="str">
        <f>IF(F914="","",VLOOKUP(F914,All_LTMN_Lookups!J960:K2181,2))</f>
        <v/>
      </c>
      <c r="AG914" s="183" t="str">
        <f t="shared" si="4"/>
        <v/>
      </c>
      <c r="AI914" s="25"/>
      <c r="AJ914" s="25"/>
      <c r="AK914" s="25"/>
      <c r="AL914" s="25"/>
      <c r="AM914" s="25"/>
      <c r="AN914" s="25"/>
      <c r="AO914" s="25"/>
    </row>
    <row r="915" spans="2:41" ht="15" customHeight="1" x14ac:dyDescent="0.2">
      <c r="B915" s="187"/>
      <c r="E915" s="134" t="str">
        <f>IF(F915="","",VLOOKUP(F915,All_LTMN_Lookups!J961:K2182,2))</f>
        <v/>
      </c>
      <c r="AG915" s="183" t="str">
        <f t="shared" si="4"/>
        <v/>
      </c>
      <c r="AI915" s="25"/>
      <c r="AJ915" s="25"/>
      <c r="AK915" s="25"/>
      <c r="AL915" s="25"/>
      <c r="AM915" s="25"/>
      <c r="AN915" s="25"/>
      <c r="AO915" s="25"/>
    </row>
    <row r="916" spans="2:41" ht="15" customHeight="1" x14ac:dyDescent="0.2">
      <c r="B916" s="187"/>
      <c r="E916" s="134" t="str">
        <f>IF(F916="","",VLOOKUP(F916,All_LTMN_Lookups!J962:K2183,2))</f>
        <v/>
      </c>
      <c r="AG916" s="183" t="str">
        <f t="shared" si="4"/>
        <v/>
      </c>
      <c r="AI916" s="25"/>
      <c r="AJ916" s="25"/>
      <c r="AK916" s="25"/>
      <c r="AL916" s="25"/>
      <c r="AM916" s="25"/>
      <c r="AN916" s="25"/>
      <c r="AO916" s="25"/>
    </row>
    <row r="917" spans="2:41" ht="15" customHeight="1" x14ac:dyDescent="0.2">
      <c r="B917" s="187"/>
      <c r="E917" s="134" t="str">
        <f>IF(F917="","",VLOOKUP(F917,All_LTMN_Lookups!J963:K2184,2))</f>
        <v/>
      </c>
      <c r="AG917" s="183" t="str">
        <f t="shared" si="4"/>
        <v/>
      </c>
      <c r="AI917" s="25"/>
      <c r="AJ917" s="25"/>
      <c r="AK917" s="25"/>
      <c r="AL917" s="25"/>
      <c r="AM917" s="25"/>
      <c r="AN917" s="25"/>
      <c r="AO917" s="25"/>
    </row>
    <row r="918" spans="2:41" ht="15" customHeight="1" x14ac:dyDescent="0.2">
      <c r="B918" s="187"/>
      <c r="E918" s="134" t="str">
        <f>IF(F918="","",VLOOKUP(F918,All_LTMN_Lookups!J964:K2185,2))</f>
        <v/>
      </c>
      <c r="AG918" s="183" t="str">
        <f t="shared" si="4"/>
        <v/>
      </c>
      <c r="AI918" s="25"/>
      <c r="AJ918" s="25"/>
      <c r="AK918" s="25"/>
      <c r="AL918" s="25"/>
      <c r="AM918" s="25"/>
      <c r="AN918" s="25"/>
      <c r="AO918" s="25"/>
    </row>
    <row r="919" spans="2:41" ht="15" customHeight="1" x14ac:dyDescent="0.2">
      <c r="B919" s="187"/>
      <c r="E919" s="134" t="str">
        <f>IF(F919="","",VLOOKUP(F919,All_LTMN_Lookups!J965:K2186,2))</f>
        <v/>
      </c>
      <c r="AG919" s="183" t="str">
        <f t="shared" si="4"/>
        <v/>
      </c>
      <c r="AI919" s="25"/>
      <c r="AJ919" s="25"/>
      <c r="AK919" s="25"/>
      <c r="AL919" s="25"/>
      <c r="AM919" s="25"/>
      <c r="AN919" s="25"/>
      <c r="AO919" s="25"/>
    </row>
    <row r="920" spans="2:41" ht="15" customHeight="1" x14ac:dyDescent="0.2">
      <c r="B920" s="187"/>
      <c r="E920" s="134" t="str">
        <f>IF(F920="","",VLOOKUP(F920,All_LTMN_Lookups!J966:K2187,2))</f>
        <v/>
      </c>
      <c r="AG920" s="183" t="str">
        <f t="shared" si="4"/>
        <v/>
      </c>
      <c r="AI920" s="25"/>
      <c r="AJ920" s="25"/>
      <c r="AK920" s="25"/>
      <c r="AL920" s="25"/>
      <c r="AM920" s="25"/>
      <c r="AN920" s="25"/>
      <c r="AO920" s="25"/>
    </row>
    <row r="921" spans="2:41" ht="15" customHeight="1" x14ac:dyDescent="0.2">
      <c r="B921" s="187"/>
      <c r="E921" s="134" t="str">
        <f>IF(F921="","",VLOOKUP(F921,All_LTMN_Lookups!J967:K2188,2))</f>
        <v/>
      </c>
      <c r="AG921" s="183" t="str">
        <f t="shared" si="4"/>
        <v/>
      </c>
      <c r="AI921" s="25"/>
      <c r="AJ921" s="25"/>
      <c r="AK921" s="25"/>
      <c r="AL921" s="25"/>
      <c r="AM921" s="25"/>
      <c r="AN921" s="25"/>
      <c r="AO921" s="25"/>
    </row>
    <row r="922" spans="2:41" ht="15" customHeight="1" x14ac:dyDescent="0.2">
      <c r="B922" s="187"/>
      <c r="E922" s="134" t="str">
        <f>IF(F922="","",VLOOKUP(F922,All_LTMN_Lookups!J968:K2189,2))</f>
        <v/>
      </c>
      <c r="AG922" s="183" t="str">
        <f t="shared" si="4"/>
        <v/>
      </c>
      <c r="AI922" s="25"/>
      <c r="AJ922" s="25"/>
      <c r="AK922" s="25"/>
      <c r="AL922" s="25"/>
      <c r="AM922" s="25"/>
      <c r="AN922" s="25"/>
      <c r="AO922" s="25"/>
    </row>
    <row r="923" spans="2:41" ht="15" customHeight="1" x14ac:dyDescent="0.2">
      <c r="B923" s="187"/>
      <c r="E923" s="134" t="str">
        <f>IF(F923="","",VLOOKUP(F923,All_LTMN_Lookups!J969:K2190,2))</f>
        <v/>
      </c>
      <c r="AG923" s="183" t="str">
        <f t="shared" si="4"/>
        <v/>
      </c>
      <c r="AI923" s="25"/>
      <c r="AJ923" s="25"/>
      <c r="AK923" s="25"/>
      <c r="AL923" s="25"/>
      <c r="AM923" s="25"/>
      <c r="AN923" s="25"/>
      <c r="AO923" s="25"/>
    </row>
    <row r="924" spans="2:41" ht="15" customHeight="1" x14ac:dyDescent="0.2">
      <c r="B924" s="187"/>
      <c r="E924" s="134" t="str">
        <f>IF(F924="","",VLOOKUP(F924,All_LTMN_Lookups!J970:K2191,2))</f>
        <v/>
      </c>
      <c r="AG924" s="183" t="str">
        <f t="shared" si="4"/>
        <v/>
      </c>
      <c r="AI924" s="25"/>
      <c r="AJ924" s="25"/>
      <c r="AK924" s="25"/>
      <c r="AL924" s="25"/>
      <c r="AM924" s="25"/>
      <c r="AN924" s="25"/>
      <c r="AO924" s="25"/>
    </row>
    <row r="925" spans="2:41" ht="15" customHeight="1" x14ac:dyDescent="0.2">
      <c r="B925" s="187"/>
      <c r="E925" s="134" t="str">
        <f>IF(F925="","",VLOOKUP(F925,All_LTMN_Lookups!J971:K2192,2))</f>
        <v/>
      </c>
      <c r="AG925" s="183" t="str">
        <f t="shared" si="4"/>
        <v/>
      </c>
      <c r="AI925" s="25"/>
      <c r="AJ925" s="25"/>
      <c r="AK925" s="25"/>
      <c r="AL925" s="25"/>
      <c r="AM925" s="25"/>
      <c r="AN925" s="25"/>
      <c r="AO925" s="25"/>
    </row>
    <row r="926" spans="2:41" ht="15" customHeight="1" x14ac:dyDescent="0.2">
      <c r="B926" s="187"/>
      <c r="E926" s="134" t="str">
        <f>IF(F926="","",VLOOKUP(F926,All_LTMN_Lookups!J972:K2193,2))</f>
        <v/>
      </c>
      <c r="AG926" s="183" t="str">
        <f t="shared" si="4"/>
        <v/>
      </c>
      <c r="AI926" s="25"/>
      <c r="AJ926" s="25"/>
      <c r="AK926" s="25"/>
      <c r="AL926" s="25"/>
      <c r="AM926" s="25"/>
      <c r="AN926" s="25"/>
      <c r="AO926" s="25"/>
    </row>
    <row r="927" spans="2:41" ht="15" customHeight="1" x14ac:dyDescent="0.2">
      <c r="B927" s="187"/>
      <c r="E927" s="134" t="str">
        <f>IF(F927="","",VLOOKUP(F927,All_LTMN_Lookups!J973:K2194,2))</f>
        <v/>
      </c>
      <c r="AG927" s="183" t="str">
        <f t="shared" si="4"/>
        <v/>
      </c>
      <c r="AI927" s="25"/>
      <c r="AJ927" s="25"/>
      <c r="AK927" s="25"/>
      <c r="AL927" s="25"/>
      <c r="AM927" s="25"/>
      <c r="AN927" s="25"/>
      <c r="AO927" s="25"/>
    </row>
    <row r="928" spans="2:41" ht="15" customHeight="1" x14ac:dyDescent="0.2">
      <c r="B928" s="187"/>
      <c r="E928" s="134" t="str">
        <f>IF(F928="","",VLOOKUP(F928,All_LTMN_Lookups!J974:K2195,2))</f>
        <v/>
      </c>
      <c r="AG928" s="183" t="str">
        <f t="shared" si="4"/>
        <v/>
      </c>
      <c r="AI928" s="25"/>
      <c r="AJ928" s="25"/>
      <c r="AK928" s="25"/>
      <c r="AL928" s="25"/>
      <c r="AM928" s="25"/>
      <c r="AN928" s="25"/>
      <c r="AO928" s="25"/>
    </row>
    <row r="929" spans="2:41" ht="15" customHeight="1" x14ac:dyDescent="0.2">
      <c r="B929" s="187"/>
      <c r="E929" s="134" t="str">
        <f>IF(F929="","",VLOOKUP(F929,All_LTMN_Lookups!J975:K2196,2))</f>
        <v/>
      </c>
      <c r="AG929" s="183" t="str">
        <f t="shared" si="4"/>
        <v/>
      </c>
      <c r="AI929" s="25"/>
      <c r="AJ929" s="25"/>
      <c r="AK929" s="25"/>
      <c r="AL929" s="25"/>
      <c r="AM929" s="25"/>
      <c r="AN929" s="25"/>
      <c r="AO929" s="25"/>
    </row>
    <row r="930" spans="2:41" ht="15" customHeight="1" x14ac:dyDescent="0.2">
      <c r="B930" s="187"/>
      <c r="E930" s="134" t="str">
        <f>IF(F930="","",VLOOKUP(F930,All_LTMN_Lookups!J976:K2197,2))</f>
        <v/>
      </c>
      <c r="AG930" s="183" t="str">
        <f t="shared" si="4"/>
        <v/>
      </c>
      <c r="AI930" s="25"/>
      <c r="AJ930" s="25"/>
      <c r="AK930" s="25"/>
      <c r="AL930" s="25"/>
      <c r="AM930" s="25"/>
      <c r="AN930" s="25"/>
      <c r="AO930" s="25"/>
    </row>
    <row r="931" spans="2:41" ht="15" customHeight="1" x14ac:dyDescent="0.2">
      <c r="B931" s="187"/>
      <c r="E931" s="134" t="str">
        <f>IF(F931="","",VLOOKUP(F931,All_LTMN_Lookups!J977:K2198,2))</f>
        <v/>
      </c>
      <c r="AG931" s="183" t="str">
        <f t="shared" si="4"/>
        <v/>
      </c>
      <c r="AI931" s="25"/>
      <c r="AJ931" s="25"/>
      <c r="AK931" s="25"/>
      <c r="AL931" s="25"/>
      <c r="AM931" s="25"/>
      <c r="AN931" s="25"/>
      <c r="AO931" s="25"/>
    </row>
    <row r="932" spans="2:41" ht="15" customHeight="1" x14ac:dyDescent="0.2">
      <c r="B932" s="187"/>
      <c r="E932" s="134" t="str">
        <f>IF(F932="","",VLOOKUP(F932,All_LTMN_Lookups!J978:K2199,2))</f>
        <v/>
      </c>
      <c r="AG932" s="183" t="str">
        <f t="shared" si="4"/>
        <v/>
      </c>
      <c r="AI932" s="25"/>
      <c r="AJ932" s="25"/>
      <c r="AK932" s="25"/>
      <c r="AL932" s="25"/>
      <c r="AM932" s="25"/>
      <c r="AN932" s="25"/>
      <c r="AO932" s="25"/>
    </row>
    <row r="933" spans="2:41" ht="15" customHeight="1" x14ac:dyDescent="0.2">
      <c r="B933" s="187"/>
      <c r="E933" s="134" t="str">
        <f>IF(F933="","",VLOOKUP(F933,All_LTMN_Lookups!J979:K2200,2))</f>
        <v/>
      </c>
      <c r="AG933" s="183" t="str">
        <f t="shared" si="4"/>
        <v/>
      </c>
      <c r="AI933" s="25"/>
      <c r="AJ933" s="25"/>
      <c r="AK933" s="25"/>
      <c r="AL933" s="25"/>
      <c r="AM933" s="25"/>
      <c r="AN933" s="25"/>
      <c r="AO933" s="25"/>
    </row>
    <row r="934" spans="2:41" ht="15" customHeight="1" x14ac:dyDescent="0.2">
      <c r="B934" s="187"/>
      <c r="E934" s="134" t="str">
        <f>IF(F934="","",VLOOKUP(F934,All_LTMN_Lookups!J980:K2201,2))</f>
        <v/>
      </c>
      <c r="AG934" s="183" t="str">
        <f t="shared" si="4"/>
        <v/>
      </c>
      <c r="AI934" s="25"/>
      <c r="AJ934" s="25"/>
      <c r="AK934" s="25"/>
      <c r="AL934" s="25"/>
      <c r="AM934" s="25"/>
      <c r="AN934" s="25"/>
      <c r="AO934" s="25"/>
    </row>
    <row r="935" spans="2:41" ht="15" customHeight="1" x14ac:dyDescent="0.2">
      <c r="B935" s="187"/>
      <c r="E935" s="134" t="str">
        <f>IF(F935="","",VLOOKUP(F935,All_LTMN_Lookups!J981:K2202,2))</f>
        <v/>
      </c>
      <c r="AG935" s="183" t="str">
        <f t="shared" si="4"/>
        <v/>
      </c>
      <c r="AI935" s="25"/>
      <c r="AJ935" s="25"/>
      <c r="AK935" s="25"/>
      <c r="AL935" s="25"/>
      <c r="AM935" s="25"/>
      <c r="AN935" s="25"/>
      <c r="AO935" s="25"/>
    </row>
    <row r="936" spans="2:41" ht="15" customHeight="1" x14ac:dyDescent="0.2">
      <c r="B936" s="187"/>
      <c r="E936" s="134" t="str">
        <f>IF(F936="","",VLOOKUP(F936,All_LTMN_Lookups!J982:K2203,2))</f>
        <v/>
      </c>
      <c r="AG936" s="183" t="str">
        <f t="shared" si="4"/>
        <v/>
      </c>
      <c r="AI936" s="25"/>
      <c r="AJ936" s="25"/>
      <c r="AK936" s="25"/>
      <c r="AL936" s="25"/>
      <c r="AM936" s="25"/>
      <c r="AN936" s="25"/>
      <c r="AO936" s="25"/>
    </row>
    <row r="937" spans="2:41" ht="15" customHeight="1" x14ac:dyDescent="0.2">
      <c r="B937" s="187"/>
      <c r="E937" s="134" t="str">
        <f>IF(F937="","",VLOOKUP(F937,All_LTMN_Lookups!J983:K2204,2))</f>
        <v/>
      </c>
      <c r="AG937" s="183" t="str">
        <f t="shared" si="4"/>
        <v/>
      </c>
      <c r="AI937" s="25"/>
      <c r="AJ937" s="25"/>
      <c r="AK937" s="25"/>
      <c r="AL937" s="25"/>
      <c r="AM937" s="25"/>
      <c r="AN937" s="25"/>
      <c r="AO937" s="25"/>
    </row>
    <row r="938" spans="2:41" ht="15" customHeight="1" x14ac:dyDescent="0.2">
      <c r="B938" s="187"/>
      <c r="E938" s="134" t="str">
        <f>IF(F938="","",VLOOKUP(F938,All_LTMN_Lookups!J984:K2205,2))</f>
        <v/>
      </c>
      <c r="AG938" s="183" t="str">
        <f t="shared" si="4"/>
        <v/>
      </c>
      <c r="AI938" s="25"/>
      <c r="AJ938" s="25"/>
      <c r="AK938" s="25"/>
      <c r="AL938" s="25"/>
      <c r="AM938" s="25"/>
      <c r="AN938" s="25"/>
      <c r="AO938" s="25"/>
    </row>
    <row r="939" spans="2:41" ht="15" customHeight="1" x14ac:dyDescent="0.2">
      <c r="B939" s="187"/>
      <c r="E939" s="134" t="str">
        <f>IF(F939="","",VLOOKUP(F939,All_LTMN_Lookups!J985:K2206,2))</f>
        <v/>
      </c>
      <c r="AG939" s="183" t="str">
        <f t="shared" si="4"/>
        <v/>
      </c>
      <c r="AI939" s="25"/>
      <c r="AJ939" s="25"/>
      <c r="AK939" s="25"/>
      <c r="AL939" s="25"/>
      <c r="AM939" s="25"/>
      <c r="AN939" s="25"/>
      <c r="AO939" s="25"/>
    </row>
    <row r="940" spans="2:41" ht="15" customHeight="1" x14ac:dyDescent="0.2">
      <c r="B940" s="187"/>
      <c r="E940" s="134" t="str">
        <f>IF(F940="","",VLOOKUP(F940,All_LTMN_Lookups!J986:K2207,2))</f>
        <v/>
      </c>
      <c r="AG940" s="183" t="str">
        <f t="shared" si="4"/>
        <v/>
      </c>
      <c r="AI940" s="25"/>
      <c r="AJ940" s="25"/>
      <c r="AK940" s="25"/>
      <c r="AL940" s="25"/>
      <c r="AM940" s="25"/>
      <c r="AN940" s="25"/>
      <c r="AO940" s="25"/>
    </row>
    <row r="941" spans="2:41" ht="15" customHeight="1" x14ac:dyDescent="0.2">
      <c r="B941" s="187"/>
      <c r="E941" s="134" t="str">
        <f>IF(F941="","",VLOOKUP(F941,All_LTMN_Lookups!J987:K2208,2))</f>
        <v/>
      </c>
      <c r="AG941" s="183" t="str">
        <f t="shared" si="4"/>
        <v/>
      </c>
      <c r="AI941" s="25"/>
      <c r="AJ941" s="25"/>
      <c r="AK941" s="25"/>
      <c r="AL941" s="25"/>
      <c r="AM941" s="25"/>
      <c r="AN941" s="25"/>
      <c r="AO941" s="25"/>
    </row>
    <row r="942" spans="2:41" ht="15" customHeight="1" x14ac:dyDescent="0.2">
      <c r="B942" s="187"/>
      <c r="E942" s="134" t="str">
        <f>IF(F942="","",VLOOKUP(F942,All_LTMN_Lookups!J988:K2209,2))</f>
        <v/>
      </c>
      <c r="AG942" s="183" t="str">
        <f t="shared" si="4"/>
        <v/>
      </c>
      <c r="AI942" s="25"/>
      <c r="AJ942" s="25"/>
      <c r="AK942" s="25"/>
      <c r="AL942" s="25"/>
      <c r="AM942" s="25"/>
      <c r="AN942" s="25"/>
      <c r="AO942" s="25"/>
    </row>
    <row r="943" spans="2:41" ht="15" customHeight="1" x14ac:dyDescent="0.2">
      <c r="B943" s="187"/>
      <c r="E943" s="134" t="str">
        <f>IF(F943="","",VLOOKUP(F943,All_LTMN_Lookups!J989:K2210,2))</f>
        <v/>
      </c>
      <c r="AG943" s="183" t="str">
        <f t="shared" si="4"/>
        <v/>
      </c>
      <c r="AI943" s="25"/>
      <c r="AJ943" s="25"/>
      <c r="AK943" s="25"/>
      <c r="AL943" s="25"/>
      <c r="AM943" s="25"/>
      <c r="AN943" s="25"/>
      <c r="AO943" s="25"/>
    </row>
    <row r="944" spans="2:41" ht="15" customHeight="1" x14ac:dyDescent="0.2">
      <c r="B944" s="187"/>
      <c r="E944" s="134" t="str">
        <f>IF(F944="","",VLOOKUP(F944,All_LTMN_Lookups!J990:K2211,2))</f>
        <v/>
      </c>
      <c r="AG944" s="183" t="str">
        <f t="shared" si="4"/>
        <v/>
      </c>
      <c r="AI944" s="25"/>
      <c r="AJ944" s="25"/>
      <c r="AK944" s="25"/>
      <c r="AL944" s="25"/>
      <c r="AM944" s="25"/>
      <c r="AN944" s="25"/>
      <c r="AO944" s="25"/>
    </row>
    <row r="945" spans="2:41" ht="15" customHeight="1" x14ac:dyDescent="0.2">
      <c r="B945" s="187"/>
      <c r="E945" s="134" t="str">
        <f>IF(F945="","",VLOOKUP(F945,All_LTMN_Lookups!J991:K2212,2))</f>
        <v/>
      </c>
      <c r="AG945" s="183" t="str">
        <f t="shared" si="4"/>
        <v/>
      </c>
      <c r="AI945" s="25"/>
      <c r="AJ945" s="25"/>
      <c r="AK945" s="25"/>
      <c r="AL945" s="25"/>
      <c r="AM945" s="25"/>
      <c r="AN945" s="25"/>
      <c r="AO945" s="25"/>
    </row>
    <row r="946" spans="2:41" ht="15" customHeight="1" x14ac:dyDescent="0.2">
      <c r="B946" s="187"/>
      <c r="E946" s="134" t="str">
        <f>IF(F946="","",VLOOKUP(F946,All_LTMN_Lookups!J992:K2213,2))</f>
        <v/>
      </c>
      <c r="AG946" s="183" t="str">
        <f t="shared" si="4"/>
        <v/>
      </c>
      <c r="AI946" s="25"/>
      <c r="AJ946" s="25"/>
      <c r="AK946" s="25"/>
      <c r="AL946" s="25"/>
      <c r="AM946" s="25"/>
      <c r="AN946" s="25"/>
      <c r="AO946" s="25"/>
    </row>
    <row r="947" spans="2:41" ht="15" customHeight="1" x14ac:dyDescent="0.2">
      <c r="B947" s="187"/>
      <c r="E947" s="134" t="str">
        <f>IF(F947="","",VLOOKUP(F947,All_LTMN_Lookups!J993:K2214,2))</f>
        <v/>
      </c>
      <c r="AG947" s="183" t="str">
        <f t="shared" si="4"/>
        <v/>
      </c>
      <c r="AI947" s="25"/>
      <c r="AJ947" s="25"/>
      <c r="AK947" s="25"/>
      <c r="AL947" s="25"/>
      <c r="AM947" s="25"/>
      <c r="AN947" s="25"/>
      <c r="AO947" s="25"/>
    </row>
    <row r="948" spans="2:41" ht="15" customHeight="1" x14ac:dyDescent="0.2">
      <c r="B948" s="187"/>
      <c r="E948" s="134" t="str">
        <f>IF(F948="","",VLOOKUP(F948,All_LTMN_Lookups!J994:K2215,2))</f>
        <v/>
      </c>
      <c r="AG948" s="183" t="str">
        <f t="shared" si="4"/>
        <v/>
      </c>
      <c r="AI948" s="25"/>
      <c r="AJ948" s="25"/>
      <c r="AK948" s="25"/>
      <c r="AL948" s="25"/>
      <c r="AM948" s="25"/>
      <c r="AN948" s="25"/>
      <c r="AO948" s="25"/>
    </row>
    <row r="949" spans="2:41" ht="15" customHeight="1" x14ac:dyDescent="0.2">
      <c r="B949" s="187"/>
      <c r="E949" s="134" t="str">
        <f>IF(F949="","",VLOOKUP(F949,All_LTMN_Lookups!J995:K2216,2))</f>
        <v/>
      </c>
      <c r="AG949" s="183" t="str">
        <f t="shared" si="4"/>
        <v/>
      </c>
      <c r="AI949" s="25"/>
      <c r="AJ949" s="25"/>
      <c r="AK949" s="25"/>
      <c r="AL949" s="25"/>
      <c r="AM949" s="25"/>
      <c r="AN949" s="25"/>
      <c r="AO949" s="25"/>
    </row>
    <row r="950" spans="2:41" ht="15" customHeight="1" x14ac:dyDescent="0.2">
      <c r="B950" s="187"/>
      <c r="E950" s="134" t="str">
        <f>IF(F950="","",VLOOKUP(F950,All_LTMN_Lookups!J996:K2217,2))</f>
        <v/>
      </c>
      <c r="AG950" s="183" t="str">
        <f t="shared" si="4"/>
        <v/>
      </c>
      <c r="AI950" s="25"/>
      <c r="AJ950" s="25"/>
      <c r="AK950" s="25"/>
      <c r="AL950" s="25"/>
      <c r="AM950" s="25"/>
      <c r="AN950" s="25"/>
      <c r="AO950" s="25"/>
    </row>
    <row r="951" spans="2:41" ht="15" customHeight="1" x14ac:dyDescent="0.2">
      <c r="B951" s="187"/>
      <c r="E951" s="134" t="str">
        <f>IF(F951="","",VLOOKUP(F951,All_LTMN_Lookups!J997:K2218,2))</f>
        <v/>
      </c>
      <c r="AG951" s="183" t="str">
        <f t="shared" si="4"/>
        <v/>
      </c>
      <c r="AI951" s="25"/>
      <c r="AJ951" s="25"/>
      <c r="AK951" s="25"/>
      <c r="AL951" s="25"/>
      <c r="AM951" s="25"/>
      <c r="AN951" s="25"/>
      <c r="AO951" s="25"/>
    </row>
    <row r="952" spans="2:41" ht="15" customHeight="1" x14ac:dyDescent="0.2">
      <c r="B952" s="187"/>
      <c r="E952" s="134" t="str">
        <f>IF(F952="","",VLOOKUP(F952,All_LTMN_Lookups!J998:K2219,2))</f>
        <v/>
      </c>
      <c r="AG952" s="183" t="str">
        <f t="shared" si="4"/>
        <v/>
      </c>
      <c r="AI952" s="25"/>
      <c r="AJ952" s="25"/>
      <c r="AK952" s="25"/>
      <c r="AL952" s="25"/>
      <c r="AM952" s="25"/>
      <c r="AN952" s="25"/>
      <c r="AO952" s="25"/>
    </row>
    <row r="953" spans="2:41" ht="15" customHeight="1" x14ac:dyDescent="0.2">
      <c r="B953" s="187"/>
      <c r="E953" s="134" t="str">
        <f>IF(F953="","",VLOOKUP(F953,All_LTMN_Lookups!J999:K2220,2))</f>
        <v/>
      </c>
      <c r="AG953" s="183" t="str">
        <f t="shared" si="4"/>
        <v/>
      </c>
      <c r="AI953" s="25"/>
      <c r="AJ953" s="25"/>
      <c r="AK953" s="25"/>
      <c r="AL953" s="25"/>
      <c r="AM953" s="25"/>
      <c r="AN953" s="25"/>
      <c r="AO953" s="25"/>
    </row>
    <row r="954" spans="2:41" ht="15" customHeight="1" x14ac:dyDescent="0.2">
      <c r="B954" s="187"/>
      <c r="E954" s="134" t="str">
        <f>IF(F954="","",VLOOKUP(F954,All_LTMN_Lookups!J1000:K2221,2))</f>
        <v/>
      </c>
      <c r="AG954" s="183" t="str">
        <f t="shared" si="4"/>
        <v/>
      </c>
    </row>
    <row r="955" spans="2:41" ht="15" customHeight="1" x14ac:dyDescent="0.2">
      <c r="B955" s="187"/>
      <c r="E955" s="134" t="str">
        <f>IF(F955="","",VLOOKUP(F955,All_LTMN_Lookups!J1001:K2222,2))</f>
        <v/>
      </c>
      <c r="AG955" s="183" t="str">
        <f t="shared" si="4"/>
        <v/>
      </c>
    </row>
    <row r="956" spans="2:41" ht="15" customHeight="1" x14ac:dyDescent="0.2">
      <c r="B956" s="187"/>
      <c r="E956" s="134" t="str">
        <f>IF(F956="","",VLOOKUP(F956,All_LTMN_Lookups!J1002:K2223,2))</f>
        <v/>
      </c>
      <c r="AG956" s="183" t="str">
        <f t="shared" si="4"/>
        <v/>
      </c>
    </row>
    <row r="957" spans="2:41" ht="15" customHeight="1" x14ac:dyDescent="0.2">
      <c r="B957" s="187"/>
      <c r="E957" s="134" t="str">
        <f>IF(F957="","",VLOOKUP(F957,All_LTMN_Lookups!J1003:K2224,2))</f>
        <v/>
      </c>
      <c r="AG957" s="183" t="str">
        <f t="shared" si="4"/>
        <v/>
      </c>
    </row>
    <row r="958" spans="2:41" ht="15" customHeight="1" x14ac:dyDescent="0.2">
      <c r="B958" s="187"/>
      <c r="E958" s="134" t="str">
        <f>IF(F958="","",VLOOKUP(F958,All_LTMN_Lookups!J1004:K2225,2))</f>
        <v/>
      </c>
      <c r="AG958" s="183" t="str">
        <f t="shared" si="4"/>
        <v/>
      </c>
    </row>
    <row r="959" spans="2:41" ht="15" customHeight="1" x14ac:dyDescent="0.2">
      <c r="B959" s="187"/>
      <c r="E959" s="134" t="str">
        <f>IF(F959="","",VLOOKUP(F959,All_LTMN_Lookups!J1005:K2226,2))</f>
        <v/>
      </c>
      <c r="AG959" s="183" t="str">
        <f t="shared" si="4"/>
        <v/>
      </c>
    </row>
    <row r="960" spans="2:41" ht="15" customHeight="1" x14ac:dyDescent="0.2">
      <c r="B960" s="187"/>
      <c r="E960" s="134" t="str">
        <f>IF(F960="","",VLOOKUP(F960,All_LTMN_Lookups!J1006:K2227,2))</f>
        <v/>
      </c>
      <c r="AG960" s="183" t="str">
        <f t="shared" si="4"/>
        <v/>
      </c>
    </row>
    <row r="961" spans="2:33" ht="15" customHeight="1" x14ac:dyDescent="0.2">
      <c r="B961" s="187"/>
      <c r="E961" s="134" t="str">
        <f>IF(F961="","",VLOOKUP(F961,All_LTMN_Lookups!J1007:K2228,2))</f>
        <v/>
      </c>
      <c r="AG961" s="183" t="str">
        <f t="shared" si="4"/>
        <v/>
      </c>
    </row>
    <row r="962" spans="2:33" ht="15" customHeight="1" x14ac:dyDescent="0.2">
      <c r="B962" s="187"/>
      <c r="E962" s="134" t="str">
        <f>IF(F962="","",VLOOKUP(F962,All_LTMN_Lookups!J1008:K2229,2))</f>
        <v/>
      </c>
      <c r="AG962" s="183" t="str">
        <f t="shared" si="4"/>
        <v/>
      </c>
    </row>
    <row r="963" spans="2:33" ht="15" customHeight="1" x14ac:dyDescent="0.2">
      <c r="B963" s="187"/>
      <c r="E963" s="134" t="str">
        <f>IF(F963="","",VLOOKUP(F963,All_LTMN_Lookups!J1009:K2230,2))</f>
        <v/>
      </c>
      <c r="AG963" s="183" t="str">
        <f t="shared" si="4"/>
        <v/>
      </c>
    </row>
    <row r="964" spans="2:33" ht="15" customHeight="1" x14ac:dyDescent="0.2">
      <c r="B964" s="187"/>
      <c r="E964" s="134" t="str">
        <f>IF(F964="","",VLOOKUP(F964,All_LTMN_Lookups!J1010:K2231,2))</f>
        <v/>
      </c>
      <c r="AG964" s="183" t="str">
        <f t="shared" si="4"/>
        <v/>
      </c>
    </row>
    <row r="965" spans="2:33" ht="15" customHeight="1" x14ac:dyDescent="0.2">
      <c r="B965" s="187"/>
      <c r="E965" s="134" t="str">
        <f>IF(F965="","",VLOOKUP(F965,All_LTMN_Lookups!J1011:K2232,2))</f>
        <v/>
      </c>
      <c r="AG965" s="183" t="str">
        <f t="shared" si="4"/>
        <v/>
      </c>
    </row>
    <row r="966" spans="2:33" ht="15" customHeight="1" x14ac:dyDescent="0.2">
      <c r="B966" s="187"/>
      <c r="E966" s="134" t="str">
        <f>IF(F966="","",VLOOKUP(F966,All_LTMN_Lookups!J1012:K2233,2))</f>
        <v/>
      </c>
      <c r="AG966" s="183" t="str">
        <f t="shared" si="4"/>
        <v/>
      </c>
    </row>
    <row r="967" spans="2:33" ht="15" customHeight="1" x14ac:dyDescent="0.2">
      <c r="B967" s="187"/>
      <c r="E967" s="134" t="str">
        <f>IF(F967="","",VLOOKUP(F967,All_LTMN_Lookups!J1013:K2234,2))</f>
        <v/>
      </c>
      <c r="AG967" s="183" t="str">
        <f t="shared" si="4"/>
        <v/>
      </c>
    </row>
    <row r="968" spans="2:33" ht="15" customHeight="1" x14ac:dyDescent="0.2">
      <c r="B968" s="187"/>
      <c r="E968" s="134" t="str">
        <f>IF(F968="","",VLOOKUP(F968,All_LTMN_Lookups!J1014:K2235,2))</f>
        <v/>
      </c>
      <c r="AG968" s="183" t="str">
        <f t="shared" si="4"/>
        <v/>
      </c>
    </row>
    <row r="969" spans="2:33" ht="15" customHeight="1" x14ac:dyDescent="0.2">
      <c r="B969" s="187"/>
      <c r="E969" s="134" t="str">
        <f>IF(F969="","",VLOOKUP(F969,All_LTMN_Lookups!J1015:K2236,2))</f>
        <v/>
      </c>
      <c r="AG969" s="183" t="str">
        <f t="shared" si="4"/>
        <v/>
      </c>
    </row>
    <row r="970" spans="2:33" ht="15" customHeight="1" x14ac:dyDescent="0.2">
      <c r="B970" s="187"/>
      <c r="E970" s="134" t="str">
        <f>IF(F970="","",VLOOKUP(F970,All_LTMN_Lookups!J1016:K2237,2))</f>
        <v/>
      </c>
      <c r="AG970" s="183" t="str">
        <f t="shared" si="4"/>
        <v/>
      </c>
    </row>
    <row r="971" spans="2:33" ht="15" customHeight="1" x14ac:dyDescent="0.2">
      <c r="B971" s="187"/>
      <c r="E971" s="134" t="str">
        <f>IF(F971="","",VLOOKUP(F971,All_LTMN_Lookups!J1017:K2238,2))</f>
        <v/>
      </c>
      <c r="AG971" s="183" t="str">
        <f t="shared" ref="AG971:AG1034" si="5">IF(F971&lt;&gt;"",SUM(G971:AE971), "")</f>
        <v/>
      </c>
    </row>
    <row r="972" spans="2:33" ht="15" customHeight="1" x14ac:dyDescent="0.2">
      <c r="B972" s="187"/>
      <c r="E972" s="134" t="str">
        <f>IF(F972="","",VLOOKUP(F972,All_LTMN_Lookups!J1018:K2239,2))</f>
        <v/>
      </c>
      <c r="AG972" s="183" t="str">
        <f t="shared" si="5"/>
        <v/>
      </c>
    </row>
    <row r="973" spans="2:33" ht="15" customHeight="1" x14ac:dyDescent="0.2">
      <c r="B973" s="187"/>
      <c r="E973" s="134" t="str">
        <f>IF(F973="","",VLOOKUP(F973,All_LTMN_Lookups!J1019:K2240,2))</f>
        <v/>
      </c>
      <c r="AG973" s="183" t="str">
        <f t="shared" si="5"/>
        <v/>
      </c>
    </row>
    <row r="974" spans="2:33" ht="15" customHeight="1" x14ac:dyDescent="0.2">
      <c r="B974" s="187"/>
      <c r="E974" s="134" t="str">
        <f>IF(F974="","",VLOOKUP(F974,All_LTMN_Lookups!J1020:K2241,2))</f>
        <v/>
      </c>
      <c r="AG974" s="183" t="str">
        <f t="shared" si="5"/>
        <v/>
      </c>
    </row>
    <row r="975" spans="2:33" ht="15" customHeight="1" x14ac:dyDescent="0.2">
      <c r="B975" s="187"/>
      <c r="E975" s="134" t="str">
        <f>IF(F975="","",VLOOKUP(F975,All_LTMN_Lookups!J1021:K2242,2))</f>
        <v/>
      </c>
      <c r="AG975" s="183" t="str">
        <f t="shared" si="5"/>
        <v/>
      </c>
    </row>
    <row r="976" spans="2:33" ht="15" customHeight="1" x14ac:dyDescent="0.2">
      <c r="B976" s="187"/>
      <c r="E976" s="134" t="str">
        <f>IF(F976="","",VLOOKUP(F976,All_LTMN_Lookups!J1022:K2243,2))</f>
        <v/>
      </c>
      <c r="AG976" s="183" t="str">
        <f t="shared" si="5"/>
        <v/>
      </c>
    </row>
    <row r="977" spans="2:33" ht="15" customHeight="1" x14ac:dyDescent="0.2">
      <c r="B977" s="187"/>
      <c r="E977" s="134" t="str">
        <f>IF(F977="","",VLOOKUP(F977,All_LTMN_Lookups!J1023:K2244,2))</f>
        <v/>
      </c>
      <c r="AG977" s="183" t="str">
        <f t="shared" si="5"/>
        <v/>
      </c>
    </row>
    <row r="978" spans="2:33" ht="15" customHeight="1" x14ac:dyDescent="0.2">
      <c r="B978" s="187"/>
      <c r="E978" s="134" t="str">
        <f>IF(F978="","",VLOOKUP(F978,All_LTMN_Lookups!J1024:K2245,2))</f>
        <v/>
      </c>
      <c r="AG978" s="183" t="str">
        <f t="shared" si="5"/>
        <v/>
      </c>
    </row>
    <row r="979" spans="2:33" ht="15" customHeight="1" x14ac:dyDescent="0.2">
      <c r="B979" s="187"/>
      <c r="E979" s="134" t="str">
        <f>IF(F979="","",VLOOKUP(F979,All_LTMN_Lookups!J1025:K2246,2))</f>
        <v/>
      </c>
      <c r="AG979" s="183" t="str">
        <f t="shared" si="5"/>
        <v/>
      </c>
    </row>
    <row r="980" spans="2:33" ht="15" customHeight="1" x14ac:dyDescent="0.2">
      <c r="B980" s="187"/>
      <c r="E980" s="134" t="str">
        <f>IF(F980="","",VLOOKUP(F980,All_LTMN_Lookups!J1026:K2247,2))</f>
        <v/>
      </c>
      <c r="AG980" s="183" t="str">
        <f t="shared" si="5"/>
        <v/>
      </c>
    </row>
    <row r="981" spans="2:33" ht="15" customHeight="1" x14ac:dyDescent="0.2">
      <c r="B981" s="187"/>
      <c r="E981" s="134" t="str">
        <f>IF(F981="","",VLOOKUP(F981,All_LTMN_Lookups!J1027:K2248,2))</f>
        <v/>
      </c>
      <c r="AG981" s="183" t="str">
        <f t="shared" si="5"/>
        <v/>
      </c>
    </row>
    <row r="982" spans="2:33" ht="15" customHeight="1" x14ac:dyDescent="0.2">
      <c r="B982" s="187"/>
      <c r="E982" s="134" t="str">
        <f>IF(F982="","",VLOOKUP(F982,All_LTMN_Lookups!J1028:K2249,2))</f>
        <v/>
      </c>
      <c r="AG982" s="183" t="str">
        <f t="shared" si="5"/>
        <v/>
      </c>
    </row>
    <row r="983" spans="2:33" ht="15" customHeight="1" x14ac:dyDescent="0.2">
      <c r="B983" s="187"/>
      <c r="E983" s="134" t="str">
        <f>IF(F983="","",VLOOKUP(F983,All_LTMN_Lookups!J1029:K2250,2))</f>
        <v/>
      </c>
      <c r="AG983" s="183" t="str">
        <f t="shared" si="5"/>
        <v/>
      </c>
    </row>
    <row r="984" spans="2:33" ht="15" customHeight="1" x14ac:dyDescent="0.2">
      <c r="B984" s="187"/>
      <c r="E984" s="134" t="str">
        <f>IF(F984="","",VLOOKUP(F984,All_LTMN_Lookups!J1030:K2251,2))</f>
        <v/>
      </c>
      <c r="AG984" s="183" t="str">
        <f t="shared" si="5"/>
        <v/>
      </c>
    </row>
    <row r="985" spans="2:33" ht="15" customHeight="1" x14ac:dyDescent="0.2">
      <c r="B985" s="187"/>
      <c r="E985" s="134" t="str">
        <f>IF(F985="","",VLOOKUP(F985,All_LTMN_Lookups!J1031:K2252,2))</f>
        <v/>
      </c>
      <c r="AG985" s="183" t="str">
        <f t="shared" si="5"/>
        <v/>
      </c>
    </row>
    <row r="986" spans="2:33" ht="15" customHeight="1" x14ac:dyDescent="0.2">
      <c r="B986" s="187"/>
      <c r="E986" s="134" t="str">
        <f>IF(F986="","",VLOOKUP(F986,All_LTMN_Lookups!J1032:K2253,2))</f>
        <v/>
      </c>
      <c r="AG986" s="183" t="str">
        <f t="shared" si="5"/>
        <v/>
      </c>
    </row>
    <row r="987" spans="2:33" ht="15" customHeight="1" x14ac:dyDescent="0.2">
      <c r="B987" s="187"/>
      <c r="E987" s="134" t="str">
        <f>IF(F987="","",VLOOKUP(F987,All_LTMN_Lookups!J1033:K2254,2))</f>
        <v/>
      </c>
      <c r="AG987" s="183" t="str">
        <f t="shared" si="5"/>
        <v/>
      </c>
    </row>
    <row r="988" spans="2:33" ht="15" customHeight="1" x14ac:dyDescent="0.2">
      <c r="B988" s="187"/>
      <c r="E988" s="134" t="str">
        <f>IF(F988="","",VLOOKUP(F988,All_LTMN_Lookups!J1034:K2255,2))</f>
        <v/>
      </c>
      <c r="AG988" s="183" t="str">
        <f t="shared" si="5"/>
        <v/>
      </c>
    </row>
    <row r="989" spans="2:33" ht="15" customHeight="1" x14ac:dyDescent="0.2">
      <c r="B989" s="187"/>
      <c r="E989" s="134" t="str">
        <f>IF(F989="","",VLOOKUP(F989,All_LTMN_Lookups!J1035:K2256,2))</f>
        <v/>
      </c>
      <c r="AG989" s="183" t="str">
        <f t="shared" si="5"/>
        <v/>
      </c>
    </row>
    <row r="990" spans="2:33" ht="15" customHeight="1" x14ac:dyDescent="0.2">
      <c r="B990" s="187"/>
      <c r="E990" s="134" t="str">
        <f>IF(F990="","",VLOOKUP(F990,All_LTMN_Lookups!J1036:K2257,2))</f>
        <v/>
      </c>
      <c r="AG990" s="183" t="str">
        <f t="shared" si="5"/>
        <v/>
      </c>
    </row>
    <row r="991" spans="2:33" ht="15" customHeight="1" x14ac:dyDescent="0.2">
      <c r="B991" s="187"/>
      <c r="E991" s="134" t="str">
        <f>IF(F991="","",VLOOKUP(F991,All_LTMN_Lookups!J1037:K2258,2))</f>
        <v/>
      </c>
      <c r="AG991" s="183" t="str">
        <f t="shared" si="5"/>
        <v/>
      </c>
    </row>
    <row r="992" spans="2:33" ht="15" customHeight="1" x14ac:dyDescent="0.2">
      <c r="B992" s="187"/>
      <c r="E992" s="134" t="str">
        <f>IF(F992="","",VLOOKUP(F992,All_LTMN_Lookups!J1038:K2259,2))</f>
        <v/>
      </c>
      <c r="AG992" s="183" t="str">
        <f t="shared" si="5"/>
        <v/>
      </c>
    </row>
    <row r="993" spans="2:33" ht="15" customHeight="1" x14ac:dyDescent="0.2">
      <c r="B993" s="187"/>
      <c r="E993" s="134" t="str">
        <f>IF(F993="","",VLOOKUP(F993,All_LTMN_Lookups!J1039:K2260,2))</f>
        <v/>
      </c>
      <c r="AG993" s="183" t="str">
        <f t="shared" si="5"/>
        <v/>
      </c>
    </row>
    <row r="994" spans="2:33" ht="15" customHeight="1" x14ac:dyDescent="0.2">
      <c r="B994" s="187"/>
      <c r="E994" s="134" t="str">
        <f>IF(F994="","",VLOOKUP(F994,All_LTMN_Lookups!J1040:K2261,2))</f>
        <v/>
      </c>
      <c r="AG994" s="183" t="str">
        <f t="shared" si="5"/>
        <v/>
      </c>
    </row>
    <row r="995" spans="2:33" ht="15" customHeight="1" x14ac:dyDescent="0.2">
      <c r="B995" s="187"/>
      <c r="E995" s="134" t="str">
        <f>IF(F995="","",VLOOKUP(F995,All_LTMN_Lookups!J1041:K2262,2))</f>
        <v/>
      </c>
      <c r="AG995" s="183" t="str">
        <f t="shared" si="5"/>
        <v/>
      </c>
    </row>
    <row r="996" spans="2:33" ht="15" customHeight="1" x14ac:dyDescent="0.2">
      <c r="B996" s="187"/>
      <c r="E996" s="134" t="str">
        <f>IF(F996="","",VLOOKUP(F996,All_LTMN_Lookups!J1042:K2263,2))</f>
        <v/>
      </c>
      <c r="AG996" s="183" t="str">
        <f t="shared" si="5"/>
        <v/>
      </c>
    </row>
    <row r="997" spans="2:33" ht="15" customHeight="1" x14ac:dyDescent="0.2">
      <c r="B997" s="187"/>
      <c r="E997" s="134" t="str">
        <f>IF(F997="","",VLOOKUP(F997,All_LTMN_Lookups!J1043:K2264,2))</f>
        <v/>
      </c>
      <c r="AG997" s="183" t="str">
        <f t="shared" si="5"/>
        <v/>
      </c>
    </row>
    <row r="998" spans="2:33" ht="15" customHeight="1" x14ac:dyDescent="0.2">
      <c r="B998" s="187"/>
      <c r="E998" s="134" t="str">
        <f>IF(F998="","",VLOOKUP(F998,All_LTMN_Lookups!J1044:K2265,2))</f>
        <v/>
      </c>
      <c r="AG998" s="183" t="str">
        <f t="shared" si="5"/>
        <v/>
      </c>
    </row>
    <row r="999" spans="2:33" ht="15" customHeight="1" x14ac:dyDescent="0.2">
      <c r="B999" s="187"/>
      <c r="E999" s="134" t="str">
        <f>IF(F999="","",VLOOKUP(F999,All_LTMN_Lookups!J1045:K2266,2))</f>
        <v/>
      </c>
      <c r="AG999" s="183" t="str">
        <f t="shared" si="5"/>
        <v/>
      </c>
    </row>
    <row r="1000" spans="2:33" ht="15" customHeight="1" x14ac:dyDescent="0.2">
      <c r="B1000" s="187"/>
      <c r="E1000" s="134" t="str">
        <f>IF(F1000="","",VLOOKUP(F1000,All_LTMN_Lookups!J1046:K2267,2))</f>
        <v/>
      </c>
      <c r="AG1000" s="183" t="str">
        <f t="shared" si="5"/>
        <v/>
      </c>
    </row>
    <row r="1001" spans="2:33" ht="15" customHeight="1" x14ac:dyDescent="0.2">
      <c r="B1001" s="187"/>
      <c r="E1001" s="134" t="str">
        <f>IF(F1001="","",VLOOKUP(F1001,All_LTMN_Lookups!J1047:K2268,2))</f>
        <v/>
      </c>
      <c r="AG1001" s="183" t="str">
        <f t="shared" si="5"/>
        <v/>
      </c>
    </row>
    <row r="1002" spans="2:33" ht="15" customHeight="1" x14ac:dyDescent="0.2">
      <c r="B1002" s="187"/>
      <c r="E1002" s="134" t="str">
        <f>IF(F1002="","",VLOOKUP(F1002,All_LTMN_Lookups!J1048:K2269,2))</f>
        <v/>
      </c>
      <c r="AG1002" s="183" t="str">
        <f t="shared" si="5"/>
        <v/>
      </c>
    </row>
    <row r="1003" spans="2:33" ht="15" customHeight="1" x14ac:dyDescent="0.2">
      <c r="B1003" s="187"/>
      <c r="E1003" s="134" t="str">
        <f>IF(F1003="","",VLOOKUP(F1003,All_LTMN_Lookups!J1049:K2270,2))</f>
        <v/>
      </c>
      <c r="AG1003" s="183" t="str">
        <f t="shared" si="5"/>
        <v/>
      </c>
    </row>
    <row r="1004" spans="2:33" ht="15" customHeight="1" x14ac:dyDescent="0.2">
      <c r="B1004" s="187"/>
      <c r="E1004" s="134" t="str">
        <f>IF(F1004="","",VLOOKUP(F1004,All_LTMN_Lookups!J1050:K2271,2))</f>
        <v/>
      </c>
      <c r="AG1004" s="183" t="str">
        <f t="shared" si="5"/>
        <v/>
      </c>
    </row>
    <row r="1005" spans="2:33" ht="15" customHeight="1" x14ac:dyDescent="0.2">
      <c r="B1005" s="187"/>
      <c r="E1005" s="134" t="str">
        <f>IF(F1005="","",VLOOKUP(F1005,All_LTMN_Lookups!J1051:K2272,2))</f>
        <v/>
      </c>
      <c r="AG1005" s="183" t="str">
        <f t="shared" si="5"/>
        <v/>
      </c>
    </row>
    <row r="1006" spans="2:33" ht="15" customHeight="1" x14ac:dyDescent="0.2">
      <c r="B1006" s="187"/>
      <c r="E1006" s="134" t="str">
        <f>IF(F1006="","",VLOOKUP(F1006,All_LTMN_Lookups!J1052:K2273,2))</f>
        <v/>
      </c>
      <c r="AG1006" s="183" t="str">
        <f t="shared" si="5"/>
        <v/>
      </c>
    </row>
    <row r="1007" spans="2:33" ht="15" customHeight="1" x14ac:dyDescent="0.2">
      <c r="B1007" s="187"/>
      <c r="E1007" s="134" t="str">
        <f>IF(F1007="","",VLOOKUP(F1007,All_LTMN_Lookups!J1053:K2274,2))</f>
        <v/>
      </c>
      <c r="AG1007" s="183" t="str">
        <f t="shared" si="5"/>
        <v/>
      </c>
    </row>
    <row r="1008" spans="2:33" ht="15" customHeight="1" x14ac:dyDescent="0.2">
      <c r="B1008" s="187"/>
      <c r="E1008" s="134" t="str">
        <f>IF(F1008="","",VLOOKUP(F1008,All_LTMN_Lookups!J1054:K2275,2))</f>
        <v/>
      </c>
      <c r="AG1008" s="183" t="str">
        <f t="shared" si="5"/>
        <v/>
      </c>
    </row>
    <row r="1009" spans="2:33" ht="15" customHeight="1" x14ac:dyDescent="0.2">
      <c r="B1009" s="187"/>
      <c r="E1009" s="134" t="str">
        <f>IF(F1009="","",VLOOKUP(F1009,All_LTMN_Lookups!J1055:K2276,2))</f>
        <v/>
      </c>
      <c r="AG1009" s="183" t="str">
        <f t="shared" si="5"/>
        <v/>
      </c>
    </row>
    <row r="1010" spans="2:33" ht="15" customHeight="1" x14ac:dyDescent="0.2">
      <c r="B1010" s="187"/>
      <c r="E1010" s="134" t="str">
        <f>IF(F1010="","",VLOOKUP(F1010,All_LTMN_Lookups!J1056:K2277,2))</f>
        <v/>
      </c>
      <c r="AG1010" s="183" t="str">
        <f t="shared" si="5"/>
        <v/>
      </c>
    </row>
    <row r="1011" spans="2:33" ht="15" customHeight="1" x14ac:dyDescent="0.2">
      <c r="B1011" s="187"/>
      <c r="E1011" s="134" t="str">
        <f>IF(F1011="","",VLOOKUP(F1011,All_LTMN_Lookups!J1057:K2278,2))</f>
        <v/>
      </c>
      <c r="AG1011" s="183" t="str">
        <f t="shared" si="5"/>
        <v/>
      </c>
    </row>
    <row r="1012" spans="2:33" ht="15" customHeight="1" x14ac:dyDescent="0.2">
      <c r="B1012" s="187"/>
      <c r="E1012" s="134" t="str">
        <f>IF(F1012="","",VLOOKUP(F1012,All_LTMN_Lookups!J1058:K2279,2))</f>
        <v/>
      </c>
      <c r="AG1012" s="183" t="str">
        <f t="shared" si="5"/>
        <v/>
      </c>
    </row>
    <row r="1013" spans="2:33" ht="15" customHeight="1" x14ac:dyDescent="0.2">
      <c r="B1013" s="187"/>
      <c r="E1013" s="134" t="str">
        <f>IF(F1013="","",VLOOKUP(F1013,All_LTMN_Lookups!J1059:K2280,2))</f>
        <v/>
      </c>
      <c r="AG1013" s="183" t="str">
        <f t="shared" si="5"/>
        <v/>
      </c>
    </row>
    <row r="1014" spans="2:33" ht="15" customHeight="1" x14ac:dyDescent="0.2">
      <c r="B1014" s="187"/>
      <c r="E1014" s="134" t="str">
        <f>IF(F1014="","",VLOOKUP(F1014,All_LTMN_Lookups!J1060:K2281,2))</f>
        <v/>
      </c>
      <c r="AG1014" s="183" t="str">
        <f t="shared" si="5"/>
        <v/>
      </c>
    </row>
    <row r="1015" spans="2:33" ht="15" customHeight="1" x14ac:dyDescent="0.2">
      <c r="B1015" s="187"/>
      <c r="E1015" s="134" t="str">
        <f>IF(F1015="","",VLOOKUP(F1015,All_LTMN_Lookups!J1061:K2282,2))</f>
        <v/>
      </c>
      <c r="AG1015" s="183" t="str">
        <f t="shared" si="5"/>
        <v/>
      </c>
    </row>
    <row r="1016" spans="2:33" ht="15" customHeight="1" x14ac:dyDescent="0.2">
      <c r="B1016" s="187"/>
      <c r="E1016" s="134" t="str">
        <f>IF(F1016="","",VLOOKUP(F1016,All_LTMN_Lookups!J1062:K2283,2))</f>
        <v/>
      </c>
      <c r="AG1016" s="183" t="str">
        <f t="shared" si="5"/>
        <v/>
      </c>
    </row>
    <row r="1017" spans="2:33" ht="15" customHeight="1" x14ac:dyDescent="0.2">
      <c r="B1017" s="187"/>
      <c r="E1017" s="134" t="str">
        <f>IF(F1017="","",VLOOKUP(F1017,All_LTMN_Lookups!J1063:K2284,2))</f>
        <v/>
      </c>
      <c r="AG1017" s="183" t="str">
        <f t="shared" si="5"/>
        <v/>
      </c>
    </row>
    <row r="1018" spans="2:33" ht="15" customHeight="1" x14ac:dyDescent="0.2">
      <c r="B1018" s="187"/>
      <c r="E1018" s="134" t="str">
        <f>IF(F1018="","",VLOOKUP(F1018,All_LTMN_Lookups!J1064:K2285,2))</f>
        <v/>
      </c>
      <c r="AG1018" s="183" t="str">
        <f t="shared" si="5"/>
        <v/>
      </c>
    </row>
    <row r="1019" spans="2:33" ht="15" customHeight="1" x14ac:dyDescent="0.2">
      <c r="B1019" s="187"/>
      <c r="E1019" s="134" t="str">
        <f>IF(F1019="","",VLOOKUP(F1019,All_LTMN_Lookups!J1065:K2286,2))</f>
        <v/>
      </c>
      <c r="AG1019" s="183" t="str">
        <f t="shared" si="5"/>
        <v/>
      </c>
    </row>
    <row r="1020" spans="2:33" ht="15" customHeight="1" x14ac:dyDescent="0.2">
      <c r="B1020" s="187"/>
      <c r="E1020" s="134" t="str">
        <f>IF(F1020="","",VLOOKUP(F1020,All_LTMN_Lookups!J1066:K2287,2))</f>
        <v/>
      </c>
      <c r="AG1020" s="183" t="str">
        <f t="shared" si="5"/>
        <v/>
      </c>
    </row>
    <row r="1021" spans="2:33" ht="15" customHeight="1" x14ac:dyDescent="0.2">
      <c r="B1021" s="187"/>
      <c r="E1021" s="134" t="str">
        <f>IF(F1021="","",VLOOKUP(F1021,All_LTMN_Lookups!J1067:K2288,2))</f>
        <v/>
      </c>
      <c r="AG1021" s="183" t="str">
        <f t="shared" si="5"/>
        <v/>
      </c>
    </row>
    <row r="1022" spans="2:33" ht="15" customHeight="1" x14ac:dyDescent="0.2">
      <c r="B1022" s="187"/>
      <c r="E1022" s="134" t="str">
        <f>IF(F1022="","",VLOOKUP(F1022,All_LTMN_Lookups!J1068:K2289,2))</f>
        <v/>
      </c>
      <c r="AG1022" s="183" t="str">
        <f t="shared" si="5"/>
        <v/>
      </c>
    </row>
    <row r="1023" spans="2:33" ht="15" customHeight="1" x14ac:dyDescent="0.2">
      <c r="B1023" s="187"/>
      <c r="E1023" s="134" t="str">
        <f>IF(F1023="","",VLOOKUP(F1023,All_LTMN_Lookups!J1069:K2290,2))</f>
        <v/>
      </c>
      <c r="AG1023" s="183" t="str">
        <f t="shared" si="5"/>
        <v/>
      </c>
    </row>
    <row r="1024" spans="2:33" ht="15" customHeight="1" x14ac:dyDescent="0.2">
      <c r="B1024" s="187"/>
      <c r="E1024" s="134" t="str">
        <f>IF(F1024="","",VLOOKUP(F1024,All_LTMN_Lookups!J1070:K2291,2))</f>
        <v/>
      </c>
      <c r="AG1024" s="183" t="str">
        <f t="shared" si="5"/>
        <v/>
      </c>
    </row>
    <row r="1025" spans="2:33" ht="15" customHeight="1" x14ac:dyDescent="0.2">
      <c r="B1025" s="187"/>
      <c r="E1025" s="134" t="str">
        <f>IF(F1025="","",VLOOKUP(F1025,All_LTMN_Lookups!J1071:K2292,2))</f>
        <v/>
      </c>
      <c r="AG1025" s="183" t="str">
        <f t="shared" si="5"/>
        <v/>
      </c>
    </row>
    <row r="1026" spans="2:33" ht="15" customHeight="1" x14ac:dyDescent="0.2">
      <c r="B1026" s="187"/>
      <c r="E1026" s="134" t="str">
        <f>IF(F1026="","",VLOOKUP(F1026,All_LTMN_Lookups!J1072:K2293,2))</f>
        <v/>
      </c>
      <c r="AG1026" s="183" t="str">
        <f t="shared" si="5"/>
        <v/>
      </c>
    </row>
    <row r="1027" spans="2:33" ht="15" customHeight="1" x14ac:dyDescent="0.2">
      <c r="B1027" s="187"/>
      <c r="E1027" s="134" t="str">
        <f>IF(F1027="","",VLOOKUP(F1027,All_LTMN_Lookups!J1073:K2294,2))</f>
        <v/>
      </c>
      <c r="AG1027" s="183" t="str">
        <f t="shared" si="5"/>
        <v/>
      </c>
    </row>
    <row r="1028" spans="2:33" ht="15" customHeight="1" x14ac:dyDescent="0.2">
      <c r="B1028" s="187"/>
      <c r="E1028" s="134" t="str">
        <f>IF(F1028="","",VLOOKUP(F1028,All_LTMN_Lookups!J1074:K2295,2))</f>
        <v/>
      </c>
      <c r="AG1028" s="183" t="str">
        <f t="shared" si="5"/>
        <v/>
      </c>
    </row>
    <row r="1029" spans="2:33" ht="15" customHeight="1" x14ac:dyDescent="0.2">
      <c r="B1029" s="187"/>
      <c r="E1029" s="134" t="str">
        <f>IF(F1029="","",VLOOKUP(F1029,All_LTMN_Lookups!J1075:K2296,2))</f>
        <v/>
      </c>
      <c r="AG1029" s="183" t="str">
        <f t="shared" si="5"/>
        <v/>
      </c>
    </row>
    <row r="1030" spans="2:33" ht="15" customHeight="1" x14ac:dyDescent="0.2">
      <c r="B1030" s="187"/>
      <c r="E1030" s="134" t="str">
        <f>IF(F1030="","",VLOOKUP(F1030,All_LTMN_Lookups!J1076:K2297,2))</f>
        <v/>
      </c>
      <c r="AG1030" s="183" t="str">
        <f t="shared" si="5"/>
        <v/>
      </c>
    </row>
    <row r="1031" spans="2:33" ht="15" customHeight="1" x14ac:dyDescent="0.2">
      <c r="B1031" s="187"/>
      <c r="E1031" s="134" t="str">
        <f>IF(F1031="","",VLOOKUP(F1031,All_LTMN_Lookups!J1077:K2298,2))</f>
        <v/>
      </c>
      <c r="AG1031" s="183" t="str">
        <f t="shared" si="5"/>
        <v/>
      </c>
    </row>
    <row r="1032" spans="2:33" ht="15" customHeight="1" x14ac:dyDescent="0.2">
      <c r="B1032" s="187"/>
      <c r="E1032" s="134" t="str">
        <f>IF(F1032="","",VLOOKUP(F1032,All_LTMN_Lookups!J1078:K2299,2))</f>
        <v/>
      </c>
      <c r="AG1032" s="183" t="str">
        <f t="shared" si="5"/>
        <v/>
      </c>
    </row>
    <row r="1033" spans="2:33" ht="15" customHeight="1" x14ac:dyDescent="0.2">
      <c r="B1033" s="187"/>
      <c r="E1033" s="134" t="str">
        <f>IF(F1033="","",VLOOKUP(F1033,All_LTMN_Lookups!J1079:K2300,2))</f>
        <v/>
      </c>
      <c r="AG1033" s="183" t="str">
        <f t="shared" si="5"/>
        <v/>
      </c>
    </row>
    <row r="1034" spans="2:33" ht="15" customHeight="1" x14ac:dyDescent="0.2">
      <c r="B1034" s="187"/>
      <c r="E1034" s="134" t="str">
        <f>IF(F1034="","",VLOOKUP(F1034,All_LTMN_Lookups!J1080:K2301,2))</f>
        <v/>
      </c>
      <c r="AG1034" s="183" t="str">
        <f t="shared" si="5"/>
        <v/>
      </c>
    </row>
    <row r="1035" spans="2:33" ht="15" customHeight="1" x14ac:dyDescent="0.2">
      <c r="B1035" s="187"/>
      <c r="E1035" s="134" t="str">
        <f>IF(F1035="","",VLOOKUP(F1035,All_LTMN_Lookups!J1081:K2302,2))</f>
        <v/>
      </c>
      <c r="AG1035" s="183" t="str">
        <f t="shared" ref="AG1035:AG1098" si="6">IF(F1035&lt;&gt;"",SUM(G1035:AE1035), "")</f>
        <v/>
      </c>
    </row>
    <row r="1036" spans="2:33" ht="15" customHeight="1" x14ac:dyDescent="0.2">
      <c r="B1036" s="187"/>
      <c r="E1036" s="134" t="str">
        <f>IF(F1036="","",VLOOKUP(F1036,All_LTMN_Lookups!J1082:K2303,2))</f>
        <v/>
      </c>
      <c r="AG1036" s="183" t="str">
        <f t="shared" si="6"/>
        <v/>
      </c>
    </row>
    <row r="1037" spans="2:33" ht="15" customHeight="1" x14ac:dyDescent="0.2">
      <c r="B1037" s="187"/>
      <c r="E1037" s="134" t="str">
        <f>IF(F1037="","",VLOOKUP(F1037,All_LTMN_Lookups!J1083:K2304,2))</f>
        <v/>
      </c>
      <c r="AG1037" s="183" t="str">
        <f t="shared" si="6"/>
        <v/>
      </c>
    </row>
    <row r="1038" spans="2:33" ht="15" customHeight="1" x14ac:dyDescent="0.2">
      <c r="B1038" s="187"/>
      <c r="E1038" s="134" t="str">
        <f>IF(F1038="","",VLOOKUP(F1038,All_LTMN_Lookups!J1084:K2305,2))</f>
        <v/>
      </c>
      <c r="AG1038" s="183" t="str">
        <f t="shared" si="6"/>
        <v/>
      </c>
    </row>
    <row r="1039" spans="2:33" ht="15" customHeight="1" x14ac:dyDescent="0.2">
      <c r="B1039" s="187"/>
      <c r="E1039" s="134" t="str">
        <f>IF(F1039="","",VLOOKUP(F1039,All_LTMN_Lookups!J1085:K2306,2))</f>
        <v/>
      </c>
      <c r="AG1039" s="183" t="str">
        <f t="shared" si="6"/>
        <v/>
      </c>
    </row>
    <row r="1040" spans="2:33" ht="15" customHeight="1" x14ac:dyDescent="0.2">
      <c r="B1040" s="187"/>
      <c r="E1040" s="134" t="str">
        <f>IF(F1040="","",VLOOKUP(F1040,All_LTMN_Lookups!J1086:K2307,2))</f>
        <v/>
      </c>
      <c r="AG1040" s="183" t="str">
        <f t="shared" si="6"/>
        <v/>
      </c>
    </row>
    <row r="1041" spans="2:33" ht="15" customHeight="1" x14ac:dyDescent="0.2">
      <c r="B1041" s="187"/>
      <c r="E1041" s="134" t="str">
        <f>IF(F1041="","",VLOOKUP(F1041,All_LTMN_Lookups!J1087:K2308,2))</f>
        <v/>
      </c>
      <c r="AG1041" s="183" t="str">
        <f t="shared" si="6"/>
        <v/>
      </c>
    </row>
    <row r="1042" spans="2:33" ht="15" customHeight="1" x14ac:dyDescent="0.2">
      <c r="B1042" s="187"/>
      <c r="E1042" s="134" t="str">
        <f>IF(F1042="","",VLOOKUP(F1042,All_LTMN_Lookups!J1088:K2309,2))</f>
        <v/>
      </c>
      <c r="AG1042" s="183" t="str">
        <f t="shared" si="6"/>
        <v/>
      </c>
    </row>
    <row r="1043" spans="2:33" ht="15" customHeight="1" x14ac:dyDescent="0.2">
      <c r="B1043" s="187"/>
      <c r="E1043" s="134" t="str">
        <f>IF(F1043="","",VLOOKUP(F1043,All_LTMN_Lookups!J1089:K2310,2))</f>
        <v/>
      </c>
      <c r="AG1043" s="183" t="str">
        <f t="shared" si="6"/>
        <v/>
      </c>
    </row>
    <row r="1044" spans="2:33" ht="15" customHeight="1" x14ac:dyDescent="0.2">
      <c r="B1044" s="187"/>
      <c r="E1044" s="134" t="str">
        <f>IF(F1044="","",VLOOKUP(F1044,All_LTMN_Lookups!J1090:K2311,2))</f>
        <v/>
      </c>
      <c r="AG1044" s="183" t="str">
        <f t="shared" si="6"/>
        <v/>
      </c>
    </row>
    <row r="1045" spans="2:33" ht="15" customHeight="1" x14ac:dyDescent="0.2">
      <c r="B1045" s="187"/>
      <c r="E1045" s="134" t="str">
        <f>IF(F1045="","",VLOOKUP(F1045,All_LTMN_Lookups!J1091:K2312,2))</f>
        <v/>
      </c>
      <c r="AG1045" s="183" t="str">
        <f t="shared" si="6"/>
        <v/>
      </c>
    </row>
    <row r="1046" spans="2:33" ht="15" customHeight="1" x14ac:dyDescent="0.2">
      <c r="B1046" s="187"/>
      <c r="E1046" s="134" t="str">
        <f>IF(F1046="","",VLOOKUP(F1046,All_LTMN_Lookups!J1092:K2313,2))</f>
        <v/>
      </c>
      <c r="AG1046" s="183" t="str">
        <f t="shared" si="6"/>
        <v/>
      </c>
    </row>
    <row r="1047" spans="2:33" ht="15" customHeight="1" x14ac:dyDescent="0.2">
      <c r="B1047" s="187"/>
      <c r="E1047" s="134" t="str">
        <f>IF(F1047="","",VLOOKUP(F1047,All_LTMN_Lookups!J1093:K2314,2))</f>
        <v/>
      </c>
      <c r="AG1047" s="183" t="str">
        <f t="shared" si="6"/>
        <v/>
      </c>
    </row>
    <row r="1048" spans="2:33" ht="15" customHeight="1" x14ac:dyDescent="0.2">
      <c r="B1048" s="187"/>
      <c r="E1048" s="134" t="str">
        <f>IF(F1048="","",VLOOKUP(F1048,All_LTMN_Lookups!J1094:K2315,2))</f>
        <v/>
      </c>
      <c r="AG1048" s="183" t="str">
        <f t="shared" si="6"/>
        <v/>
      </c>
    </row>
    <row r="1049" spans="2:33" ht="15" customHeight="1" x14ac:dyDescent="0.2">
      <c r="B1049" s="187"/>
      <c r="E1049" s="134" t="str">
        <f>IF(F1049="","",VLOOKUP(F1049,All_LTMN_Lookups!J1095:K2316,2))</f>
        <v/>
      </c>
      <c r="AG1049" s="183" t="str">
        <f t="shared" si="6"/>
        <v/>
      </c>
    </row>
    <row r="1050" spans="2:33" ht="15" customHeight="1" x14ac:dyDescent="0.2">
      <c r="B1050" s="187"/>
      <c r="E1050" s="134" t="str">
        <f>IF(F1050="","",VLOOKUP(F1050,All_LTMN_Lookups!J1096:K2317,2))</f>
        <v/>
      </c>
      <c r="AG1050" s="183" t="str">
        <f t="shared" si="6"/>
        <v/>
      </c>
    </row>
    <row r="1051" spans="2:33" ht="15" customHeight="1" x14ac:dyDescent="0.2">
      <c r="B1051" s="187"/>
      <c r="E1051" s="134" t="str">
        <f>IF(F1051="","",VLOOKUP(F1051,All_LTMN_Lookups!J1097:K2318,2))</f>
        <v/>
      </c>
      <c r="AG1051" s="183" t="str">
        <f t="shared" si="6"/>
        <v/>
      </c>
    </row>
    <row r="1052" spans="2:33" ht="15" customHeight="1" x14ac:dyDescent="0.2">
      <c r="B1052" s="187"/>
      <c r="E1052" s="134" t="str">
        <f>IF(F1052="","",VLOOKUP(F1052,All_LTMN_Lookups!J1098:K2319,2))</f>
        <v/>
      </c>
      <c r="AG1052" s="183" t="str">
        <f t="shared" si="6"/>
        <v/>
      </c>
    </row>
    <row r="1053" spans="2:33" ht="15" customHeight="1" x14ac:dyDescent="0.2">
      <c r="B1053" s="187"/>
      <c r="E1053" s="134" t="str">
        <f>IF(F1053="","",VLOOKUP(F1053,All_LTMN_Lookups!J1099:K2320,2))</f>
        <v/>
      </c>
      <c r="AG1053" s="183" t="str">
        <f t="shared" si="6"/>
        <v/>
      </c>
    </row>
    <row r="1054" spans="2:33" ht="15" customHeight="1" x14ac:dyDescent="0.2">
      <c r="B1054" s="187"/>
      <c r="E1054" s="134" t="str">
        <f>IF(F1054="","",VLOOKUP(F1054,All_LTMN_Lookups!J1100:K2321,2))</f>
        <v/>
      </c>
      <c r="AG1054" s="183" t="str">
        <f t="shared" si="6"/>
        <v/>
      </c>
    </row>
    <row r="1055" spans="2:33" ht="15" customHeight="1" x14ac:dyDescent="0.2">
      <c r="B1055" s="187"/>
      <c r="E1055" s="134" t="str">
        <f>IF(F1055="","",VLOOKUP(F1055,All_LTMN_Lookups!J1101:K2322,2))</f>
        <v/>
      </c>
      <c r="AG1055" s="183" t="str">
        <f t="shared" si="6"/>
        <v/>
      </c>
    </row>
    <row r="1056" spans="2:33" ht="15" customHeight="1" x14ac:dyDescent="0.2">
      <c r="B1056" s="187"/>
      <c r="E1056" s="134" t="str">
        <f>IF(F1056="","",VLOOKUP(F1056,All_LTMN_Lookups!J1102:K2323,2))</f>
        <v/>
      </c>
      <c r="AG1056" s="183" t="str">
        <f t="shared" si="6"/>
        <v/>
      </c>
    </row>
    <row r="1057" spans="2:33" ht="15" customHeight="1" x14ac:dyDescent="0.2">
      <c r="B1057" s="187"/>
      <c r="E1057" s="134" t="str">
        <f>IF(F1057="","",VLOOKUP(F1057,All_LTMN_Lookups!J1103:K2324,2))</f>
        <v/>
      </c>
      <c r="AG1057" s="183" t="str">
        <f t="shared" si="6"/>
        <v/>
      </c>
    </row>
    <row r="1058" spans="2:33" ht="15" customHeight="1" x14ac:dyDescent="0.2">
      <c r="B1058" s="187"/>
      <c r="E1058" s="134" t="str">
        <f>IF(F1058="","",VLOOKUP(F1058,All_LTMN_Lookups!J1104:K2325,2))</f>
        <v/>
      </c>
      <c r="AG1058" s="183" t="str">
        <f t="shared" si="6"/>
        <v/>
      </c>
    </row>
    <row r="1059" spans="2:33" ht="15" customHeight="1" x14ac:dyDescent="0.2">
      <c r="B1059" s="187"/>
      <c r="E1059" s="134" t="str">
        <f>IF(F1059="","",VLOOKUP(F1059,All_LTMN_Lookups!J1105:K2326,2))</f>
        <v/>
      </c>
      <c r="AG1059" s="183" t="str">
        <f t="shared" si="6"/>
        <v/>
      </c>
    </row>
    <row r="1060" spans="2:33" ht="15" customHeight="1" x14ac:dyDescent="0.2">
      <c r="B1060" s="187"/>
      <c r="E1060" s="134" t="str">
        <f>IF(F1060="","",VLOOKUP(F1060,All_LTMN_Lookups!J1106:K2327,2))</f>
        <v/>
      </c>
      <c r="AG1060" s="183" t="str">
        <f t="shared" si="6"/>
        <v/>
      </c>
    </row>
    <row r="1061" spans="2:33" ht="15" customHeight="1" x14ac:dyDescent="0.2">
      <c r="B1061" s="187"/>
      <c r="E1061" s="134" t="str">
        <f>IF(F1061="","",VLOOKUP(F1061,All_LTMN_Lookups!J1107:K2328,2))</f>
        <v/>
      </c>
      <c r="AG1061" s="183" t="str">
        <f t="shared" si="6"/>
        <v/>
      </c>
    </row>
    <row r="1062" spans="2:33" ht="15" customHeight="1" x14ac:dyDescent="0.2">
      <c r="B1062" s="187"/>
      <c r="E1062" s="134" t="str">
        <f>IF(F1062="","",VLOOKUP(F1062,All_LTMN_Lookups!J1108:K2329,2))</f>
        <v/>
      </c>
      <c r="AG1062" s="183" t="str">
        <f t="shared" si="6"/>
        <v/>
      </c>
    </row>
    <row r="1063" spans="2:33" ht="15" customHeight="1" x14ac:dyDescent="0.2">
      <c r="B1063" s="187"/>
      <c r="E1063" s="134" t="str">
        <f>IF(F1063="","",VLOOKUP(F1063,All_LTMN_Lookups!J1109:K2330,2))</f>
        <v/>
      </c>
      <c r="AG1063" s="183" t="str">
        <f t="shared" si="6"/>
        <v/>
      </c>
    </row>
    <row r="1064" spans="2:33" ht="15" customHeight="1" x14ac:dyDescent="0.2">
      <c r="B1064" s="187"/>
      <c r="E1064" s="134" t="str">
        <f>IF(F1064="","",VLOOKUP(F1064,All_LTMN_Lookups!J1110:K2331,2))</f>
        <v/>
      </c>
      <c r="AG1064" s="183" t="str">
        <f t="shared" si="6"/>
        <v/>
      </c>
    </row>
    <row r="1065" spans="2:33" ht="15" customHeight="1" x14ac:dyDescent="0.2">
      <c r="B1065" s="187"/>
      <c r="E1065" s="134" t="str">
        <f>IF(F1065="","",VLOOKUP(F1065,All_LTMN_Lookups!J1111:K2332,2))</f>
        <v/>
      </c>
      <c r="AG1065" s="183" t="str">
        <f t="shared" si="6"/>
        <v/>
      </c>
    </row>
    <row r="1066" spans="2:33" ht="15" customHeight="1" x14ac:dyDescent="0.2">
      <c r="B1066" s="187"/>
      <c r="E1066" s="134" t="str">
        <f>IF(F1066="","",VLOOKUP(F1066,All_LTMN_Lookups!J1112:K2333,2))</f>
        <v/>
      </c>
      <c r="AG1066" s="183" t="str">
        <f t="shared" si="6"/>
        <v/>
      </c>
    </row>
    <row r="1067" spans="2:33" ht="15" customHeight="1" x14ac:dyDescent="0.2">
      <c r="B1067" s="187"/>
      <c r="E1067" s="134" t="str">
        <f>IF(F1067="","",VLOOKUP(F1067,All_LTMN_Lookups!J1113:K2334,2))</f>
        <v/>
      </c>
      <c r="AG1067" s="183" t="str">
        <f t="shared" si="6"/>
        <v/>
      </c>
    </row>
    <row r="1068" spans="2:33" ht="15" customHeight="1" x14ac:dyDescent="0.2">
      <c r="B1068" s="187"/>
      <c r="E1068" s="134" t="str">
        <f>IF(F1068="","",VLOOKUP(F1068,All_LTMN_Lookups!J1114:K2335,2))</f>
        <v/>
      </c>
      <c r="AG1068" s="183" t="str">
        <f t="shared" si="6"/>
        <v/>
      </c>
    </row>
    <row r="1069" spans="2:33" ht="15" customHeight="1" x14ac:dyDescent="0.2">
      <c r="B1069" s="187"/>
      <c r="E1069" s="134" t="str">
        <f>IF(F1069="","",VLOOKUP(F1069,All_LTMN_Lookups!J1115:K2336,2))</f>
        <v/>
      </c>
      <c r="AG1069" s="183" t="str">
        <f t="shared" si="6"/>
        <v/>
      </c>
    </row>
    <row r="1070" spans="2:33" ht="15" customHeight="1" x14ac:dyDescent="0.2">
      <c r="B1070" s="187"/>
      <c r="E1070" s="134" t="str">
        <f>IF(F1070="","",VLOOKUP(F1070,All_LTMN_Lookups!J1116:K2337,2))</f>
        <v/>
      </c>
      <c r="AG1070" s="183" t="str">
        <f t="shared" si="6"/>
        <v/>
      </c>
    </row>
    <row r="1071" spans="2:33" ht="15" customHeight="1" x14ac:dyDescent="0.2">
      <c r="B1071" s="187"/>
      <c r="E1071" s="134" t="str">
        <f>IF(F1071="","",VLOOKUP(F1071,All_LTMN_Lookups!J1117:K2338,2))</f>
        <v/>
      </c>
      <c r="AG1071" s="183" t="str">
        <f t="shared" si="6"/>
        <v/>
      </c>
    </row>
    <row r="1072" spans="2:33" ht="15" customHeight="1" x14ac:dyDescent="0.2">
      <c r="B1072" s="187"/>
      <c r="E1072" s="134" t="str">
        <f>IF(F1072="","",VLOOKUP(F1072,All_LTMN_Lookups!J1118:K2339,2))</f>
        <v/>
      </c>
      <c r="AG1072" s="183" t="str">
        <f t="shared" si="6"/>
        <v/>
      </c>
    </row>
    <row r="1073" spans="2:33" ht="15" customHeight="1" x14ac:dyDescent="0.2">
      <c r="B1073" s="187"/>
      <c r="E1073" s="134" t="str">
        <f>IF(F1073="","",VLOOKUP(F1073,All_LTMN_Lookups!J1119:K2340,2))</f>
        <v/>
      </c>
      <c r="AG1073" s="183" t="str">
        <f t="shared" si="6"/>
        <v/>
      </c>
    </row>
    <row r="1074" spans="2:33" ht="15" customHeight="1" x14ac:dyDescent="0.2">
      <c r="B1074" s="187"/>
      <c r="E1074" s="134" t="str">
        <f>IF(F1074="","",VLOOKUP(F1074,All_LTMN_Lookups!J1120:K2341,2))</f>
        <v/>
      </c>
      <c r="AG1074" s="183" t="str">
        <f t="shared" si="6"/>
        <v/>
      </c>
    </row>
    <row r="1075" spans="2:33" ht="15" customHeight="1" x14ac:dyDescent="0.2">
      <c r="B1075" s="187"/>
      <c r="E1075" s="134" t="str">
        <f>IF(F1075="","",VLOOKUP(F1075,All_LTMN_Lookups!J1121:K2342,2))</f>
        <v/>
      </c>
      <c r="AG1075" s="183" t="str">
        <f t="shared" si="6"/>
        <v/>
      </c>
    </row>
    <row r="1076" spans="2:33" ht="15" customHeight="1" x14ac:dyDescent="0.2">
      <c r="B1076" s="187"/>
      <c r="E1076" s="134" t="str">
        <f>IF(F1076="","",VLOOKUP(F1076,All_LTMN_Lookups!J1122:K2343,2))</f>
        <v/>
      </c>
      <c r="AG1076" s="183" t="str">
        <f t="shared" si="6"/>
        <v/>
      </c>
    </row>
    <row r="1077" spans="2:33" ht="15" customHeight="1" x14ac:dyDescent="0.2">
      <c r="B1077" s="187"/>
      <c r="E1077" s="134" t="str">
        <f>IF(F1077="","",VLOOKUP(F1077,All_LTMN_Lookups!J1123:K2344,2))</f>
        <v/>
      </c>
      <c r="AG1077" s="183" t="str">
        <f t="shared" si="6"/>
        <v/>
      </c>
    </row>
    <row r="1078" spans="2:33" ht="15" customHeight="1" x14ac:dyDescent="0.2">
      <c r="B1078" s="187"/>
      <c r="E1078" s="134" t="str">
        <f>IF(F1078="","",VLOOKUP(F1078,All_LTMN_Lookups!J1124:K2345,2))</f>
        <v/>
      </c>
      <c r="AG1078" s="183" t="str">
        <f t="shared" si="6"/>
        <v/>
      </c>
    </row>
    <row r="1079" spans="2:33" ht="15" customHeight="1" x14ac:dyDescent="0.2">
      <c r="B1079" s="187"/>
      <c r="E1079" s="134" t="str">
        <f>IF(F1079="","",VLOOKUP(F1079,All_LTMN_Lookups!J1125:K2346,2))</f>
        <v/>
      </c>
      <c r="AG1079" s="183" t="str">
        <f t="shared" si="6"/>
        <v/>
      </c>
    </row>
    <row r="1080" spans="2:33" ht="15" customHeight="1" x14ac:dyDescent="0.2">
      <c r="B1080" s="187"/>
      <c r="E1080" s="134" t="str">
        <f>IF(F1080="","",VLOOKUP(F1080,All_LTMN_Lookups!J1126:K2347,2))</f>
        <v/>
      </c>
      <c r="AG1080" s="183" t="str">
        <f t="shared" si="6"/>
        <v/>
      </c>
    </row>
    <row r="1081" spans="2:33" ht="15" customHeight="1" x14ac:dyDescent="0.2">
      <c r="B1081" s="187"/>
      <c r="E1081" s="134" t="str">
        <f>IF(F1081="","",VLOOKUP(F1081,All_LTMN_Lookups!J1127:K2348,2))</f>
        <v/>
      </c>
      <c r="AG1081" s="183" t="str">
        <f t="shared" si="6"/>
        <v/>
      </c>
    </row>
    <row r="1082" spans="2:33" ht="15" customHeight="1" x14ac:dyDescent="0.2">
      <c r="B1082" s="187"/>
      <c r="E1082" s="134" t="str">
        <f>IF(F1082="","",VLOOKUP(F1082,All_LTMN_Lookups!J1128:K2349,2))</f>
        <v/>
      </c>
      <c r="AG1082" s="183" t="str">
        <f t="shared" si="6"/>
        <v/>
      </c>
    </row>
    <row r="1083" spans="2:33" ht="15" customHeight="1" x14ac:dyDescent="0.2">
      <c r="B1083" s="187"/>
      <c r="E1083" s="134" t="str">
        <f>IF(F1083="","",VLOOKUP(F1083,All_LTMN_Lookups!J1129:K2350,2))</f>
        <v/>
      </c>
      <c r="AG1083" s="183" t="str">
        <f t="shared" si="6"/>
        <v/>
      </c>
    </row>
    <row r="1084" spans="2:33" ht="15" customHeight="1" x14ac:dyDescent="0.2">
      <c r="B1084" s="187"/>
      <c r="E1084" s="134" t="str">
        <f>IF(F1084="","",VLOOKUP(F1084,All_LTMN_Lookups!J1130:K2351,2))</f>
        <v/>
      </c>
      <c r="AG1084" s="183" t="str">
        <f t="shared" si="6"/>
        <v/>
      </c>
    </row>
    <row r="1085" spans="2:33" ht="15" customHeight="1" x14ac:dyDescent="0.2">
      <c r="B1085" s="187"/>
      <c r="E1085" s="134" t="str">
        <f>IF(F1085="","",VLOOKUP(F1085,All_LTMN_Lookups!J1131:K2352,2))</f>
        <v/>
      </c>
      <c r="AG1085" s="183" t="str">
        <f t="shared" si="6"/>
        <v/>
      </c>
    </row>
    <row r="1086" spans="2:33" ht="15" customHeight="1" x14ac:dyDescent="0.2">
      <c r="B1086" s="187"/>
      <c r="E1086" s="134" t="str">
        <f>IF(F1086="","",VLOOKUP(F1086,All_LTMN_Lookups!J1132:K2353,2))</f>
        <v/>
      </c>
      <c r="AG1086" s="183" t="str">
        <f t="shared" si="6"/>
        <v/>
      </c>
    </row>
    <row r="1087" spans="2:33" ht="15" customHeight="1" x14ac:dyDescent="0.2">
      <c r="B1087" s="187"/>
      <c r="E1087" s="134" t="str">
        <f>IF(F1087="","",VLOOKUP(F1087,All_LTMN_Lookups!J1133:K2354,2))</f>
        <v/>
      </c>
      <c r="AG1087" s="183" t="str">
        <f t="shared" si="6"/>
        <v/>
      </c>
    </row>
    <row r="1088" spans="2:33" ht="15" customHeight="1" x14ac:dyDescent="0.2">
      <c r="B1088" s="187"/>
      <c r="E1088" s="134" t="str">
        <f>IF(F1088="","",VLOOKUP(F1088,All_LTMN_Lookups!J1134:K2355,2))</f>
        <v/>
      </c>
      <c r="AG1088" s="183" t="str">
        <f t="shared" si="6"/>
        <v/>
      </c>
    </row>
    <row r="1089" spans="2:33" ht="15" customHeight="1" x14ac:dyDescent="0.2">
      <c r="B1089" s="187"/>
      <c r="E1089" s="134" t="str">
        <f>IF(F1089="","",VLOOKUP(F1089,All_LTMN_Lookups!J1135:K2356,2))</f>
        <v/>
      </c>
      <c r="AG1089" s="183" t="str">
        <f t="shared" si="6"/>
        <v/>
      </c>
    </row>
    <row r="1090" spans="2:33" ht="15" customHeight="1" x14ac:dyDescent="0.2">
      <c r="B1090" s="187"/>
      <c r="E1090" s="134" t="str">
        <f>IF(F1090="","",VLOOKUP(F1090,All_LTMN_Lookups!J1136:K2357,2))</f>
        <v/>
      </c>
      <c r="AG1090" s="183" t="str">
        <f t="shared" si="6"/>
        <v/>
      </c>
    </row>
    <row r="1091" spans="2:33" ht="15" customHeight="1" x14ac:dyDescent="0.2">
      <c r="B1091" s="187"/>
      <c r="E1091" s="134" t="str">
        <f>IF(F1091="","",VLOOKUP(F1091,All_LTMN_Lookups!J1137:K2358,2))</f>
        <v/>
      </c>
      <c r="AG1091" s="183" t="str">
        <f t="shared" si="6"/>
        <v/>
      </c>
    </row>
    <row r="1092" spans="2:33" ht="15" customHeight="1" x14ac:dyDescent="0.2">
      <c r="B1092" s="187"/>
      <c r="E1092" s="134" t="str">
        <f>IF(F1092="","",VLOOKUP(F1092,All_LTMN_Lookups!J1138:K2359,2))</f>
        <v/>
      </c>
      <c r="AG1092" s="183" t="str">
        <f t="shared" si="6"/>
        <v/>
      </c>
    </row>
    <row r="1093" spans="2:33" ht="15" customHeight="1" x14ac:dyDescent="0.2">
      <c r="B1093" s="187"/>
      <c r="E1093" s="134" t="str">
        <f>IF(F1093="","",VLOOKUP(F1093,All_LTMN_Lookups!J1139:K2360,2))</f>
        <v/>
      </c>
      <c r="AG1093" s="183" t="str">
        <f t="shared" si="6"/>
        <v/>
      </c>
    </row>
    <row r="1094" spans="2:33" ht="15" customHeight="1" x14ac:dyDescent="0.2">
      <c r="B1094" s="187"/>
      <c r="E1094" s="134" t="str">
        <f>IF(F1094="","",VLOOKUP(F1094,All_LTMN_Lookups!J1140:K2361,2))</f>
        <v/>
      </c>
      <c r="AG1094" s="183" t="str">
        <f t="shared" si="6"/>
        <v/>
      </c>
    </row>
    <row r="1095" spans="2:33" ht="15" customHeight="1" x14ac:dyDescent="0.2">
      <c r="B1095" s="187"/>
      <c r="E1095" s="134" t="str">
        <f>IF(F1095="","",VLOOKUP(F1095,All_LTMN_Lookups!J1141:K2362,2))</f>
        <v/>
      </c>
      <c r="AG1095" s="183" t="str">
        <f t="shared" si="6"/>
        <v/>
      </c>
    </row>
    <row r="1096" spans="2:33" ht="15" customHeight="1" x14ac:dyDescent="0.2">
      <c r="B1096" s="187"/>
      <c r="E1096" s="134" t="str">
        <f>IF(F1096="","",VLOOKUP(F1096,All_LTMN_Lookups!J1142:K2363,2))</f>
        <v/>
      </c>
      <c r="AG1096" s="183" t="str">
        <f t="shared" si="6"/>
        <v/>
      </c>
    </row>
    <row r="1097" spans="2:33" ht="15" customHeight="1" x14ac:dyDescent="0.2">
      <c r="B1097" s="187"/>
      <c r="E1097" s="134" t="str">
        <f>IF(F1097="","",VLOOKUP(F1097,All_LTMN_Lookups!J1143:K2364,2))</f>
        <v/>
      </c>
      <c r="AG1097" s="183" t="str">
        <f t="shared" si="6"/>
        <v/>
      </c>
    </row>
    <row r="1098" spans="2:33" ht="15" customHeight="1" x14ac:dyDescent="0.2">
      <c r="B1098" s="187"/>
      <c r="E1098" s="134" t="str">
        <f>IF(F1098="","",VLOOKUP(F1098,All_LTMN_Lookups!J1144:K2365,2))</f>
        <v/>
      </c>
      <c r="AG1098" s="183" t="str">
        <f t="shared" si="6"/>
        <v/>
      </c>
    </row>
    <row r="1099" spans="2:33" ht="15" customHeight="1" x14ac:dyDescent="0.2">
      <c r="B1099" s="187"/>
      <c r="E1099" s="134" t="str">
        <f>IF(F1099="","",VLOOKUP(F1099,All_LTMN_Lookups!J1145:K2366,2))</f>
        <v/>
      </c>
      <c r="AG1099" s="183" t="str">
        <f t="shared" ref="AG1099:AG1162" si="7">IF(F1099&lt;&gt;"",SUM(G1099:AE1099), "")</f>
        <v/>
      </c>
    </row>
    <row r="1100" spans="2:33" ht="15" customHeight="1" x14ac:dyDescent="0.2">
      <c r="B1100" s="187"/>
      <c r="E1100" s="134" t="str">
        <f>IF(F1100="","",VLOOKUP(F1100,All_LTMN_Lookups!J1146:K2367,2))</f>
        <v/>
      </c>
      <c r="AG1100" s="183" t="str">
        <f t="shared" si="7"/>
        <v/>
      </c>
    </row>
    <row r="1101" spans="2:33" ht="15" customHeight="1" x14ac:dyDescent="0.2">
      <c r="B1101" s="187"/>
      <c r="E1101" s="134" t="str">
        <f>IF(F1101="","",VLOOKUP(F1101,All_LTMN_Lookups!J1147:K2368,2))</f>
        <v/>
      </c>
      <c r="AG1101" s="183" t="str">
        <f t="shared" si="7"/>
        <v/>
      </c>
    </row>
    <row r="1102" spans="2:33" ht="15" customHeight="1" x14ac:dyDescent="0.2">
      <c r="B1102" s="187"/>
      <c r="E1102" s="134" t="str">
        <f>IF(F1102="","",VLOOKUP(F1102,All_LTMN_Lookups!J1148:K2369,2))</f>
        <v/>
      </c>
      <c r="AG1102" s="183" t="str">
        <f t="shared" si="7"/>
        <v/>
      </c>
    </row>
    <row r="1103" spans="2:33" ht="15" customHeight="1" x14ac:dyDescent="0.2">
      <c r="B1103" s="187"/>
      <c r="E1103" s="134" t="str">
        <f>IF(F1103="","",VLOOKUP(F1103,All_LTMN_Lookups!J1149:K2370,2))</f>
        <v/>
      </c>
      <c r="AG1103" s="183" t="str">
        <f t="shared" si="7"/>
        <v/>
      </c>
    </row>
    <row r="1104" spans="2:33" ht="15" customHeight="1" x14ac:dyDescent="0.2">
      <c r="B1104" s="187"/>
      <c r="E1104" s="134" t="str">
        <f>IF(F1104="","",VLOOKUP(F1104,All_LTMN_Lookups!J1150:K2371,2))</f>
        <v/>
      </c>
      <c r="AG1104" s="183" t="str">
        <f t="shared" si="7"/>
        <v/>
      </c>
    </row>
    <row r="1105" spans="2:33" ht="15" customHeight="1" x14ac:dyDescent="0.2">
      <c r="B1105" s="187"/>
      <c r="E1105" s="134" t="str">
        <f>IF(F1105="","",VLOOKUP(F1105,All_LTMN_Lookups!J1151:K2372,2))</f>
        <v/>
      </c>
      <c r="AG1105" s="183" t="str">
        <f t="shared" si="7"/>
        <v/>
      </c>
    </row>
    <row r="1106" spans="2:33" ht="15" customHeight="1" x14ac:dyDescent="0.2">
      <c r="B1106" s="187"/>
      <c r="E1106" s="134" t="str">
        <f>IF(F1106="","",VLOOKUP(F1106,All_LTMN_Lookups!J1152:K2373,2))</f>
        <v/>
      </c>
      <c r="AG1106" s="183" t="str">
        <f t="shared" si="7"/>
        <v/>
      </c>
    </row>
    <row r="1107" spans="2:33" ht="15" customHeight="1" x14ac:dyDescent="0.2">
      <c r="B1107" s="187"/>
      <c r="E1107" s="134" t="str">
        <f>IF(F1107="","",VLOOKUP(F1107,All_LTMN_Lookups!J1153:K2374,2))</f>
        <v/>
      </c>
      <c r="AG1107" s="183" t="str">
        <f t="shared" si="7"/>
        <v/>
      </c>
    </row>
    <row r="1108" spans="2:33" ht="15" customHeight="1" x14ac:dyDescent="0.2">
      <c r="B1108" s="187"/>
      <c r="E1108" s="134" t="str">
        <f>IF(F1108="","",VLOOKUP(F1108,All_LTMN_Lookups!J1154:K2375,2))</f>
        <v/>
      </c>
      <c r="AG1108" s="183" t="str">
        <f t="shared" si="7"/>
        <v/>
      </c>
    </row>
    <row r="1109" spans="2:33" ht="15" customHeight="1" x14ac:dyDescent="0.2">
      <c r="B1109" s="187"/>
      <c r="E1109" s="134" t="str">
        <f>IF(F1109="","",VLOOKUP(F1109,All_LTMN_Lookups!J1155:K2376,2))</f>
        <v/>
      </c>
      <c r="AG1109" s="183" t="str">
        <f t="shared" si="7"/>
        <v/>
      </c>
    </row>
    <row r="1110" spans="2:33" ht="15" customHeight="1" x14ac:dyDescent="0.2">
      <c r="B1110" s="187"/>
      <c r="E1110" s="134" t="str">
        <f>IF(F1110="","",VLOOKUP(F1110,All_LTMN_Lookups!J1156:K2377,2))</f>
        <v/>
      </c>
      <c r="AG1110" s="183" t="str">
        <f t="shared" si="7"/>
        <v/>
      </c>
    </row>
    <row r="1111" spans="2:33" ht="15" customHeight="1" x14ac:dyDescent="0.2">
      <c r="B1111" s="187"/>
      <c r="E1111" s="134" t="str">
        <f>IF(F1111="","",VLOOKUP(F1111,All_LTMN_Lookups!J1157:K2378,2))</f>
        <v/>
      </c>
      <c r="AG1111" s="183" t="str">
        <f t="shared" si="7"/>
        <v/>
      </c>
    </row>
    <row r="1112" spans="2:33" ht="15" customHeight="1" x14ac:dyDescent="0.2">
      <c r="B1112" s="187"/>
      <c r="E1112" s="134" t="str">
        <f>IF(F1112="","",VLOOKUP(F1112,All_LTMN_Lookups!J1158:K2379,2))</f>
        <v/>
      </c>
      <c r="AG1112" s="183" t="str">
        <f t="shared" si="7"/>
        <v/>
      </c>
    </row>
    <row r="1113" spans="2:33" ht="15" customHeight="1" x14ac:dyDescent="0.2">
      <c r="B1113" s="187"/>
      <c r="E1113" s="134" t="str">
        <f>IF(F1113="","",VLOOKUP(F1113,All_LTMN_Lookups!J1159:K2380,2))</f>
        <v/>
      </c>
      <c r="AG1113" s="183" t="str">
        <f t="shared" si="7"/>
        <v/>
      </c>
    </row>
    <row r="1114" spans="2:33" ht="15" customHeight="1" x14ac:dyDescent="0.2">
      <c r="B1114" s="187"/>
      <c r="E1114" s="134" t="str">
        <f>IF(F1114="","",VLOOKUP(F1114,All_LTMN_Lookups!J1160:K2381,2))</f>
        <v/>
      </c>
      <c r="AG1114" s="183" t="str">
        <f t="shared" si="7"/>
        <v/>
      </c>
    </row>
    <row r="1115" spans="2:33" ht="15" customHeight="1" x14ac:dyDescent="0.2">
      <c r="B1115" s="187"/>
      <c r="E1115" s="134" t="str">
        <f>IF(F1115="","",VLOOKUP(F1115,All_LTMN_Lookups!J1161:K2382,2))</f>
        <v/>
      </c>
      <c r="AG1115" s="183" t="str">
        <f t="shared" si="7"/>
        <v/>
      </c>
    </row>
    <row r="1116" spans="2:33" ht="15" customHeight="1" x14ac:dyDescent="0.2">
      <c r="B1116" s="187"/>
      <c r="E1116" s="134" t="str">
        <f>IF(F1116="","",VLOOKUP(F1116,All_LTMN_Lookups!J1162:K2383,2))</f>
        <v/>
      </c>
      <c r="AG1116" s="183" t="str">
        <f t="shared" si="7"/>
        <v/>
      </c>
    </row>
    <row r="1117" spans="2:33" ht="15" customHeight="1" x14ac:dyDescent="0.2">
      <c r="B1117" s="187"/>
      <c r="E1117" s="134" t="str">
        <f>IF(F1117="","",VLOOKUP(F1117,All_LTMN_Lookups!J1163:K2384,2))</f>
        <v/>
      </c>
      <c r="AG1117" s="183" t="str">
        <f t="shared" si="7"/>
        <v/>
      </c>
    </row>
    <row r="1118" spans="2:33" ht="15" customHeight="1" x14ac:dyDescent="0.2">
      <c r="B1118" s="187"/>
      <c r="E1118" s="134" t="str">
        <f>IF(F1118="","",VLOOKUP(F1118,All_LTMN_Lookups!J1164:K2385,2))</f>
        <v/>
      </c>
      <c r="AG1118" s="183" t="str">
        <f t="shared" si="7"/>
        <v/>
      </c>
    </row>
    <row r="1119" spans="2:33" ht="15" customHeight="1" x14ac:dyDescent="0.2">
      <c r="B1119" s="187"/>
      <c r="E1119" s="134" t="str">
        <f>IF(F1119="","",VLOOKUP(F1119,All_LTMN_Lookups!J1165:K2386,2))</f>
        <v/>
      </c>
      <c r="AG1119" s="183" t="str">
        <f t="shared" si="7"/>
        <v/>
      </c>
    </row>
    <row r="1120" spans="2:33" ht="15" customHeight="1" x14ac:dyDescent="0.2">
      <c r="B1120" s="187"/>
      <c r="E1120" s="134" t="str">
        <f>IF(F1120="","",VLOOKUP(F1120,All_LTMN_Lookups!J1166:K2387,2))</f>
        <v/>
      </c>
      <c r="AG1120" s="183" t="str">
        <f t="shared" si="7"/>
        <v/>
      </c>
    </row>
    <row r="1121" spans="2:33" ht="15" customHeight="1" x14ac:dyDescent="0.2">
      <c r="B1121" s="187"/>
      <c r="E1121" s="134" t="str">
        <f>IF(F1121="","",VLOOKUP(F1121,All_LTMN_Lookups!J1167:K2388,2))</f>
        <v/>
      </c>
      <c r="AG1121" s="183" t="str">
        <f t="shared" si="7"/>
        <v/>
      </c>
    </row>
    <row r="1122" spans="2:33" ht="15" customHeight="1" x14ac:dyDescent="0.2">
      <c r="B1122" s="187"/>
      <c r="E1122" s="134" t="str">
        <f>IF(F1122="","",VLOOKUP(F1122,All_LTMN_Lookups!J1168:K2389,2))</f>
        <v/>
      </c>
      <c r="AG1122" s="183" t="str">
        <f t="shared" si="7"/>
        <v/>
      </c>
    </row>
    <row r="1123" spans="2:33" ht="15" customHeight="1" x14ac:dyDescent="0.2">
      <c r="B1123" s="187"/>
      <c r="E1123" s="134" t="str">
        <f>IF(F1123="","",VLOOKUP(F1123,All_LTMN_Lookups!J1169:K2390,2))</f>
        <v/>
      </c>
      <c r="AG1123" s="183" t="str">
        <f t="shared" si="7"/>
        <v/>
      </c>
    </row>
    <row r="1124" spans="2:33" ht="15" customHeight="1" x14ac:dyDescent="0.2">
      <c r="B1124" s="187"/>
      <c r="E1124" s="134" t="str">
        <f>IF(F1124="","",VLOOKUP(F1124,All_LTMN_Lookups!J1170:K2391,2))</f>
        <v/>
      </c>
      <c r="AG1124" s="183" t="str">
        <f t="shared" si="7"/>
        <v/>
      </c>
    </row>
    <row r="1125" spans="2:33" ht="15" customHeight="1" x14ac:dyDescent="0.2">
      <c r="B1125" s="187"/>
      <c r="E1125" s="134" t="str">
        <f>IF(F1125="","",VLOOKUP(F1125,All_LTMN_Lookups!J1171:K2392,2))</f>
        <v/>
      </c>
      <c r="AG1125" s="183" t="str">
        <f t="shared" si="7"/>
        <v/>
      </c>
    </row>
    <row r="1126" spans="2:33" ht="15" customHeight="1" x14ac:dyDescent="0.2">
      <c r="B1126" s="187"/>
      <c r="E1126" s="134" t="str">
        <f>IF(F1126="","",VLOOKUP(F1126,All_LTMN_Lookups!J1172:K2393,2))</f>
        <v/>
      </c>
      <c r="AG1126" s="183" t="str">
        <f t="shared" si="7"/>
        <v/>
      </c>
    </row>
    <row r="1127" spans="2:33" ht="15" customHeight="1" x14ac:dyDescent="0.2">
      <c r="B1127" s="187"/>
      <c r="E1127" s="134" t="str">
        <f>IF(F1127="","",VLOOKUP(F1127,All_LTMN_Lookups!J1173:K2394,2))</f>
        <v/>
      </c>
      <c r="AG1127" s="183" t="str">
        <f t="shared" si="7"/>
        <v/>
      </c>
    </row>
    <row r="1128" spans="2:33" ht="15" customHeight="1" x14ac:dyDescent="0.2">
      <c r="B1128" s="187"/>
      <c r="E1128" s="134" t="str">
        <f>IF(F1128="","",VLOOKUP(F1128,All_LTMN_Lookups!J1174:K2395,2))</f>
        <v/>
      </c>
      <c r="AG1128" s="183" t="str">
        <f t="shared" si="7"/>
        <v/>
      </c>
    </row>
    <row r="1129" spans="2:33" ht="15" customHeight="1" x14ac:dyDescent="0.2">
      <c r="B1129" s="187"/>
      <c r="E1129" s="134" t="str">
        <f>IF(F1129="","",VLOOKUP(F1129,All_LTMN_Lookups!J1175:K2396,2))</f>
        <v/>
      </c>
      <c r="AG1129" s="183" t="str">
        <f t="shared" si="7"/>
        <v/>
      </c>
    </row>
    <row r="1130" spans="2:33" ht="15" customHeight="1" x14ac:dyDescent="0.2">
      <c r="B1130" s="187"/>
      <c r="E1130" s="134" t="str">
        <f>IF(F1130="","",VLOOKUP(F1130,All_LTMN_Lookups!J1176:K2397,2))</f>
        <v/>
      </c>
      <c r="AG1130" s="183" t="str">
        <f t="shared" si="7"/>
        <v/>
      </c>
    </row>
    <row r="1131" spans="2:33" ht="15" customHeight="1" x14ac:dyDescent="0.2">
      <c r="B1131" s="187"/>
      <c r="E1131" s="134" t="str">
        <f>IF(F1131="","",VLOOKUP(F1131,All_LTMN_Lookups!J1177:K2398,2))</f>
        <v/>
      </c>
      <c r="AG1131" s="183" t="str">
        <f t="shared" si="7"/>
        <v/>
      </c>
    </row>
    <row r="1132" spans="2:33" ht="15" customHeight="1" x14ac:dyDescent="0.2">
      <c r="B1132" s="187"/>
      <c r="E1132" s="134" t="str">
        <f>IF(F1132="","",VLOOKUP(F1132,All_LTMN_Lookups!J1178:K2399,2))</f>
        <v/>
      </c>
      <c r="AG1132" s="183" t="str">
        <f t="shared" si="7"/>
        <v/>
      </c>
    </row>
    <row r="1133" spans="2:33" ht="15" customHeight="1" x14ac:dyDescent="0.2">
      <c r="B1133" s="187"/>
      <c r="E1133" s="134" t="str">
        <f>IF(F1133="","",VLOOKUP(F1133,All_LTMN_Lookups!J1179:K2400,2))</f>
        <v/>
      </c>
      <c r="AG1133" s="183" t="str">
        <f t="shared" si="7"/>
        <v/>
      </c>
    </row>
    <row r="1134" spans="2:33" ht="15" customHeight="1" x14ac:dyDescent="0.2">
      <c r="B1134" s="187"/>
      <c r="E1134" s="134" t="str">
        <f>IF(F1134="","",VLOOKUP(F1134,All_LTMN_Lookups!J1180:K2401,2))</f>
        <v/>
      </c>
      <c r="AG1134" s="183" t="str">
        <f t="shared" si="7"/>
        <v/>
      </c>
    </row>
    <row r="1135" spans="2:33" ht="15" customHeight="1" x14ac:dyDescent="0.2">
      <c r="B1135" s="187"/>
      <c r="E1135" s="134" t="str">
        <f>IF(F1135="","",VLOOKUP(F1135,All_LTMN_Lookups!J1181:K2402,2))</f>
        <v/>
      </c>
      <c r="AG1135" s="183" t="str">
        <f t="shared" si="7"/>
        <v/>
      </c>
    </row>
    <row r="1136" spans="2:33" ht="15" customHeight="1" x14ac:dyDescent="0.2">
      <c r="B1136" s="187"/>
      <c r="E1136" s="134" t="str">
        <f>IF(F1136="","",VLOOKUP(F1136,All_LTMN_Lookups!J1182:K2403,2))</f>
        <v/>
      </c>
      <c r="AG1136" s="183" t="str">
        <f t="shared" si="7"/>
        <v/>
      </c>
    </row>
    <row r="1137" spans="2:33" ht="15" customHeight="1" x14ac:dyDescent="0.2">
      <c r="B1137" s="187"/>
      <c r="E1137" s="134" t="str">
        <f>IF(F1137="","",VLOOKUP(F1137,All_LTMN_Lookups!J1183:K2404,2))</f>
        <v/>
      </c>
      <c r="AG1137" s="183" t="str">
        <f t="shared" si="7"/>
        <v/>
      </c>
    </row>
    <row r="1138" spans="2:33" ht="15" customHeight="1" x14ac:dyDescent="0.2">
      <c r="B1138" s="187"/>
      <c r="E1138" s="134" t="str">
        <f>IF(F1138="","",VLOOKUP(F1138,All_LTMN_Lookups!J1184:K2405,2))</f>
        <v/>
      </c>
      <c r="AG1138" s="183" t="str">
        <f t="shared" si="7"/>
        <v/>
      </c>
    </row>
    <row r="1139" spans="2:33" ht="15" customHeight="1" x14ac:dyDescent="0.2">
      <c r="B1139" s="187"/>
      <c r="E1139" s="134" t="str">
        <f>IF(F1139="","",VLOOKUP(F1139,All_LTMN_Lookups!J1185:K2406,2))</f>
        <v/>
      </c>
      <c r="AG1139" s="183" t="str">
        <f t="shared" si="7"/>
        <v/>
      </c>
    </row>
    <row r="1140" spans="2:33" ht="15" customHeight="1" x14ac:dyDescent="0.2">
      <c r="B1140" s="187"/>
      <c r="E1140" s="134" t="str">
        <f>IF(F1140="","",VLOOKUP(F1140,All_LTMN_Lookups!J1186:K2407,2))</f>
        <v/>
      </c>
      <c r="AG1140" s="183" t="str">
        <f t="shared" si="7"/>
        <v/>
      </c>
    </row>
    <row r="1141" spans="2:33" ht="15" customHeight="1" x14ac:dyDescent="0.2">
      <c r="B1141" s="187"/>
      <c r="E1141" s="134" t="str">
        <f>IF(F1141="","",VLOOKUP(F1141,All_LTMN_Lookups!J1187:K2408,2))</f>
        <v/>
      </c>
      <c r="AG1141" s="183" t="str">
        <f t="shared" si="7"/>
        <v/>
      </c>
    </row>
    <row r="1142" spans="2:33" ht="15" customHeight="1" x14ac:dyDescent="0.2">
      <c r="B1142" s="187"/>
      <c r="E1142" s="134" t="str">
        <f>IF(F1142="","",VLOOKUP(F1142,All_LTMN_Lookups!J1188:K2409,2))</f>
        <v/>
      </c>
      <c r="AG1142" s="183" t="str">
        <f t="shared" si="7"/>
        <v/>
      </c>
    </row>
    <row r="1143" spans="2:33" ht="15" customHeight="1" x14ac:dyDescent="0.2">
      <c r="B1143" s="187"/>
      <c r="E1143" s="134" t="str">
        <f>IF(F1143="","",VLOOKUP(F1143,All_LTMN_Lookups!J1189:K2410,2))</f>
        <v/>
      </c>
      <c r="AG1143" s="183" t="str">
        <f t="shared" si="7"/>
        <v/>
      </c>
    </row>
    <row r="1144" spans="2:33" ht="15" customHeight="1" x14ac:dyDescent="0.2">
      <c r="B1144" s="187"/>
      <c r="E1144" s="134" t="str">
        <f>IF(F1144="","",VLOOKUP(F1144,All_LTMN_Lookups!J1190:K2411,2))</f>
        <v/>
      </c>
      <c r="AG1144" s="183" t="str">
        <f t="shared" si="7"/>
        <v/>
      </c>
    </row>
    <row r="1145" spans="2:33" ht="15" customHeight="1" x14ac:dyDescent="0.2">
      <c r="B1145" s="187"/>
      <c r="E1145" s="134" t="str">
        <f>IF(F1145="","",VLOOKUP(F1145,All_LTMN_Lookups!J1191:K2412,2))</f>
        <v/>
      </c>
      <c r="AG1145" s="183" t="str">
        <f t="shared" si="7"/>
        <v/>
      </c>
    </row>
    <row r="1146" spans="2:33" ht="15" customHeight="1" x14ac:dyDescent="0.2">
      <c r="B1146" s="187"/>
      <c r="E1146" s="134" t="str">
        <f>IF(F1146="","",VLOOKUP(F1146,All_LTMN_Lookups!J1192:K2413,2))</f>
        <v/>
      </c>
      <c r="AG1146" s="183" t="str">
        <f t="shared" si="7"/>
        <v/>
      </c>
    </row>
    <row r="1147" spans="2:33" ht="15" customHeight="1" x14ac:dyDescent="0.2">
      <c r="B1147" s="187"/>
      <c r="E1147" s="134" t="str">
        <f>IF(F1147="","",VLOOKUP(F1147,All_LTMN_Lookups!J1193:K2414,2))</f>
        <v/>
      </c>
      <c r="AG1147" s="183" t="str">
        <f t="shared" si="7"/>
        <v/>
      </c>
    </row>
    <row r="1148" spans="2:33" ht="15" customHeight="1" x14ac:dyDescent="0.2">
      <c r="B1148" s="187"/>
      <c r="E1148" s="134" t="str">
        <f>IF(F1148="","",VLOOKUP(F1148,All_LTMN_Lookups!J1194:K2415,2))</f>
        <v/>
      </c>
      <c r="AG1148" s="183" t="str">
        <f t="shared" si="7"/>
        <v/>
      </c>
    </row>
    <row r="1149" spans="2:33" ht="15" customHeight="1" x14ac:dyDescent="0.2">
      <c r="B1149" s="187"/>
      <c r="E1149" s="134" t="str">
        <f>IF(F1149="","",VLOOKUP(F1149,All_LTMN_Lookups!J1195:K2416,2))</f>
        <v/>
      </c>
      <c r="AG1149" s="183" t="str">
        <f t="shared" si="7"/>
        <v/>
      </c>
    </row>
    <row r="1150" spans="2:33" ht="15" customHeight="1" x14ac:dyDescent="0.2">
      <c r="B1150" s="187"/>
      <c r="E1150" s="134" t="str">
        <f>IF(F1150="","",VLOOKUP(F1150,All_LTMN_Lookups!J1196:K2417,2))</f>
        <v/>
      </c>
      <c r="AG1150" s="183" t="str">
        <f t="shared" si="7"/>
        <v/>
      </c>
    </row>
    <row r="1151" spans="2:33" ht="15" customHeight="1" x14ac:dyDescent="0.2">
      <c r="B1151" s="187"/>
      <c r="E1151" s="134" t="str">
        <f>IF(F1151="","",VLOOKUP(F1151,All_LTMN_Lookups!J1197:K2418,2))</f>
        <v/>
      </c>
      <c r="AG1151" s="183" t="str">
        <f t="shared" si="7"/>
        <v/>
      </c>
    </row>
    <row r="1152" spans="2:33" ht="15" customHeight="1" x14ac:dyDescent="0.2">
      <c r="B1152" s="187"/>
      <c r="E1152" s="134" t="str">
        <f>IF(F1152="","",VLOOKUP(F1152,All_LTMN_Lookups!J1198:K2419,2))</f>
        <v/>
      </c>
      <c r="AG1152" s="183" t="str">
        <f t="shared" si="7"/>
        <v/>
      </c>
    </row>
    <row r="1153" spans="2:33" ht="15" customHeight="1" x14ac:dyDescent="0.2">
      <c r="B1153" s="187"/>
      <c r="E1153" s="134" t="str">
        <f>IF(F1153="","",VLOOKUP(F1153,All_LTMN_Lookups!J1199:K2420,2))</f>
        <v/>
      </c>
      <c r="AG1153" s="183" t="str">
        <f t="shared" si="7"/>
        <v/>
      </c>
    </row>
    <row r="1154" spans="2:33" ht="15" customHeight="1" x14ac:dyDescent="0.2">
      <c r="B1154" s="187"/>
      <c r="E1154" s="134" t="str">
        <f>IF(F1154="","",VLOOKUP(F1154,All_LTMN_Lookups!J1200:K2421,2))</f>
        <v/>
      </c>
      <c r="AG1154" s="183" t="str">
        <f t="shared" si="7"/>
        <v/>
      </c>
    </row>
    <row r="1155" spans="2:33" ht="15" customHeight="1" x14ac:dyDescent="0.2">
      <c r="B1155" s="187"/>
      <c r="E1155" s="134" t="str">
        <f>IF(F1155="","",VLOOKUP(F1155,All_LTMN_Lookups!J1201:K2422,2))</f>
        <v/>
      </c>
      <c r="AG1155" s="183" t="str">
        <f t="shared" si="7"/>
        <v/>
      </c>
    </row>
    <row r="1156" spans="2:33" ht="15" customHeight="1" x14ac:dyDescent="0.2">
      <c r="B1156" s="187"/>
      <c r="E1156" s="134" t="str">
        <f>IF(F1156="","",VLOOKUP(F1156,All_LTMN_Lookups!J1202:K2423,2))</f>
        <v/>
      </c>
      <c r="AG1156" s="183" t="str">
        <f t="shared" si="7"/>
        <v/>
      </c>
    </row>
    <row r="1157" spans="2:33" ht="15" customHeight="1" x14ac:dyDescent="0.2">
      <c r="B1157" s="187"/>
      <c r="E1157" s="134" t="str">
        <f>IF(F1157="","",VLOOKUP(F1157,All_LTMN_Lookups!J1203:K2424,2))</f>
        <v/>
      </c>
      <c r="AG1157" s="183" t="str">
        <f t="shared" si="7"/>
        <v/>
      </c>
    </row>
    <row r="1158" spans="2:33" ht="15" customHeight="1" x14ac:dyDescent="0.2">
      <c r="B1158" s="187"/>
      <c r="E1158" s="134" t="str">
        <f>IF(F1158="","",VLOOKUP(F1158,All_LTMN_Lookups!J1204:K2425,2))</f>
        <v/>
      </c>
      <c r="AG1158" s="183" t="str">
        <f t="shared" si="7"/>
        <v/>
      </c>
    </row>
    <row r="1159" spans="2:33" ht="15" customHeight="1" x14ac:dyDescent="0.2">
      <c r="B1159" s="187"/>
      <c r="E1159" s="134" t="str">
        <f>IF(F1159="","",VLOOKUP(F1159,All_LTMN_Lookups!J1205:K2426,2))</f>
        <v/>
      </c>
      <c r="AG1159" s="183" t="str">
        <f t="shared" si="7"/>
        <v/>
      </c>
    </row>
    <row r="1160" spans="2:33" ht="15" customHeight="1" x14ac:dyDescent="0.2">
      <c r="B1160" s="187"/>
      <c r="E1160" s="134" t="str">
        <f>IF(F1160="","",VLOOKUP(F1160,All_LTMN_Lookups!J1206:K2427,2))</f>
        <v/>
      </c>
      <c r="AG1160" s="183" t="str">
        <f t="shared" si="7"/>
        <v/>
      </c>
    </row>
    <row r="1161" spans="2:33" ht="15" customHeight="1" x14ac:dyDescent="0.2">
      <c r="B1161" s="187"/>
      <c r="E1161" s="134" t="str">
        <f>IF(F1161="","",VLOOKUP(F1161,All_LTMN_Lookups!J1207:K2428,2))</f>
        <v/>
      </c>
      <c r="AG1161" s="183" t="str">
        <f t="shared" si="7"/>
        <v/>
      </c>
    </row>
    <row r="1162" spans="2:33" ht="15" customHeight="1" x14ac:dyDescent="0.2">
      <c r="B1162" s="187"/>
      <c r="E1162" s="134" t="str">
        <f>IF(F1162="","",VLOOKUP(F1162,All_LTMN_Lookups!J1208:K2429,2))</f>
        <v/>
      </c>
      <c r="AG1162" s="183" t="str">
        <f t="shared" si="7"/>
        <v/>
      </c>
    </row>
    <row r="1163" spans="2:33" ht="15" customHeight="1" x14ac:dyDescent="0.2">
      <c r="B1163" s="187"/>
      <c r="E1163" s="134" t="str">
        <f>IF(F1163="","",VLOOKUP(F1163,All_LTMN_Lookups!J1209:K2430,2))</f>
        <v/>
      </c>
      <c r="AG1163" s="183" t="str">
        <f t="shared" ref="AG1163:AG1226" si="8">IF(F1163&lt;&gt;"",SUM(G1163:AE1163), "")</f>
        <v/>
      </c>
    </row>
    <row r="1164" spans="2:33" ht="15" customHeight="1" x14ac:dyDescent="0.2">
      <c r="B1164" s="187"/>
      <c r="E1164" s="134" t="str">
        <f>IF(F1164="","",VLOOKUP(F1164,All_LTMN_Lookups!J1210:K2431,2))</f>
        <v/>
      </c>
      <c r="AG1164" s="183" t="str">
        <f t="shared" si="8"/>
        <v/>
      </c>
    </row>
    <row r="1165" spans="2:33" ht="15" customHeight="1" x14ac:dyDescent="0.2">
      <c r="B1165" s="187"/>
      <c r="E1165" s="134" t="str">
        <f>IF(F1165="","",VLOOKUP(F1165,All_LTMN_Lookups!J1211:K2432,2))</f>
        <v/>
      </c>
      <c r="AG1165" s="183" t="str">
        <f t="shared" si="8"/>
        <v/>
      </c>
    </row>
    <row r="1166" spans="2:33" ht="15" customHeight="1" x14ac:dyDescent="0.2">
      <c r="B1166" s="187"/>
      <c r="E1166" s="134" t="str">
        <f>IF(F1166="","",VLOOKUP(F1166,All_LTMN_Lookups!J1212:K2433,2))</f>
        <v/>
      </c>
      <c r="AG1166" s="183" t="str">
        <f t="shared" si="8"/>
        <v/>
      </c>
    </row>
    <row r="1167" spans="2:33" ht="15" customHeight="1" x14ac:dyDescent="0.2">
      <c r="B1167" s="187"/>
      <c r="E1167" s="134" t="str">
        <f>IF(F1167="","",VLOOKUP(F1167,All_LTMN_Lookups!J1213:K2434,2))</f>
        <v/>
      </c>
      <c r="AG1167" s="183" t="str">
        <f t="shared" si="8"/>
        <v/>
      </c>
    </row>
    <row r="1168" spans="2:33" ht="15" customHeight="1" x14ac:dyDescent="0.2">
      <c r="B1168" s="187"/>
      <c r="E1168" s="134" t="str">
        <f>IF(F1168="","",VLOOKUP(F1168,All_LTMN_Lookups!J1214:K2435,2))</f>
        <v/>
      </c>
      <c r="AG1168" s="183" t="str">
        <f t="shared" si="8"/>
        <v/>
      </c>
    </row>
    <row r="1169" spans="2:33" ht="15" customHeight="1" x14ac:dyDescent="0.2">
      <c r="B1169" s="187"/>
      <c r="E1169" s="134" t="str">
        <f>IF(F1169="","",VLOOKUP(F1169,All_LTMN_Lookups!J1215:K2436,2))</f>
        <v/>
      </c>
      <c r="AG1169" s="183" t="str">
        <f t="shared" si="8"/>
        <v/>
      </c>
    </row>
    <row r="1170" spans="2:33" ht="15" customHeight="1" x14ac:dyDescent="0.2">
      <c r="B1170" s="187"/>
      <c r="E1170" s="134" t="str">
        <f>IF(F1170="","",VLOOKUP(F1170,All_LTMN_Lookups!J1216:K2437,2))</f>
        <v/>
      </c>
      <c r="AG1170" s="183" t="str">
        <f t="shared" si="8"/>
        <v/>
      </c>
    </row>
    <row r="1171" spans="2:33" ht="15" customHeight="1" x14ac:dyDescent="0.2">
      <c r="B1171" s="187"/>
      <c r="E1171" s="134" t="str">
        <f>IF(F1171="","",VLOOKUP(F1171,All_LTMN_Lookups!J1217:K2438,2))</f>
        <v/>
      </c>
      <c r="AG1171" s="183" t="str">
        <f t="shared" si="8"/>
        <v/>
      </c>
    </row>
    <row r="1172" spans="2:33" ht="15" customHeight="1" x14ac:dyDescent="0.2">
      <c r="B1172" s="187"/>
      <c r="E1172" s="134" t="str">
        <f>IF(F1172="","",VLOOKUP(F1172,All_LTMN_Lookups!J1218:K2439,2))</f>
        <v/>
      </c>
      <c r="AG1172" s="183" t="str">
        <f t="shared" si="8"/>
        <v/>
      </c>
    </row>
    <row r="1173" spans="2:33" ht="15" customHeight="1" x14ac:dyDescent="0.2">
      <c r="B1173" s="187"/>
      <c r="E1173" s="134" t="str">
        <f>IF(F1173="","",VLOOKUP(F1173,All_LTMN_Lookups!J1219:K2440,2))</f>
        <v/>
      </c>
      <c r="AG1173" s="183" t="str">
        <f t="shared" si="8"/>
        <v/>
      </c>
    </row>
    <row r="1174" spans="2:33" ht="15" customHeight="1" x14ac:dyDescent="0.2">
      <c r="B1174" s="187"/>
      <c r="E1174" s="134" t="str">
        <f>IF(F1174="","",VLOOKUP(F1174,All_LTMN_Lookups!J1220:K2441,2))</f>
        <v/>
      </c>
      <c r="AG1174" s="183" t="str">
        <f t="shared" si="8"/>
        <v/>
      </c>
    </row>
    <row r="1175" spans="2:33" ht="15" customHeight="1" x14ac:dyDescent="0.2">
      <c r="B1175" s="187"/>
      <c r="E1175" s="134" t="str">
        <f>IF(F1175="","",VLOOKUP(F1175,All_LTMN_Lookups!J1221:K2442,2))</f>
        <v/>
      </c>
      <c r="AG1175" s="183" t="str">
        <f t="shared" si="8"/>
        <v/>
      </c>
    </row>
    <row r="1176" spans="2:33" ht="15" customHeight="1" x14ac:dyDescent="0.2">
      <c r="B1176" s="187"/>
      <c r="E1176" s="134" t="str">
        <f>IF(F1176="","",VLOOKUP(F1176,All_LTMN_Lookups!J1222:K2443,2))</f>
        <v/>
      </c>
      <c r="AG1176" s="183" t="str">
        <f t="shared" si="8"/>
        <v/>
      </c>
    </row>
    <row r="1177" spans="2:33" ht="15" customHeight="1" x14ac:dyDescent="0.2">
      <c r="B1177" s="187"/>
      <c r="E1177" s="134" t="str">
        <f>IF(F1177="","",VLOOKUP(F1177,All_LTMN_Lookups!J1223:K2444,2))</f>
        <v/>
      </c>
      <c r="AG1177" s="183" t="str">
        <f t="shared" si="8"/>
        <v/>
      </c>
    </row>
    <row r="1178" spans="2:33" ht="15" customHeight="1" x14ac:dyDescent="0.2">
      <c r="B1178" s="187"/>
      <c r="E1178" s="134" t="str">
        <f>IF(F1178="","",VLOOKUP(F1178,All_LTMN_Lookups!J1224:K2445,2))</f>
        <v/>
      </c>
      <c r="AG1178" s="183" t="str">
        <f t="shared" si="8"/>
        <v/>
      </c>
    </row>
    <row r="1179" spans="2:33" ht="15" customHeight="1" x14ac:dyDescent="0.2">
      <c r="B1179" s="187"/>
      <c r="E1179" s="134" t="str">
        <f>IF(F1179="","",VLOOKUP(F1179,All_LTMN_Lookups!J1225:K2446,2))</f>
        <v/>
      </c>
      <c r="AG1179" s="183" t="str">
        <f t="shared" si="8"/>
        <v/>
      </c>
    </row>
    <row r="1180" spans="2:33" ht="15" customHeight="1" x14ac:dyDescent="0.2">
      <c r="B1180" s="187"/>
      <c r="E1180" s="134" t="str">
        <f>IF(F1180="","",VLOOKUP(F1180,All_LTMN_Lookups!J1226:K2447,2))</f>
        <v/>
      </c>
      <c r="AG1180" s="183" t="str">
        <f t="shared" si="8"/>
        <v/>
      </c>
    </row>
    <row r="1181" spans="2:33" ht="15" customHeight="1" x14ac:dyDescent="0.2">
      <c r="B1181" s="187"/>
      <c r="E1181" s="134" t="str">
        <f>IF(F1181="","",VLOOKUP(F1181,All_LTMN_Lookups!J1227:K2448,2))</f>
        <v/>
      </c>
      <c r="AG1181" s="183" t="str">
        <f t="shared" si="8"/>
        <v/>
      </c>
    </row>
    <row r="1182" spans="2:33" ht="15" customHeight="1" x14ac:dyDescent="0.2">
      <c r="B1182" s="187"/>
      <c r="E1182" s="134" t="str">
        <f>IF(F1182="","",VLOOKUP(F1182,All_LTMN_Lookups!J1228:K2449,2))</f>
        <v/>
      </c>
      <c r="AG1182" s="183" t="str">
        <f t="shared" si="8"/>
        <v/>
      </c>
    </row>
    <row r="1183" spans="2:33" ht="15" customHeight="1" x14ac:dyDescent="0.2">
      <c r="B1183" s="187"/>
      <c r="E1183" s="134" t="str">
        <f>IF(F1183="","",VLOOKUP(F1183,All_LTMN_Lookups!J1229:K2450,2))</f>
        <v/>
      </c>
      <c r="AG1183" s="183" t="str">
        <f t="shared" si="8"/>
        <v/>
      </c>
    </row>
    <row r="1184" spans="2:33" ht="15" customHeight="1" x14ac:dyDescent="0.2">
      <c r="B1184" s="187"/>
      <c r="E1184" s="134" t="str">
        <f>IF(F1184="","",VLOOKUP(F1184,All_LTMN_Lookups!J1230:K2451,2))</f>
        <v/>
      </c>
      <c r="AG1184" s="183" t="str">
        <f t="shared" si="8"/>
        <v/>
      </c>
    </row>
    <row r="1185" spans="2:33" ht="15" customHeight="1" x14ac:dyDescent="0.2">
      <c r="B1185" s="187"/>
      <c r="E1185" s="134" t="str">
        <f>IF(F1185="","",VLOOKUP(F1185,All_LTMN_Lookups!J1231:K2452,2))</f>
        <v/>
      </c>
      <c r="AG1185" s="183" t="str">
        <f t="shared" si="8"/>
        <v/>
      </c>
    </row>
    <row r="1186" spans="2:33" ht="15" customHeight="1" x14ac:dyDescent="0.2">
      <c r="B1186" s="187"/>
      <c r="E1186" s="134" t="str">
        <f>IF(F1186="","",VLOOKUP(F1186,All_LTMN_Lookups!J1232:K2453,2))</f>
        <v/>
      </c>
      <c r="AG1186" s="183" t="str">
        <f t="shared" si="8"/>
        <v/>
      </c>
    </row>
    <row r="1187" spans="2:33" ht="15" customHeight="1" x14ac:dyDescent="0.2">
      <c r="B1187" s="187"/>
      <c r="E1187" s="134" t="str">
        <f>IF(F1187="","",VLOOKUP(F1187,All_LTMN_Lookups!J1233:K2454,2))</f>
        <v/>
      </c>
      <c r="AG1187" s="183" t="str">
        <f t="shared" si="8"/>
        <v/>
      </c>
    </row>
    <row r="1188" spans="2:33" ht="15" customHeight="1" x14ac:dyDescent="0.2">
      <c r="B1188" s="187"/>
      <c r="E1188" s="134" t="str">
        <f>IF(F1188="","",VLOOKUP(F1188,All_LTMN_Lookups!J1234:K2455,2))</f>
        <v/>
      </c>
      <c r="AG1188" s="183" t="str">
        <f t="shared" si="8"/>
        <v/>
      </c>
    </row>
    <row r="1189" spans="2:33" ht="15" customHeight="1" x14ac:dyDescent="0.2">
      <c r="B1189" s="187"/>
      <c r="E1189" s="134" t="str">
        <f>IF(F1189="","",VLOOKUP(F1189,All_LTMN_Lookups!J1235:K2456,2))</f>
        <v/>
      </c>
      <c r="AG1189" s="183" t="str">
        <f t="shared" si="8"/>
        <v/>
      </c>
    </row>
    <row r="1190" spans="2:33" ht="15" customHeight="1" x14ac:dyDescent="0.2">
      <c r="B1190" s="187"/>
      <c r="E1190" s="134" t="str">
        <f>IF(F1190="","",VLOOKUP(F1190,All_LTMN_Lookups!J1236:K2457,2))</f>
        <v/>
      </c>
      <c r="AG1190" s="183" t="str">
        <f t="shared" si="8"/>
        <v/>
      </c>
    </row>
    <row r="1191" spans="2:33" ht="15" customHeight="1" x14ac:dyDescent="0.2">
      <c r="B1191" s="187"/>
      <c r="E1191" s="134" t="str">
        <f>IF(F1191="","",VLOOKUP(F1191,All_LTMN_Lookups!J1237:K2458,2))</f>
        <v/>
      </c>
      <c r="AG1191" s="183" t="str">
        <f t="shared" si="8"/>
        <v/>
      </c>
    </row>
    <row r="1192" spans="2:33" ht="15" customHeight="1" x14ac:dyDescent="0.2">
      <c r="B1192" s="187"/>
      <c r="E1192" s="134" t="str">
        <f>IF(F1192="","",VLOOKUP(F1192,All_LTMN_Lookups!J1238:K2459,2))</f>
        <v/>
      </c>
      <c r="AG1192" s="183" t="str">
        <f t="shared" si="8"/>
        <v/>
      </c>
    </row>
    <row r="1193" spans="2:33" ht="15" customHeight="1" x14ac:dyDescent="0.2">
      <c r="B1193" s="187"/>
      <c r="E1193" s="134" t="str">
        <f>IF(F1193="","",VLOOKUP(F1193,All_LTMN_Lookups!J1239:K2460,2))</f>
        <v/>
      </c>
      <c r="AG1193" s="183" t="str">
        <f t="shared" si="8"/>
        <v/>
      </c>
    </row>
    <row r="1194" spans="2:33" ht="15" customHeight="1" x14ac:dyDescent="0.2">
      <c r="B1194" s="187"/>
      <c r="E1194" s="134" t="str">
        <f>IF(F1194="","",VLOOKUP(F1194,All_LTMN_Lookups!J1240:K2461,2))</f>
        <v/>
      </c>
      <c r="AG1194" s="183" t="str">
        <f t="shared" si="8"/>
        <v/>
      </c>
    </row>
    <row r="1195" spans="2:33" ht="15" customHeight="1" x14ac:dyDescent="0.2">
      <c r="B1195" s="187"/>
      <c r="E1195" s="134" t="str">
        <f>IF(F1195="","",VLOOKUP(F1195,All_LTMN_Lookups!J1241:K2462,2))</f>
        <v/>
      </c>
      <c r="AG1195" s="183" t="str">
        <f t="shared" si="8"/>
        <v/>
      </c>
    </row>
    <row r="1196" spans="2:33" ht="15" customHeight="1" x14ac:dyDescent="0.2">
      <c r="B1196" s="187"/>
      <c r="E1196" s="134" t="str">
        <f>IF(F1196="","",VLOOKUP(F1196,All_LTMN_Lookups!J1242:K2463,2))</f>
        <v/>
      </c>
      <c r="AG1196" s="183" t="str">
        <f t="shared" si="8"/>
        <v/>
      </c>
    </row>
    <row r="1197" spans="2:33" ht="15" customHeight="1" x14ac:dyDescent="0.2">
      <c r="B1197" s="187"/>
      <c r="E1197" s="134" t="str">
        <f>IF(F1197="","",VLOOKUP(F1197,All_LTMN_Lookups!J1243:K2464,2))</f>
        <v/>
      </c>
      <c r="AG1197" s="183" t="str">
        <f t="shared" si="8"/>
        <v/>
      </c>
    </row>
    <row r="1198" spans="2:33" ht="15" customHeight="1" x14ac:dyDescent="0.2">
      <c r="B1198" s="187"/>
      <c r="E1198" s="134" t="str">
        <f>IF(F1198="","",VLOOKUP(F1198,All_LTMN_Lookups!J1244:K2465,2))</f>
        <v/>
      </c>
      <c r="AG1198" s="183" t="str">
        <f t="shared" si="8"/>
        <v/>
      </c>
    </row>
    <row r="1199" spans="2:33" ht="15" customHeight="1" x14ac:dyDescent="0.2">
      <c r="B1199" s="187"/>
      <c r="E1199" s="134" t="str">
        <f>IF(F1199="","",VLOOKUP(F1199,All_LTMN_Lookups!J1245:K2466,2))</f>
        <v/>
      </c>
      <c r="AG1199" s="183" t="str">
        <f t="shared" si="8"/>
        <v/>
      </c>
    </row>
    <row r="1200" spans="2:33" ht="15" customHeight="1" x14ac:dyDescent="0.2">
      <c r="B1200" s="187"/>
      <c r="E1200" s="134" t="str">
        <f>IF(F1200="","",VLOOKUP(F1200,All_LTMN_Lookups!J1246:K2467,2))</f>
        <v/>
      </c>
      <c r="AG1200" s="183" t="str">
        <f t="shared" si="8"/>
        <v/>
      </c>
    </row>
    <row r="1201" spans="2:33" ht="15" customHeight="1" x14ac:dyDescent="0.2">
      <c r="B1201" s="187"/>
      <c r="E1201" s="134" t="str">
        <f>IF(F1201="","",VLOOKUP(F1201,All_LTMN_Lookups!J1247:K2468,2))</f>
        <v/>
      </c>
      <c r="AG1201" s="183" t="str">
        <f t="shared" si="8"/>
        <v/>
      </c>
    </row>
    <row r="1202" spans="2:33" ht="15" customHeight="1" x14ac:dyDescent="0.2">
      <c r="B1202" s="187"/>
      <c r="E1202" s="134" t="str">
        <f>IF(F1202="","",VLOOKUP(F1202,All_LTMN_Lookups!J1248:K2469,2))</f>
        <v/>
      </c>
      <c r="AG1202" s="183" t="str">
        <f t="shared" si="8"/>
        <v/>
      </c>
    </row>
    <row r="1203" spans="2:33" ht="15" customHeight="1" x14ac:dyDescent="0.2">
      <c r="B1203" s="187"/>
      <c r="E1203" s="134" t="str">
        <f>IF(F1203="","",VLOOKUP(F1203,All_LTMN_Lookups!J1249:K2470,2))</f>
        <v/>
      </c>
      <c r="AG1203" s="183" t="str">
        <f t="shared" si="8"/>
        <v/>
      </c>
    </row>
    <row r="1204" spans="2:33" ht="15" customHeight="1" x14ac:dyDescent="0.2">
      <c r="B1204" s="187"/>
      <c r="E1204" s="134" t="str">
        <f>IF(F1204="","",VLOOKUP(F1204,All_LTMN_Lookups!J1250:K2471,2))</f>
        <v/>
      </c>
      <c r="AG1204" s="183" t="str">
        <f t="shared" si="8"/>
        <v/>
      </c>
    </row>
    <row r="1205" spans="2:33" ht="15" customHeight="1" x14ac:dyDescent="0.2">
      <c r="B1205" s="187"/>
      <c r="E1205" s="134" t="str">
        <f>IF(F1205="","",VLOOKUP(F1205,All_LTMN_Lookups!J1251:K2472,2))</f>
        <v/>
      </c>
      <c r="AG1205" s="183" t="str">
        <f t="shared" si="8"/>
        <v/>
      </c>
    </row>
    <row r="1206" spans="2:33" ht="15" customHeight="1" x14ac:dyDescent="0.2">
      <c r="B1206" s="187"/>
      <c r="E1206" s="134" t="str">
        <f>IF(F1206="","",VLOOKUP(F1206,All_LTMN_Lookups!J1252:K2473,2))</f>
        <v/>
      </c>
      <c r="AG1206" s="183" t="str">
        <f t="shared" si="8"/>
        <v/>
      </c>
    </row>
    <row r="1207" spans="2:33" ht="15" customHeight="1" x14ac:dyDescent="0.2">
      <c r="E1207" s="134" t="str">
        <f>IF(F1207="","",VLOOKUP(F1207,All_LTMN_Lookups!J1253:K2474,2))</f>
        <v/>
      </c>
      <c r="AG1207" s="183" t="str">
        <f t="shared" si="8"/>
        <v/>
      </c>
    </row>
    <row r="1208" spans="2:33" ht="15" customHeight="1" x14ac:dyDescent="0.2">
      <c r="E1208" s="134" t="str">
        <f>IF(F1208="","",VLOOKUP(F1208,All_LTMN_Lookups!J1254:K2475,2))</f>
        <v/>
      </c>
      <c r="AG1208" s="183" t="str">
        <f t="shared" si="8"/>
        <v/>
      </c>
    </row>
    <row r="1209" spans="2:33" ht="15" customHeight="1" x14ac:dyDescent="0.2">
      <c r="E1209" s="134" t="str">
        <f>IF(F1209="","",VLOOKUP(F1209,All_LTMN_Lookups!J1255:K2476,2))</f>
        <v/>
      </c>
      <c r="AG1209" s="183" t="str">
        <f t="shared" si="8"/>
        <v/>
      </c>
    </row>
    <row r="1210" spans="2:33" ht="15" customHeight="1" x14ac:dyDescent="0.2">
      <c r="E1210" s="134" t="str">
        <f>IF(F1210="","",VLOOKUP(F1210,All_LTMN_Lookups!J1256:K2477,2))</f>
        <v/>
      </c>
      <c r="AG1210" s="183" t="str">
        <f t="shared" si="8"/>
        <v/>
      </c>
    </row>
    <row r="1211" spans="2:33" ht="15" customHeight="1" x14ac:dyDescent="0.2">
      <c r="E1211" s="134" t="str">
        <f>IF(F1211="","",VLOOKUP(F1211,All_LTMN_Lookups!J1257:K2478,2))</f>
        <v/>
      </c>
      <c r="AG1211" s="183" t="str">
        <f t="shared" si="8"/>
        <v/>
      </c>
    </row>
    <row r="1212" spans="2:33" ht="15" customHeight="1" x14ac:dyDescent="0.2">
      <c r="E1212" s="134" t="str">
        <f>IF(F1212="","",VLOOKUP(F1212,All_LTMN_Lookups!J1258:K2479,2))</f>
        <v/>
      </c>
      <c r="AG1212" s="183" t="str">
        <f t="shared" si="8"/>
        <v/>
      </c>
    </row>
    <row r="1213" spans="2:33" ht="15" customHeight="1" x14ac:dyDescent="0.2">
      <c r="E1213" s="134" t="str">
        <f>IF(F1213="","",VLOOKUP(F1213,All_LTMN_Lookups!J1259:K2480,2))</f>
        <v/>
      </c>
      <c r="AG1213" s="183" t="str">
        <f t="shared" si="8"/>
        <v/>
      </c>
    </row>
    <row r="1214" spans="2:33" ht="15" customHeight="1" x14ac:dyDescent="0.2">
      <c r="E1214" s="134" t="str">
        <f>IF(F1214="","",VLOOKUP(F1214,All_LTMN_Lookups!J1260:K2481,2))</f>
        <v/>
      </c>
      <c r="AG1214" s="183" t="str">
        <f t="shared" si="8"/>
        <v/>
      </c>
    </row>
    <row r="1215" spans="2:33" ht="15" customHeight="1" x14ac:dyDescent="0.2">
      <c r="E1215" s="134" t="str">
        <f>IF(F1215="","",VLOOKUP(F1215,All_LTMN_Lookups!J1261:K2482,2))</f>
        <v/>
      </c>
      <c r="AG1215" s="183" t="str">
        <f t="shared" si="8"/>
        <v/>
      </c>
    </row>
    <row r="1216" spans="2:33" ht="15" customHeight="1" x14ac:dyDescent="0.2">
      <c r="E1216" s="134" t="str">
        <f>IF(F1216="","",VLOOKUP(F1216,All_LTMN_Lookups!J1262:K2483,2))</f>
        <v/>
      </c>
      <c r="AG1216" s="183" t="str">
        <f t="shared" si="8"/>
        <v/>
      </c>
    </row>
    <row r="1217" spans="5:33" ht="15" customHeight="1" x14ac:dyDescent="0.2">
      <c r="E1217" s="134" t="str">
        <f>IF(F1217="","",VLOOKUP(F1217,All_LTMN_Lookups!J1263:K2484,2))</f>
        <v/>
      </c>
      <c r="AG1217" s="183" t="str">
        <f t="shared" si="8"/>
        <v/>
      </c>
    </row>
    <row r="1218" spans="5:33" ht="15" customHeight="1" x14ac:dyDescent="0.2">
      <c r="E1218" s="134" t="str">
        <f>IF(F1218="","",VLOOKUP(F1218,All_LTMN_Lookups!J1264:K2485,2))</f>
        <v/>
      </c>
      <c r="AG1218" s="183" t="str">
        <f t="shared" si="8"/>
        <v/>
      </c>
    </row>
    <row r="1219" spans="5:33" ht="15" customHeight="1" x14ac:dyDescent="0.2">
      <c r="E1219" s="134" t="str">
        <f>IF(F1219="","",VLOOKUP(F1219,All_LTMN_Lookups!J1265:K2486,2))</f>
        <v/>
      </c>
      <c r="AG1219" s="183" t="str">
        <f t="shared" si="8"/>
        <v/>
      </c>
    </row>
    <row r="1220" spans="5:33" ht="15" customHeight="1" x14ac:dyDescent="0.2">
      <c r="E1220" s="134" t="str">
        <f>IF(F1220="","",VLOOKUP(F1220,All_LTMN_Lookups!J1266:K2487,2))</f>
        <v/>
      </c>
      <c r="AG1220" s="183" t="str">
        <f t="shared" si="8"/>
        <v/>
      </c>
    </row>
    <row r="1221" spans="5:33" ht="15" customHeight="1" x14ac:dyDescent="0.2">
      <c r="E1221" s="134" t="str">
        <f>IF(F1221="","",VLOOKUP(F1221,All_LTMN_Lookups!J1267:K2488,2))</f>
        <v/>
      </c>
      <c r="AG1221" s="183" t="str">
        <f t="shared" si="8"/>
        <v/>
      </c>
    </row>
    <row r="1222" spans="5:33" ht="15" customHeight="1" x14ac:dyDescent="0.2">
      <c r="E1222" s="134" t="str">
        <f>IF(F1222="","",VLOOKUP(F1222,All_LTMN_Lookups!J1268:K2489,2))</f>
        <v/>
      </c>
      <c r="AG1222" s="183" t="str">
        <f t="shared" si="8"/>
        <v/>
      </c>
    </row>
    <row r="1223" spans="5:33" ht="15" customHeight="1" x14ac:dyDescent="0.2">
      <c r="E1223" s="134" t="str">
        <f>IF(F1223="","",VLOOKUP(F1223,All_LTMN_Lookups!J1269:K2490,2))</f>
        <v/>
      </c>
      <c r="AG1223" s="183" t="str">
        <f t="shared" si="8"/>
        <v/>
      </c>
    </row>
    <row r="1224" spans="5:33" ht="15" customHeight="1" x14ac:dyDescent="0.2">
      <c r="E1224" s="134" t="str">
        <f>IF(F1224="","",VLOOKUP(F1224,All_LTMN_Lookups!J1270:K2491,2))</f>
        <v/>
      </c>
      <c r="AG1224" s="183" t="str">
        <f t="shared" si="8"/>
        <v/>
      </c>
    </row>
    <row r="1225" spans="5:33" ht="15" customHeight="1" x14ac:dyDescent="0.2">
      <c r="E1225" s="134" t="str">
        <f>IF(F1225="","",VLOOKUP(F1225,All_LTMN_Lookups!J1271:K2492,2))</f>
        <v/>
      </c>
      <c r="AG1225" s="183" t="str">
        <f t="shared" si="8"/>
        <v/>
      </c>
    </row>
    <row r="1226" spans="5:33" ht="15" customHeight="1" x14ac:dyDescent="0.2">
      <c r="E1226" s="134" t="str">
        <f>IF(F1226="","",VLOOKUP(F1226,All_LTMN_Lookups!J1272:K2493,2))</f>
        <v/>
      </c>
      <c r="AG1226" s="183" t="str">
        <f t="shared" si="8"/>
        <v/>
      </c>
    </row>
    <row r="1227" spans="5:33" ht="15" customHeight="1" x14ac:dyDescent="0.2">
      <c r="E1227" s="134" t="str">
        <f>IF(F1227="","",VLOOKUP(F1227,All_LTMN_Lookups!J1273:K2494,2))</f>
        <v/>
      </c>
      <c r="AG1227" s="183" t="str">
        <f t="shared" ref="AG1227:AG1290" si="9">IF(F1227&lt;&gt;"",SUM(G1227:AE1227), "")</f>
        <v/>
      </c>
    </row>
    <row r="1228" spans="5:33" ht="15" customHeight="1" x14ac:dyDescent="0.2">
      <c r="E1228" s="134" t="str">
        <f>IF(F1228="","",VLOOKUP(F1228,All_LTMN_Lookups!J1274:K2495,2))</f>
        <v/>
      </c>
      <c r="AG1228" s="183" t="str">
        <f t="shared" si="9"/>
        <v/>
      </c>
    </row>
    <row r="1229" spans="5:33" ht="15" customHeight="1" x14ac:dyDescent="0.2">
      <c r="E1229" s="134" t="str">
        <f>IF(F1229="","",VLOOKUP(F1229,All_LTMN_Lookups!J1275:K2496,2))</f>
        <v/>
      </c>
      <c r="AG1229" s="183" t="str">
        <f t="shared" si="9"/>
        <v/>
      </c>
    </row>
    <row r="1230" spans="5:33" ht="15" customHeight="1" x14ac:dyDescent="0.2">
      <c r="E1230" s="134" t="str">
        <f>IF(F1230="","",VLOOKUP(F1230,All_LTMN_Lookups!J1276:K2497,2))</f>
        <v/>
      </c>
      <c r="AG1230" s="183" t="str">
        <f t="shared" si="9"/>
        <v/>
      </c>
    </row>
    <row r="1231" spans="5:33" ht="15" customHeight="1" x14ac:dyDescent="0.2">
      <c r="E1231" s="134" t="str">
        <f>IF(F1231="","",VLOOKUP(F1231,All_LTMN_Lookups!J1277:K2498,2))</f>
        <v/>
      </c>
      <c r="AG1231" s="183" t="str">
        <f t="shared" si="9"/>
        <v/>
      </c>
    </row>
    <row r="1232" spans="5:33" ht="15" customHeight="1" x14ac:dyDescent="0.2">
      <c r="E1232" s="134" t="str">
        <f>IF(F1232="","",VLOOKUP(F1232,All_LTMN_Lookups!J1278:K2499,2))</f>
        <v/>
      </c>
      <c r="AG1232" s="183" t="str">
        <f t="shared" si="9"/>
        <v/>
      </c>
    </row>
    <row r="1233" spans="5:33" ht="15" customHeight="1" x14ac:dyDescent="0.2">
      <c r="E1233" s="134" t="str">
        <f>IF(F1233="","",VLOOKUP(F1233,All_LTMN_Lookups!J1279:K2500,2))</f>
        <v/>
      </c>
      <c r="AG1233" s="183" t="str">
        <f t="shared" si="9"/>
        <v/>
      </c>
    </row>
    <row r="1234" spans="5:33" ht="15" customHeight="1" x14ac:dyDescent="0.2">
      <c r="E1234" s="134" t="str">
        <f>IF(F1234="","",VLOOKUP(F1234,All_LTMN_Lookups!J1280:K2501,2))</f>
        <v/>
      </c>
      <c r="AG1234" s="183" t="str">
        <f t="shared" si="9"/>
        <v/>
      </c>
    </row>
    <row r="1235" spans="5:33" ht="15" customHeight="1" x14ac:dyDescent="0.2">
      <c r="E1235" s="134" t="str">
        <f>IF(F1235="","",VLOOKUP(F1235,All_LTMN_Lookups!J1281:K2502,2))</f>
        <v/>
      </c>
      <c r="AG1235" s="183" t="str">
        <f t="shared" si="9"/>
        <v/>
      </c>
    </row>
    <row r="1236" spans="5:33" ht="15" customHeight="1" x14ac:dyDescent="0.2">
      <c r="E1236" s="134" t="str">
        <f>IF(F1236="","",VLOOKUP(F1236,All_LTMN_Lookups!J1282:K2503,2))</f>
        <v/>
      </c>
      <c r="AG1236" s="183" t="str">
        <f t="shared" si="9"/>
        <v/>
      </c>
    </row>
    <row r="1237" spans="5:33" ht="15" customHeight="1" x14ac:dyDescent="0.2">
      <c r="E1237" s="134" t="str">
        <f>IF(F1237="","",VLOOKUP(F1237,All_LTMN_Lookups!J1283:K2504,2))</f>
        <v/>
      </c>
      <c r="AG1237" s="183" t="str">
        <f t="shared" si="9"/>
        <v/>
      </c>
    </row>
    <row r="1238" spans="5:33" ht="15" customHeight="1" x14ac:dyDescent="0.2">
      <c r="E1238" s="134" t="str">
        <f>IF(F1238="","",VLOOKUP(F1238,All_LTMN_Lookups!J1284:K2505,2))</f>
        <v/>
      </c>
      <c r="AG1238" s="183" t="str">
        <f t="shared" si="9"/>
        <v/>
      </c>
    </row>
    <row r="1239" spans="5:33" ht="15" customHeight="1" x14ac:dyDescent="0.2">
      <c r="E1239" s="134" t="str">
        <f>IF(F1239="","",VLOOKUP(F1239,All_LTMN_Lookups!J1285:K2506,2))</f>
        <v/>
      </c>
      <c r="AG1239" s="183" t="str">
        <f t="shared" si="9"/>
        <v/>
      </c>
    </row>
    <row r="1240" spans="5:33" ht="15" customHeight="1" x14ac:dyDescent="0.2">
      <c r="E1240" s="134" t="str">
        <f>IF(F1240="","",VLOOKUP(F1240,All_LTMN_Lookups!J1286:K2507,2))</f>
        <v/>
      </c>
      <c r="AG1240" s="183" t="str">
        <f t="shared" si="9"/>
        <v/>
      </c>
    </row>
    <row r="1241" spans="5:33" ht="15" customHeight="1" x14ac:dyDescent="0.2">
      <c r="E1241" s="134" t="str">
        <f>IF(F1241="","",VLOOKUP(F1241,All_LTMN_Lookups!J1287:K2508,2))</f>
        <v/>
      </c>
      <c r="AG1241" s="183" t="str">
        <f t="shared" si="9"/>
        <v/>
      </c>
    </row>
    <row r="1242" spans="5:33" ht="15" customHeight="1" x14ac:dyDescent="0.2">
      <c r="E1242" s="134" t="str">
        <f>IF(F1242="","",VLOOKUP(F1242,All_LTMN_Lookups!J1288:K2509,2))</f>
        <v/>
      </c>
      <c r="AG1242" s="183" t="str">
        <f t="shared" si="9"/>
        <v/>
      </c>
    </row>
    <row r="1243" spans="5:33" ht="15" customHeight="1" x14ac:dyDescent="0.2">
      <c r="E1243" s="134" t="str">
        <f>IF(F1243="","",VLOOKUP(F1243,All_LTMN_Lookups!J1289:K2510,2))</f>
        <v/>
      </c>
      <c r="AG1243" s="183" t="str">
        <f t="shared" si="9"/>
        <v/>
      </c>
    </row>
    <row r="1244" spans="5:33" ht="15" customHeight="1" x14ac:dyDescent="0.2">
      <c r="E1244" s="134" t="str">
        <f>IF(F1244="","",VLOOKUP(F1244,All_LTMN_Lookups!J1290:K2511,2))</f>
        <v/>
      </c>
      <c r="AG1244" s="183" t="str">
        <f t="shared" si="9"/>
        <v/>
      </c>
    </row>
    <row r="1245" spans="5:33" ht="15" customHeight="1" x14ac:dyDescent="0.2">
      <c r="E1245" s="134" t="str">
        <f>IF(F1245="","",VLOOKUP(F1245,All_LTMN_Lookups!J1291:K2512,2))</f>
        <v/>
      </c>
      <c r="AG1245" s="183" t="str">
        <f t="shared" si="9"/>
        <v/>
      </c>
    </row>
    <row r="1246" spans="5:33" ht="15" customHeight="1" x14ac:dyDescent="0.2">
      <c r="E1246" s="134" t="str">
        <f>IF(F1246="","",VLOOKUP(F1246,All_LTMN_Lookups!J1292:K2513,2))</f>
        <v/>
      </c>
      <c r="AG1246" s="183" t="str">
        <f t="shared" si="9"/>
        <v/>
      </c>
    </row>
    <row r="1247" spans="5:33" ht="15" customHeight="1" x14ac:dyDescent="0.2">
      <c r="E1247" s="134" t="str">
        <f>IF(F1247="","",VLOOKUP(F1247,All_LTMN_Lookups!J1293:K2514,2))</f>
        <v/>
      </c>
      <c r="AG1247" s="183" t="str">
        <f t="shared" si="9"/>
        <v/>
      </c>
    </row>
    <row r="1248" spans="5:33" ht="15" customHeight="1" x14ac:dyDescent="0.2">
      <c r="E1248" s="134" t="str">
        <f>IF(F1248="","",VLOOKUP(F1248,All_LTMN_Lookups!J1294:K2515,2))</f>
        <v/>
      </c>
      <c r="AG1248" s="183" t="str">
        <f t="shared" si="9"/>
        <v/>
      </c>
    </row>
    <row r="1249" spans="5:33" ht="15" customHeight="1" x14ac:dyDescent="0.2">
      <c r="E1249" s="134" t="str">
        <f>IF(F1249="","",VLOOKUP(F1249,All_LTMN_Lookups!J1295:K2516,2))</f>
        <v/>
      </c>
      <c r="AG1249" s="183" t="str">
        <f t="shared" si="9"/>
        <v/>
      </c>
    </row>
    <row r="1250" spans="5:33" ht="15" customHeight="1" x14ac:dyDescent="0.2">
      <c r="E1250" s="134" t="str">
        <f>IF(F1250="","",VLOOKUP(F1250,All_LTMN_Lookups!J1296:K2517,2))</f>
        <v/>
      </c>
      <c r="AG1250" s="183" t="str">
        <f t="shared" si="9"/>
        <v/>
      </c>
    </row>
    <row r="1251" spans="5:33" ht="15" customHeight="1" x14ac:dyDescent="0.2">
      <c r="E1251" s="134" t="str">
        <f>IF(F1251="","",VLOOKUP(F1251,All_LTMN_Lookups!J1297:K2518,2))</f>
        <v/>
      </c>
      <c r="AG1251" s="183" t="str">
        <f t="shared" si="9"/>
        <v/>
      </c>
    </row>
    <row r="1252" spans="5:33" ht="15" customHeight="1" x14ac:dyDescent="0.2">
      <c r="E1252" s="134" t="str">
        <f>IF(F1252="","",VLOOKUP(F1252,All_LTMN_Lookups!J1298:K2519,2))</f>
        <v/>
      </c>
      <c r="AG1252" s="183" t="str">
        <f t="shared" si="9"/>
        <v/>
      </c>
    </row>
    <row r="1253" spans="5:33" ht="15" customHeight="1" x14ac:dyDescent="0.2">
      <c r="E1253" s="134" t="str">
        <f>IF(F1253="","",VLOOKUP(F1253,All_LTMN_Lookups!J1299:K2520,2))</f>
        <v/>
      </c>
      <c r="AG1253" s="183" t="str">
        <f t="shared" si="9"/>
        <v/>
      </c>
    </row>
    <row r="1254" spans="5:33" ht="15" customHeight="1" x14ac:dyDescent="0.2">
      <c r="E1254" s="134" t="str">
        <f>IF(F1254="","",VLOOKUP(F1254,All_LTMN_Lookups!J1300:K2521,2))</f>
        <v/>
      </c>
      <c r="AG1254" s="183" t="str">
        <f t="shared" si="9"/>
        <v/>
      </c>
    </row>
    <row r="1255" spans="5:33" ht="15" customHeight="1" x14ac:dyDescent="0.2">
      <c r="E1255" s="134" t="str">
        <f>IF(F1255="","",VLOOKUP(F1255,All_LTMN_Lookups!J1301:K2522,2))</f>
        <v/>
      </c>
      <c r="AG1255" s="183" t="str">
        <f t="shared" si="9"/>
        <v/>
      </c>
    </row>
    <row r="1256" spans="5:33" ht="15" customHeight="1" x14ac:dyDescent="0.2">
      <c r="E1256" s="134" t="str">
        <f>IF(F1256="","",VLOOKUP(F1256,All_LTMN_Lookups!J1302:K2523,2))</f>
        <v/>
      </c>
      <c r="AG1256" s="183" t="str">
        <f t="shared" si="9"/>
        <v/>
      </c>
    </row>
    <row r="1257" spans="5:33" ht="15" customHeight="1" x14ac:dyDescent="0.2">
      <c r="E1257" s="134" t="str">
        <f>IF(F1257="","",VLOOKUP(F1257,All_LTMN_Lookups!J1303:K2524,2))</f>
        <v/>
      </c>
      <c r="AG1257" s="183" t="str">
        <f t="shared" si="9"/>
        <v/>
      </c>
    </row>
    <row r="1258" spans="5:33" ht="15" customHeight="1" x14ac:dyDescent="0.2">
      <c r="E1258" s="134" t="str">
        <f>IF(F1258="","",VLOOKUP(F1258,All_LTMN_Lookups!J1304:K2525,2))</f>
        <v/>
      </c>
      <c r="AG1258" s="183" t="str">
        <f t="shared" si="9"/>
        <v/>
      </c>
    </row>
    <row r="1259" spans="5:33" ht="15" customHeight="1" x14ac:dyDescent="0.2">
      <c r="E1259" s="134" t="str">
        <f>IF(F1259="","",VLOOKUP(F1259,All_LTMN_Lookups!J1305:K2526,2))</f>
        <v/>
      </c>
      <c r="AG1259" s="183" t="str">
        <f t="shared" si="9"/>
        <v/>
      </c>
    </row>
    <row r="1260" spans="5:33" ht="15" customHeight="1" x14ac:dyDescent="0.2">
      <c r="E1260" s="134" t="str">
        <f>IF(F1260="","",VLOOKUP(F1260,All_LTMN_Lookups!J1306:K2527,2))</f>
        <v/>
      </c>
      <c r="AG1260" s="183" t="str">
        <f t="shared" si="9"/>
        <v/>
      </c>
    </row>
    <row r="1261" spans="5:33" ht="15" customHeight="1" x14ac:dyDescent="0.2">
      <c r="E1261" s="134" t="str">
        <f>IF(F1261="","",VLOOKUP(F1261,All_LTMN_Lookups!J1307:K2528,2))</f>
        <v/>
      </c>
      <c r="AG1261" s="183" t="str">
        <f t="shared" si="9"/>
        <v/>
      </c>
    </row>
    <row r="1262" spans="5:33" ht="15" customHeight="1" x14ac:dyDescent="0.2">
      <c r="E1262" s="134" t="str">
        <f>IF(F1262="","",VLOOKUP(F1262,All_LTMN_Lookups!J1308:K2529,2))</f>
        <v/>
      </c>
      <c r="AG1262" s="183" t="str">
        <f t="shared" si="9"/>
        <v/>
      </c>
    </row>
    <row r="1263" spans="5:33" ht="15" customHeight="1" x14ac:dyDescent="0.2">
      <c r="E1263" s="134" t="str">
        <f>IF(F1263="","",VLOOKUP(F1263,All_LTMN_Lookups!J1309:K2530,2))</f>
        <v/>
      </c>
      <c r="AG1263" s="183" t="str">
        <f t="shared" si="9"/>
        <v/>
      </c>
    </row>
    <row r="1264" spans="5:33" ht="15" customHeight="1" x14ac:dyDescent="0.2">
      <c r="E1264" s="134" t="str">
        <f>IF(F1264="","",VLOOKUP(F1264,All_LTMN_Lookups!J1310:K2531,2))</f>
        <v/>
      </c>
      <c r="AG1264" s="183" t="str">
        <f t="shared" si="9"/>
        <v/>
      </c>
    </row>
    <row r="1265" spans="5:33" ht="15" customHeight="1" x14ac:dyDescent="0.2">
      <c r="E1265" s="134" t="str">
        <f>IF(F1265="","",VLOOKUP(F1265,All_LTMN_Lookups!J1311:K2532,2))</f>
        <v/>
      </c>
      <c r="AG1265" s="183" t="str">
        <f t="shared" si="9"/>
        <v/>
      </c>
    </row>
    <row r="1266" spans="5:33" ht="15" customHeight="1" x14ac:dyDescent="0.2">
      <c r="E1266" s="134" t="str">
        <f>IF(F1266="","",VLOOKUP(F1266,All_LTMN_Lookups!J1312:K2533,2))</f>
        <v/>
      </c>
      <c r="AG1266" s="183" t="str">
        <f t="shared" si="9"/>
        <v/>
      </c>
    </row>
    <row r="1267" spans="5:33" ht="15" customHeight="1" x14ac:dyDescent="0.2">
      <c r="E1267" s="134" t="str">
        <f>IF(F1267="","",VLOOKUP(F1267,All_LTMN_Lookups!J1313:K2534,2))</f>
        <v/>
      </c>
      <c r="AG1267" s="183" t="str">
        <f t="shared" si="9"/>
        <v/>
      </c>
    </row>
    <row r="1268" spans="5:33" ht="15" customHeight="1" x14ac:dyDescent="0.2">
      <c r="E1268" s="134" t="str">
        <f>IF(F1268="","",VLOOKUP(F1268,All_LTMN_Lookups!J1314:K2535,2))</f>
        <v/>
      </c>
      <c r="AG1268" s="183" t="str">
        <f t="shared" si="9"/>
        <v/>
      </c>
    </row>
    <row r="1269" spans="5:33" ht="15" customHeight="1" x14ac:dyDescent="0.2">
      <c r="E1269" s="134" t="str">
        <f>IF(F1269="","",VLOOKUP(F1269,All_LTMN_Lookups!J1315:K2536,2))</f>
        <v/>
      </c>
      <c r="AG1269" s="183" t="str">
        <f t="shared" si="9"/>
        <v/>
      </c>
    </row>
    <row r="1270" spans="5:33" ht="15" customHeight="1" x14ac:dyDescent="0.2">
      <c r="E1270" s="134" t="str">
        <f>IF(F1270="","",VLOOKUP(F1270,All_LTMN_Lookups!J1316:K2537,2))</f>
        <v/>
      </c>
      <c r="AG1270" s="183" t="str">
        <f t="shared" si="9"/>
        <v/>
      </c>
    </row>
    <row r="1271" spans="5:33" ht="15" customHeight="1" x14ac:dyDescent="0.2">
      <c r="E1271" s="134" t="str">
        <f>IF(F1271="","",VLOOKUP(F1271,All_LTMN_Lookups!J1317:K2538,2))</f>
        <v/>
      </c>
      <c r="AG1271" s="183" t="str">
        <f t="shared" si="9"/>
        <v/>
      </c>
    </row>
    <row r="1272" spans="5:33" ht="15" customHeight="1" x14ac:dyDescent="0.2">
      <c r="E1272" s="134" t="str">
        <f>IF(F1272="","",VLOOKUP(F1272,All_LTMN_Lookups!J1318:K2539,2))</f>
        <v/>
      </c>
      <c r="AG1272" s="183" t="str">
        <f t="shared" si="9"/>
        <v/>
      </c>
    </row>
    <row r="1273" spans="5:33" ht="15" customHeight="1" x14ac:dyDescent="0.2">
      <c r="E1273" s="134" t="str">
        <f>IF(F1273="","",VLOOKUP(F1273,All_LTMN_Lookups!J1319:K2540,2))</f>
        <v/>
      </c>
      <c r="AG1273" s="183" t="str">
        <f t="shared" si="9"/>
        <v/>
      </c>
    </row>
    <row r="1274" spans="5:33" ht="15" customHeight="1" x14ac:dyDescent="0.2">
      <c r="E1274" s="134" t="str">
        <f>IF(F1274="","",VLOOKUP(F1274,All_LTMN_Lookups!J1320:K2541,2))</f>
        <v/>
      </c>
      <c r="AG1274" s="183" t="str">
        <f t="shared" si="9"/>
        <v/>
      </c>
    </row>
    <row r="1275" spans="5:33" ht="15" customHeight="1" x14ac:dyDescent="0.2">
      <c r="E1275" s="134" t="str">
        <f>IF(F1275="","",VLOOKUP(F1275,All_LTMN_Lookups!J1321:K2542,2))</f>
        <v/>
      </c>
      <c r="AG1275" s="183" t="str">
        <f t="shared" si="9"/>
        <v/>
      </c>
    </row>
    <row r="1276" spans="5:33" ht="15" customHeight="1" x14ac:dyDescent="0.2">
      <c r="E1276" s="134" t="str">
        <f>IF(F1276="","",VLOOKUP(F1276,All_LTMN_Lookups!J1322:K2543,2))</f>
        <v/>
      </c>
      <c r="AG1276" s="183" t="str">
        <f t="shared" si="9"/>
        <v/>
      </c>
    </row>
    <row r="1277" spans="5:33" ht="15" customHeight="1" x14ac:dyDescent="0.2">
      <c r="E1277" s="134" t="str">
        <f>IF(F1277="","",VLOOKUP(F1277,All_LTMN_Lookups!J1323:K2544,2))</f>
        <v/>
      </c>
      <c r="AG1277" s="183" t="str">
        <f t="shared" si="9"/>
        <v/>
      </c>
    </row>
    <row r="1278" spans="5:33" ht="15" customHeight="1" x14ac:dyDescent="0.2">
      <c r="E1278" s="134" t="str">
        <f>IF(F1278="","",VLOOKUP(F1278,All_LTMN_Lookups!J1324:K2545,2))</f>
        <v/>
      </c>
      <c r="AG1278" s="183" t="str">
        <f t="shared" si="9"/>
        <v/>
      </c>
    </row>
    <row r="1279" spans="5:33" ht="15" customHeight="1" x14ac:dyDescent="0.2">
      <c r="E1279" s="134" t="str">
        <f>IF(F1279="","",VLOOKUP(F1279,All_LTMN_Lookups!J1325:K2546,2))</f>
        <v/>
      </c>
      <c r="AG1279" s="183" t="str">
        <f t="shared" si="9"/>
        <v/>
      </c>
    </row>
    <row r="1280" spans="5:33" ht="15" customHeight="1" x14ac:dyDescent="0.2">
      <c r="E1280" s="134" t="str">
        <f>IF(F1280="","",VLOOKUP(F1280,All_LTMN_Lookups!J1326:K2547,2))</f>
        <v/>
      </c>
      <c r="AG1280" s="183" t="str">
        <f t="shared" si="9"/>
        <v/>
      </c>
    </row>
    <row r="1281" spans="5:33" ht="15" customHeight="1" x14ac:dyDescent="0.2">
      <c r="E1281" s="134" t="str">
        <f>IF(F1281="","",VLOOKUP(F1281,All_LTMN_Lookups!J1327:K2548,2))</f>
        <v/>
      </c>
      <c r="AG1281" s="183" t="str">
        <f t="shared" si="9"/>
        <v/>
      </c>
    </row>
    <row r="1282" spans="5:33" ht="15" customHeight="1" x14ac:dyDescent="0.2">
      <c r="E1282" s="134" t="str">
        <f>IF(F1282="","",VLOOKUP(F1282,All_LTMN_Lookups!J1328:K2549,2))</f>
        <v/>
      </c>
      <c r="AG1282" s="183" t="str">
        <f t="shared" si="9"/>
        <v/>
      </c>
    </row>
    <row r="1283" spans="5:33" ht="15" customHeight="1" x14ac:dyDescent="0.2">
      <c r="E1283" s="134" t="str">
        <f>IF(F1283="","",VLOOKUP(F1283,All_LTMN_Lookups!J1329:K2550,2))</f>
        <v/>
      </c>
      <c r="AG1283" s="183" t="str">
        <f t="shared" si="9"/>
        <v/>
      </c>
    </row>
    <row r="1284" spans="5:33" ht="15" customHeight="1" x14ac:dyDescent="0.2">
      <c r="E1284" s="134" t="str">
        <f>IF(F1284="","",VLOOKUP(F1284,All_LTMN_Lookups!J1330:K2551,2))</f>
        <v/>
      </c>
      <c r="AG1284" s="183" t="str">
        <f t="shared" si="9"/>
        <v/>
      </c>
    </row>
    <row r="1285" spans="5:33" ht="15" customHeight="1" x14ac:dyDescent="0.2">
      <c r="E1285" s="134" t="str">
        <f>IF(F1285="","",VLOOKUP(F1285,All_LTMN_Lookups!J1331:K2552,2))</f>
        <v/>
      </c>
      <c r="AG1285" s="183" t="str">
        <f t="shared" si="9"/>
        <v/>
      </c>
    </row>
    <row r="1286" spans="5:33" ht="15" customHeight="1" x14ac:dyDescent="0.2">
      <c r="E1286" s="134" t="str">
        <f>IF(F1286="","",VLOOKUP(F1286,All_LTMN_Lookups!J1332:K2553,2))</f>
        <v/>
      </c>
      <c r="AG1286" s="183" t="str">
        <f t="shared" si="9"/>
        <v/>
      </c>
    </row>
    <row r="1287" spans="5:33" ht="15" customHeight="1" x14ac:dyDescent="0.2">
      <c r="E1287" s="134" t="str">
        <f>IF(F1287="","",VLOOKUP(F1287,All_LTMN_Lookups!J1333:K2554,2))</f>
        <v/>
      </c>
      <c r="AG1287" s="183" t="str">
        <f t="shared" si="9"/>
        <v/>
      </c>
    </row>
    <row r="1288" spans="5:33" ht="15" customHeight="1" x14ac:dyDescent="0.2">
      <c r="E1288" s="134" t="str">
        <f>IF(F1288="","",VLOOKUP(F1288,All_LTMN_Lookups!J1334:K2555,2))</f>
        <v/>
      </c>
      <c r="AG1288" s="183" t="str">
        <f t="shared" si="9"/>
        <v/>
      </c>
    </row>
    <row r="1289" spans="5:33" ht="15" customHeight="1" x14ac:dyDescent="0.2">
      <c r="E1289" s="134" t="str">
        <f>IF(F1289="","",VLOOKUP(F1289,All_LTMN_Lookups!J1335:K2556,2))</f>
        <v/>
      </c>
      <c r="AG1289" s="183" t="str">
        <f t="shared" si="9"/>
        <v/>
      </c>
    </row>
    <row r="1290" spans="5:33" ht="15" customHeight="1" x14ac:dyDescent="0.2">
      <c r="E1290" s="134" t="str">
        <f>IF(F1290="","",VLOOKUP(F1290,All_LTMN_Lookups!J1336:K2557,2))</f>
        <v/>
      </c>
      <c r="AG1290" s="183" t="str">
        <f t="shared" si="9"/>
        <v/>
      </c>
    </row>
    <row r="1291" spans="5:33" ht="15" customHeight="1" x14ac:dyDescent="0.2">
      <c r="E1291" s="134" t="str">
        <f>IF(F1291="","",VLOOKUP(F1291,All_LTMN_Lookups!J1337:K2558,2))</f>
        <v/>
      </c>
      <c r="AG1291" s="183" t="str">
        <f t="shared" ref="AG1291:AG1354" si="10">IF(F1291&lt;&gt;"",SUM(G1291:AE1291), "")</f>
        <v/>
      </c>
    </row>
    <row r="1292" spans="5:33" ht="15" customHeight="1" x14ac:dyDescent="0.2">
      <c r="E1292" s="134" t="str">
        <f>IF(F1292="","",VLOOKUP(F1292,All_LTMN_Lookups!J1338:K2559,2))</f>
        <v/>
      </c>
      <c r="AG1292" s="183" t="str">
        <f t="shared" si="10"/>
        <v/>
      </c>
    </row>
    <row r="1293" spans="5:33" ht="15" customHeight="1" x14ac:dyDescent="0.2">
      <c r="E1293" s="134" t="str">
        <f>IF(F1293="","",VLOOKUP(F1293,All_LTMN_Lookups!J1339:K2560,2))</f>
        <v/>
      </c>
      <c r="AG1293" s="183" t="str">
        <f t="shared" si="10"/>
        <v/>
      </c>
    </row>
    <row r="1294" spans="5:33" ht="15" customHeight="1" x14ac:dyDescent="0.2">
      <c r="E1294" s="134" t="str">
        <f>IF(F1294="","",VLOOKUP(F1294,All_LTMN_Lookups!J1340:K2561,2))</f>
        <v/>
      </c>
      <c r="AG1294" s="183" t="str">
        <f t="shared" si="10"/>
        <v/>
      </c>
    </row>
    <row r="1295" spans="5:33" ht="15" customHeight="1" x14ac:dyDescent="0.2">
      <c r="E1295" s="134" t="str">
        <f>IF(F1295="","",VLOOKUP(F1295,All_LTMN_Lookups!J1341:K2562,2))</f>
        <v/>
      </c>
      <c r="AG1295" s="183" t="str">
        <f t="shared" si="10"/>
        <v/>
      </c>
    </row>
    <row r="1296" spans="5:33" ht="15" customHeight="1" x14ac:dyDescent="0.2">
      <c r="E1296" s="134" t="str">
        <f>IF(F1296="","",VLOOKUP(F1296,All_LTMN_Lookups!J1342:K2563,2))</f>
        <v/>
      </c>
      <c r="AG1296" s="183" t="str">
        <f t="shared" si="10"/>
        <v/>
      </c>
    </row>
    <row r="1297" spans="5:33" ht="15" customHeight="1" x14ac:dyDescent="0.2">
      <c r="E1297" s="134" t="str">
        <f>IF(F1297="","",VLOOKUP(F1297,All_LTMN_Lookups!J1343:K2564,2))</f>
        <v/>
      </c>
      <c r="AG1297" s="183" t="str">
        <f t="shared" si="10"/>
        <v/>
      </c>
    </row>
    <row r="1298" spans="5:33" ht="15" customHeight="1" x14ac:dyDescent="0.2">
      <c r="E1298" s="134" t="str">
        <f>IF(F1298="","",VLOOKUP(F1298,All_LTMN_Lookups!J1344:K2565,2))</f>
        <v/>
      </c>
      <c r="AG1298" s="183" t="str">
        <f t="shared" si="10"/>
        <v/>
      </c>
    </row>
    <row r="1299" spans="5:33" ht="15" customHeight="1" x14ac:dyDescent="0.2">
      <c r="E1299" s="134" t="str">
        <f>IF(F1299="","",VLOOKUP(F1299,All_LTMN_Lookups!J1345:K2566,2))</f>
        <v/>
      </c>
      <c r="AG1299" s="183" t="str">
        <f t="shared" si="10"/>
        <v/>
      </c>
    </row>
    <row r="1300" spans="5:33" ht="15" customHeight="1" x14ac:dyDescent="0.2">
      <c r="E1300" s="134" t="str">
        <f>IF(F1300="","",VLOOKUP(F1300,All_LTMN_Lookups!J1346:K2567,2))</f>
        <v/>
      </c>
      <c r="AG1300" s="183" t="str">
        <f t="shared" si="10"/>
        <v/>
      </c>
    </row>
    <row r="1301" spans="5:33" ht="15" customHeight="1" x14ac:dyDescent="0.2">
      <c r="E1301" s="134" t="str">
        <f>IF(F1301="","",VLOOKUP(F1301,All_LTMN_Lookups!J1347:K2568,2))</f>
        <v/>
      </c>
      <c r="AG1301" s="183" t="str">
        <f t="shared" si="10"/>
        <v/>
      </c>
    </row>
    <row r="1302" spans="5:33" ht="15" customHeight="1" x14ac:dyDescent="0.2">
      <c r="E1302" s="134" t="str">
        <f>IF(F1302="","",VLOOKUP(F1302,All_LTMN_Lookups!J1348:K2569,2))</f>
        <v/>
      </c>
      <c r="AG1302" s="183" t="str">
        <f t="shared" si="10"/>
        <v/>
      </c>
    </row>
    <row r="1303" spans="5:33" ht="15" customHeight="1" x14ac:dyDescent="0.2">
      <c r="E1303" s="134" t="str">
        <f>IF(F1303="","",VLOOKUP(F1303,All_LTMN_Lookups!J1349:K2570,2))</f>
        <v/>
      </c>
      <c r="AG1303" s="183" t="str">
        <f t="shared" si="10"/>
        <v/>
      </c>
    </row>
    <row r="1304" spans="5:33" ht="15" customHeight="1" x14ac:dyDescent="0.2">
      <c r="E1304" s="134" t="str">
        <f>IF(F1304="","",VLOOKUP(F1304,All_LTMN_Lookups!J1350:K2571,2))</f>
        <v/>
      </c>
      <c r="AG1304" s="183" t="str">
        <f t="shared" si="10"/>
        <v/>
      </c>
    </row>
    <row r="1305" spans="5:33" ht="15" customHeight="1" x14ac:dyDescent="0.2">
      <c r="E1305" s="134" t="str">
        <f>IF(F1305="","",VLOOKUP(F1305,All_LTMN_Lookups!J1351:K2572,2))</f>
        <v/>
      </c>
      <c r="AG1305" s="183" t="str">
        <f t="shared" si="10"/>
        <v/>
      </c>
    </row>
    <row r="1306" spans="5:33" ht="15" customHeight="1" x14ac:dyDescent="0.2">
      <c r="E1306" s="134" t="str">
        <f>IF(F1306="","",VLOOKUP(F1306,All_LTMN_Lookups!J1352:K2573,2))</f>
        <v/>
      </c>
      <c r="AG1306" s="183" t="str">
        <f t="shared" si="10"/>
        <v/>
      </c>
    </row>
    <row r="1307" spans="5:33" ht="15" customHeight="1" x14ac:dyDescent="0.2">
      <c r="E1307" s="134" t="str">
        <f>IF(F1307="","",VLOOKUP(F1307,All_LTMN_Lookups!J1353:K2574,2))</f>
        <v/>
      </c>
      <c r="AG1307" s="183" t="str">
        <f t="shared" si="10"/>
        <v/>
      </c>
    </row>
    <row r="1308" spans="5:33" ht="15" customHeight="1" x14ac:dyDescent="0.2">
      <c r="E1308" s="134" t="str">
        <f>IF(F1308="","",VLOOKUP(F1308,All_LTMN_Lookups!J1354:K2575,2))</f>
        <v/>
      </c>
      <c r="AG1308" s="183" t="str">
        <f t="shared" si="10"/>
        <v/>
      </c>
    </row>
    <row r="1309" spans="5:33" ht="15" customHeight="1" x14ac:dyDescent="0.2">
      <c r="E1309" s="134" t="str">
        <f>IF(F1309="","",VLOOKUP(F1309,All_LTMN_Lookups!J1355:K2576,2))</f>
        <v/>
      </c>
      <c r="AG1309" s="183" t="str">
        <f t="shared" si="10"/>
        <v/>
      </c>
    </row>
    <row r="1310" spans="5:33" ht="15" customHeight="1" x14ac:dyDescent="0.2">
      <c r="E1310" s="134" t="str">
        <f>IF(F1310="","",VLOOKUP(F1310,All_LTMN_Lookups!J1356:K2577,2))</f>
        <v/>
      </c>
      <c r="AG1310" s="183" t="str">
        <f t="shared" si="10"/>
        <v/>
      </c>
    </row>
    <row r="1311" spans="5:33" ht="15" customHeight="1" x14ac:dyDescent="0.2">
      <c r="E1311" s="134" t="str">
        <f>IF(F1311="","",VLOOKUP(F1311,All_LTMN_Lookups!J1357:K2578,2))</f>
        <v/>
      </c>
      <c r="AG1311" s="183" t="str">
        <f t="shared" si="10"/>
        <v/>
      </c>
    </row>
    <row r="1312" spans="5:33" ht="15" customHeight="1" x14ac:dyDescent="0.2">
      <c r="E1312" s="134" t="str">
        <f>IF(F1312="","",VLOOKUP(F1312,All_LTMN_Lookups!J1358:K2579,2))</f>
        <v/>
      </c>
      <c r="AG1312" s="183" t="str">
        <f t="shared" si="10"/>
        <v/>
      </c>
    </row>
    <row r="1313" spans="5:33" ht="15" customHeight="1" x14ac:dyDescent="0.2">
      <c r="E1313" s="134" t="str">
        <f>IF(F1313="","",VLOOKUP(F1313,All_LTMN_Lookups!J1359:K2580,2))</f>
        <v/>
      </c>
      <c r="AG1313" s="183" t="str">
        <f t="shared" si="10"/>
        <v/>
      </c>
    </row>
    <row r="1314" spans="5:33" ht="15" customHeight="1" x14ac:dyDescent="0.2">
      <c r="E1314" s="134" t="str">
        <f>IF(F1314="","",VLOOKUP(F1314,All_LTMN_Lookups!J1360:K2581,2))</f>
        <v/>
      </c>
      <c r="AG1314" s="183" t="str">
        <f t="shared" si="10"/>
        <v/>
      </c>
    </row>
    <row r="1315" spans="5:33" ht="15" customHeight="1" x14ac:dyDescent="0.2">
      <c r="E1315" s="134" t="str">
        <f>IF(F1315="","",VLOOKUP(F1315,All_LTMN_Lookups!J1361:K2582,2))</f>
        <v/>
      </c>
      <c r="AG1315" s="183" t="str">
        <f t="shared" si="10"/>
        <v/>
      </c>
    </row>
    <row r="1316" spans="5:33" ht="15" customHeight="1" x14ac:dyDescent="0.2">
      <c r="E1316" s="134" t="str">
        <f>IF(F1316="","",VLOOKUP(F1316,All_LTMN_Lookups!J1362:K2583,2))</f>
        <v/>
      </c>
      <c r="AG1316" s="183" t="str">
        <f t="shared" si="10"/>
        <v/>
      </c>
    </row>
    <row r="1317" spans="5:33" ht="15" customHeight="1" x14ac:dyDescent="0.2">
      <c r="E1317" s="134" t="str">
        <f>IF(F1317="","",VLOOKUP(F1317,All_LTMN_Lookups!J1363:K2584,2))</f>
        <v/>
      </c>
      <c r="AG1317" s="183" t="str">
        <f t="shared" si="10"/>
        <v/>
      </c>
    </row>
    <row r="1318" spans="5:33" ht="15" customHeight="1" x14ac:dyDescent="0.2">
      <c r="E1318" s="134" t="str">
        <f>IF(F1318="","",VLOOKUP(F1318,All_LTMN_Lookups!J1364:K2585,2))</f>
        <v/>
      </c>
      <c r="AG1318" s="183" t="str">
        <f t="shared" si="10"/>
        <v/>
      </c>
    </row>
    <row r="1319" spans="5:33" ht="15" customHeight="1" x14ac:dyDescent="0.2">
      <c r="E1319" s="134" t="str">
        <f>IF(F1319="","",VLOOKUP(F1319,All_LTMN_Lookups!J1365:K2586,2))</f>
        <v/>
      </c>
      <c r="AG1319" s="183" t="str">
        <f t="shared" si="10"/>
        <v/>
      </c>
    </row>
    <row r="1320" spans="5:33" ht="15" customHeight="1" x14ac:dyDescent="0.2">
      <c r="E1320" s="134" t="str">
        <f>IF(F1320="","",VLOOKUP(F1320,All_LTMN_Lookups!J1366:K2587,2))</f>
        <v/>
      </c>
      <c r="AG1320" s="183" t="str">
        <f t="shared" si="10"/>
        <v/>
      </c>
    </row>
    <row r="1321" spans="5:33" ht="15" customHeight="1" x14ac:dyDescent="0.2">
      <c r="E1321" s="134" t="str">
        <f>IF(F1321="","",VLOOKUP(F1321,All_LTMN_Lookups!J1367:K2588,2))</f>
        <v/>
      </c>
      <c r="AG1321" s="183" t="str">
        <f t="shared" si="10"/>
        <v/>
      </c>
    </row>
    <row r="1322" spans="5:33" ht="15" customHeight="1" x14ac:dyDescent="0.2">
      <c r="E1322" s="134" t="str">
        <f>IF(F1322="","",VLOOKUP(F1322,All_LTMN_Lookups!J1368:K2589,2))</f>
        <v/>
      </c>
      <c r="AG1322" s="183" t="str">
        <f t="shared" si="10"/>
        <v/>
      </c>
    </row>
    <row r="1323" spans="5:33" ht="15" customHeight="1" x14ac:dyDescent="0.2">
      <c r="E1323" s="134" t="str">
        <f>IF(F1323="","",VLOOKUP(F1323,All_LTMN_Lookups!J1369:K2590,2))</f>
        <v/>
      </c>
      <c r="AG1323" s="183" t="str">
        <f t="shared" si="10"/>
        <v/>
      </c>
    </row>
    <row r="1324" spans="5:33" ht="15" customHeight="1" x14ac:dyDescent="0.2">
      <c r="E1324" s="134" t="str">
        <f>IF(F1324="","",VLOOKUP(F1324,All_LTMN_Lookups!J1370:K2591,2))</f>
        <v/>
      </c>
      <c r="AG1324" s="183" t="str">
        <f t="shared" si="10"/>
        <v/>
      </c>
    </row>
    <row r="1325" spans="5:33" ht="15" customHeight="1" x14ac:dyDescent="0.2">
      <c r="E1325" s="134" t="str">
        <f>IF(F1325="","",VLOOKUP(F1325,All_LTMN_Lookups!J1371:K2592,2))</f>
        <v/>
      </c>
      <c r="AG1325" s="183" t="str">
        <f t="shared" si="10"/>
        <v/>
      </c>
    </row>
    <row r="1326" spans="5:33" ht="15" customHeight="1" x14ac:dyDescent="0.2">
      <c r="E1326" s="134" t="str">
        <f>IF(F1326="","",VLOOKUP(F1326,All_LTMN_Lookups!J1372:K2593,2))</f>
        <v/>
      </c>
      <c r="AG1326" s="183" t="str">
        <f t="shared" si="10"/>
        <v/>
      </c>
    </row>
    <row r="1327" spans="5:33" ht="15" customHeight="1" x14ac:dyDescent="0.2">
      <c r="E1327" s="134" t="str">
        <f>IF(F1327="","",VLOOKUP(F1327,All_LTMN_Lookups!J1373:K2594,2))</f>
        <v/>
      </c>
      <c r="AG1327" s="183" t="str">
        <f t="shared" si="10"/>
        <v/>
      </c>
    </row>
    <row r="1328" spans="5:33" ht="15" customHeight="1" x14ac:dyDescent="0.2">
      <c r="E1328" s="134" t="str">
        <f>IF(F1328="","",VLOOKUP(F1328,All_LTMN_Lookups!J1374:K2595,2))</f>
        <v/>
      </c>
      <c r="AG1328" s="183" t="str">
        <f t="shared" si="10"/>
        <v/>
      </c>
    </row>
    <row r="1329" spans="5:33" ht="15" customHeight="1" x14ac:dyDescent="0.2">
      <c r="E1329" s="134" t="str">
        <f>IF(F1329="","",VLOOKUP(F1329,All_LTMN_Lookups!J1375:K2596,2))</f>
        <v/>
      </c>
      <c r="AG1329" s="183" t="str">
        <f t="shared" si="10"/>
        <v/>
      </c>
    </row>
    <row r="1330" spans="5:33" ht="15" customHeight="1" x14ac:dyDescent="0.2">
      <c r="E1330" s="134" t="str">
        <f>IF(F1330="","",VLOOKUP(F1330,All_LTMN_Lookups!J1376:K2597,2))</f>
        <v/>
      </c>
      <c r="AG1330" s="183" t="str">
        <f t="shared" si="10"/>
        <v/>
      </c>
    </row>
    <row r="1331" spans="5:33" ht="15" customHeight="1" x14ac:dyDescent="0.2">
      <c r="E1331" s="134" t="str">
        <f>IF(F1331="","",VLOOKUP(F1331,All_LTMN_Lookups!J1377:K2598,2))</f>
        <v/>
      </c>
      <c r="AG1331" s="183" t="str">
        <f t="shared" si="10"/>
        <v/>
      </c>
    </row>
    <row r="1332" spans="5:33" ht="15" customHeight="1" x14ac:dyDescent="0.2">
      <c r="E1332" s="134" t="str">
        <f>IF(F1332="","",VLOOKUP(F1332,All_LTMN_Lookups!J1378:K2599,2))</f>
        <v/>
      </c>
      <c r="AG1332" s="183" t="str">
        <f t="shared" si="10"/>
        <v/>
      </c>
    </row>
    <row r="1333" spans="5:33" ht="15" customHeight="1" x14ac:dyDescent="0.2">
      <c r="E1333" s="134" t="str">
        <f>IF(F1333="","",VLOOKUP(F1333,All_LTMN_Lookups!J1379:K2600,2))</f>
        <v/>
      </c>
      <c r="AG1333" s="183" t="str">
        <f t="shared" si="10"/>
        <v/>
      </c>
    </row>
    <row r="1334" spans="5:33" ht="15" customHeight="1" x14ac:dyDescent="0.2">
      <c r="E1334" s="134" t="str">
        <f>IF(F1334="","",VLOOKUP(F1334,All_LTMN_Lookups!J1380:K2601,2))</f>
        <v/>
      </c>
      <c r="AG1334" s="183" t="str">
        <f t="shared" si="10"/>
        <v/>
      </c>
    </row>
    <row r="1335" spans="5:33" ht="15" customHeight="1" x14ac:dyDescent="0.2">
      <c r="E1335" s="134" t="str">
        <f>IF(F1335="","",VLOOKUP(F1335,All_LTMN_Lookups!J1381:K2602,2))</f>
        <v/>
      </c>
      <c r="AG1335" s="183" t="str">
        <f t="shared" si="10"/>
        <v/>
      </c>
    </row>
    <row r="1336" spans="5:33" ht="15" customHeight="1" x14ac:dyDescent="0.2">
      <c r="E1336" s="134" t="str">
        <f>IF(F1336="","",VLOOKUP(F1336,All_LTMN_Lookups!J1382:K2603,2))</f>
        <v/>
      </c>
      <c r="AG1336" s="183" t="str">
        <f t="shared" si="10"/>
        <v/>
      </c>
    </row>
    <row r="1337" spans="5:33" ht="15" customHeight="1" x14ac:dyDescent="0.2">
      <c r="E1337" s="134" t="str">
        <f>IF(F1337="","",VLOOKUP(F1337,All_LTMN_Lookups!J1383:K2604,2))</f>
        <v/>
      </c>
      <c r="AG1337" s="183" t="str">
        <f t="shared" si="10"/>
        <v/>
      </c>
    </row>
    <row r="1338" spans="5:33" ht="15" customHeight="1" x14ac:dyDescent="0.2">
      <c r="E1338" s="134" t="str">
        <f>IF(F1338="","",VLOOKUP(F1338,All_LTMN_Lookups!J1384:K2605,2))</f>
        <v/>
      </c>
      <c r="AG1338" s="183" t="str">
        <f t="shared" si="10"/>
        <v/>
      </c>
    </row>
    <row r="1339" spans="5:33" ht="15" customHeight="1" x14ac:dyDescent="0.2">
      <c r="E1339" s="134" t="str">
        <f>IF(F1339="","",VLOOKUP(F1339,All_LTMN_Lookups!J1385:K2606,2))</f>
        <v/>
      </c>
      <c r="AG1339" s="183" t="str">
        <f t="shared" si="10"/>
        <v/>
      </c>
    </row>
    <row r="1340" spans="5:33" ht="15" customHeight="1" x14ac:dyDescent="0.2">
      <c r="E1340" s="134" t="str">
        <f>IF(F1340="","",VLOOKUP(F1340,All_LTMN_Lookups!J1386:K2607,2))</f>
        <v/>
      </c>
      <c r="AG1340" s="183" t="str">
        <f t="shared" si="10"/>
        <v/>
      </c>
    </row>
    <row r="1341" spans="5:33" ht="15" customHeight="1" x14ac:dyDescent="0.2">
      <c r="E1341" s="134" t="str">
        <f>IF(F1341="","",VLOOKUP(F1341,All_LTMN_Lookups!J1387:K2608,2))</f>
        <v/>
      </c>
      <c r="AG1341" s="183" t="str">
        <f t="shared" si="10"/>
        <v/>
      </c>
    </row>
    <row r="1342" spans="5:33" ht="15" customHeight="1" x14ac:dyDescent="0.2">
      <c r="E1342" s="134" t="str">
        <f>IF(F1342="","",VLOOKUP(F1342,All_LTMN_Lookups!J1388:K2609,2))</f>
        <v/>
      </c>
      <c r="AG1342" s="183" t="str">
        <f t="shared" si="10"/>
        <v/>
      </c>
    </row>
    <row r="1343" spans="5:33" ht="15" customHeight="1" x14ac:dyDescent="0.2">
      <c r="E1343" s="134" t="str">
        <f>IF(F1343="","",VLOOKUP(F1343,All_LTMN_Lookups!J1389:K2610,2))</f>
        <v/>
      </c>
      <c r="AG1343" s="183" t="str">
        <f t="shared" si="10"/>
        <v/>
      </c>
    </row>
    <row r="1344" spans="5:33" ht="15" customHeight="1" x14ac:dyDescent="0.2">
      <c r="E1344" s="134" t="str">
        <f>IF(F1344="","",VLOOKUP(F1344,All_LTMN_Lookups!J1390:K2611,2))</f>
        <v/>
      </c>
      <c r="AG1344" s="183" t="str">
        <f t="shared" si="10"/>
        <v/>
      </c>
    </row>
    <row r="1345" spans="5:33" ht="15" customHeight="1" x14ac:dyDescent="0.2">
      <c r="E1345" s="134" t="str">
        <f>IF(F1345="","",VLOOKUP(F1345,All_LTMN_Lookups!J1391:K2612,2))</f>
        <v/>
      </c>
      <c r="AG1345" s="183" t="str">
        <f t="shared" si="10"/>
        <v/>
      </c>
    </row>
    <row r="1346" spans="5:33" ht="15" customHeight="1" x14ac:dyDescent="0.2">
      <c r="E1346" s="134" t="str">
        <f>IF(F1346="","",VLOOKUP(F1346,All_LTMN_Lookups!J1392:K2613,2))</f>
        <v/>
      </c>
      <c r="AG1346" s="183" t="str">
        <f t="shared" si="10"/>
        <v/>
      </c>
    </row>
    <row r="1347" spans="5:33" ht="15" customHeight="1" x14ac:dyDescent="0.2">
      <c r="E1347" s="134" t="str">
        <f>IF(F1347="","",VLOOKUP(F1347,All_LTMN_Lookups!J1393:K2614,2))</f>
        <v/>
      </c>
      <c r="AG1347" s="183" t="str">
        <f t="shared" si="10"/>
        <v/>
      </c>
    </row>
    <row r="1348" spans="5:33" ht="15" customHeight="1" x14ac:dyDescent="0.2">
      <c r="E1348" s="134" t="str">
        <f>IF(F1348="","",VLOOKUP(F1348,All_LTMN_Lookups!J1394:K2615,2))</f>
        <v/>
      </c>
      <c r="AG1348" s="183" t="str">
        <f t="shared" si="10"/>
        <v/>
      </c>
    </row>
    <row r="1349" spans="5:33" ht="15" customHeight="1" x14ac:dyDescent="0.2">
      <c r="E1349" s="134" t="str">
        <f>IF(F1349="","",VLOOKUP(F1349,All_LTMN_Lookups!J1395:K2616,2))</f>
        <v/>
      </c>
      <c r="AG1349" s="183" t="str">
        <f t="shared" si="10"/>
        <v/>
      </c>
    </row>
    <row r="1350" spans="5:33" ht="15" customHeight="1" x14ac:dyDescent="0.2">
      <c r="E1350" s="134" t="str">
        <f>IF(F1350="","",VLOOKUP(F1350,All_LTMN_Lookups!J1396:K2617,2))</f>
        <v/>
      </c>
      <c r="AG1350" s="183" t="str">
        <f t="shared" si="10"/>
        <v/>
      </c>
    </row>
    <row r="1351" spans="5:33" ht="15" customHeight="1" x14ac:dyDescent="0.2">
      <c r="E1351" s="134" t="str">
        <f>IF(F1351="","",VLOOKUP(F1351,All_LTMN_Lookups!J1397:K2618,2))</f>
        <v/>
      </c>
      <c r="AG1351" s="183" t="str">
        <f t="shared" si="10"/>
        <v/>
      </c>
    </row>
    <row r="1352" spans="5:33" ht="15" customHeight="1" x14ac:dyDescent="0.2">
      <c r="E1352" s="134" t="str">
        <f>IF(F1352="","",VLOOKUP(F1352,All_LTMN_Lookups!J1398:K2619,2))</f>
        <v/>
      </c>
      <c r="AG1352" s="183" t="str">
        <f t="shared" si="10"/>
        <v/>
      </c>
    </row>
    <row r="1353" spans="5:33" ht="15" customHeight="1" x14ac:dyDescent="0.2">
      <c r="E1353" s="134" t="str">
        <f>IF(F1353="","",VLOOKUP(F1353,All_LTMN_Lookups!J1399:K2620,2))</f>
        <v/>
      </c>
      <c r="AG1353" s="183" t="str">
        <f t="shared" si="10"/>
        <v/>
      </c>
    </row>
    <row r="1354" spans="5:33" ht="15" customHeight="1" x14ac:dyDescent="0.2">
      <c r="E1354" s="134" t="str">
        <f>IF(F1354="","",VLOOKUP(F1354,All_LTMN_Lookups!J1400:K2621,2))</f>
        <v/>
      </c>
      <c r="AG1354" s="183" t="str">
        <f t="shared" si="10"/>
        <v/>
      </c>
    </row>
    <row r="1355" spans="5:33" ht="15" customHeight="1" x14ac:dyDescent="0.2">
      <c r="E1355" s="134" t="str">
        <f>IF(F1355="","",VLOOKUP(F1355,All_LTMN_Lookups!J1401:K2622,2))</f>
        <v/>
      </c>
      <c r="AG1355" s="183" t="str">
        <f t="shared" ref="AG1355:AG1418" si="11">IF(F1355&lt;&gt;"",SUM(G1355:AE1355), "")</f>
        <v/>
      </c>
    </row>
    <row r="1356" spans="5:33" ht="15" customHeight="1" x14ac:dyDescent="0.2">
      <c r="E1356" s="134" t="str">
        <f>IF(F1356="","",VLOOKUP(F1356,All_LTMN_Lookups!J1402:K2623,2))</f>
        <v/>
      </c>
      <c r="AG1356" s="183" t="str">
        <f t="shared" si="11"/>
        <v/>
      </c>
    </row>
    <row r="1357" spans="5:33" ht="15" customHeight="1" x14ac:dyDescent="0.2">
      <c r="E1357" s="134" t="str">
        <f>IF(F1357="","",VLOOKUP(F1357,All_LTMN_Lookups!J1403:K2624,2))</f>
        <v/>
      </c>
      <c r="AG1357" s="183" t="str">
        <f t="shared" si="11"/>
        <v/>
      </c>
    </row>
    <row r="1358" spans="5:33" ht="15" customHeight="1" x14ac:dyDescent="0.2">
      <c r="E1358" s="134" t="str">
        <f>IF(F1358="","",VLOOKUP(F1358,All_LTMN_Lookups!J1404:K2625,2))</f>
        <v/>
      </c>
      <c r="AG1358" s="183" t="str">
        <f t="shared" si="11"/>
        <v/>
      </c>
    </row>
    <row r="1359" spans="5:33" ht="15" customHeight="1" x14ac:dyDescent="0.2">
      <c r="E1359" s="134" t="str">
        <f>IF(F1359="","",VLOOKUP(F1359,All_LTMN_Lookups!J1405:K2626,2))</f>
        <v/>
      </c>
      <c r="AG1359" s="183" t="str">
        <f t="shared" si="11"/>
        <v/>
      </c>
    </row>
    <row r="1360" spans="5:33" ht="15" customHeight="1" x14ac:dyDescent="0.2">
      <c r="E1360" s="134" t="str">
        <f>IF(F1360="","",VLOOKUP(F1360,All_LTMN_Lookups!J1406:K2627,2))</f>
        <v/>
      </c>
      <c r="AG1360" s="183" t="str">
        <f t="shared" si="11"/>
        <v/>
      </c>
    </row>
    <row r="1361" spans="5:33" ht="15" customHeight="1" x14ac:dyDescent="0.2">
      <c r="E1361" s="134" t="str">
        <f>IF(F1361="","",VLOOKUP(F1361,All_LTMN_Lookups!J1407:K2628,2))</f>
        <v/>
      </c>
      <c r="AG1361" s="183" t="str">
        <f t="shared" si="11"/>
        <v/>
      </c>
    </row>
    <row r="1362" spans="5:33" ht="15" customHeight="1" x14ac:dyDescent="0.2">
      <c r="E1362" s="134" t="str">
        <f>IF(F1362="","",VLOOKUP(F1362,All_LTMN_Lookups!J1408:K2629,2))</f>
        <v/>
      </c>
      <c r="AG1362" s="183" t="str">
        <f t="shared" si="11"/>
        <v/>
      </c>
    </row>
    <row r="1363" spans="5:33" ht="15" customHeight="1" x14ac:dyDescent="0.2">
      <c r="E1363" s="134" t="str">
        <f>IF(F1363="","",VLOOKUP(F1363,All_LTMN_Lookups!J1409:K2630,2))</f>
        <v/>
      </c>
      <c r="AG1363" s="183" t="str">
        <f t="shared" si="11"/>
        <v/>
      </c>
    </row>
    <row r="1364" spans="5:33" ht="15" customHeight="1" x14ac:dyDescent="0.2">
      <c r="E1364" s="134" t="str">
        <f>IF(F1364="","",VLOOKUP(F1364,All_LTMN_Lookups!J1410:K2631,2))</f>
        <v/>
      </c>
      <c r="AG1364" s="183" t="str">
        <f t="shared" si="11"/>
        <v/>
      </c>
    </row>
    <row r="1365" spans="5:33" ht="15" customHeight="1" x14ac:dyDescent="0.2">
      <c r="E1365" s="134" t="str">
        <f>IF(F1365="","",VLOOKUP(F1365,All_LTMN_Lookups!J1411:K2632,2))</f>
        <v/>
      </c>
      <c r="AG1365" s="183" t="str">
        <f t="shared" si="11"/>
        <v/>
      </c>
    </row>
    <row r="1366" spans="5:33" ht="15" customHeight="1" x14ac:dyDescent="0.2">
      <c r="E1366" s="134" t="str">
        <f>IF(F1366="","",VLOOKUP(F1366,All_LTMN_Lookups!J1412:K2633,2))</f>
        <v/>
      </c>
      <c r="AG1366" s="183" t="str">
        <f t="shared" si="11"/>
        <v/>
      </c>
    </row>
    <row r="1367" spans="5:33" ht="15" customHeight="1" x14ac:dyDescent="0.2">
      <c r="E1367" s="134" t="str">
        <f>IF(F1367="","",VLOOKUP(F1367,All_LTMN_Lookups!J1413:K2634,2))</f>
        <v/>
      </c>
      <c r="AG1367" s="183" t="str">
        <f t="shared" si="11"/>
        <v/>
      </c>
    </row>
    <row r="1368" spans="5:33" ht="15" customHeight="1" x14ac:dyDescent="0.2">
      <c r="E1368" s="134" t="str">
        <f>IF(F1368="","",VLOOKUP(F1368,All_LTMN_Lookups!J1414:K2635,2))</f>
        <v/>
      </c>
      <c r="AG1368" s="183" t="str">
        <f t="shared" si="11"/>
        <v/>
      </c>
    </row>
    <row r="1369" spans="5:33" ht="15" customHeight="1" x14ac:dyDescent="0.2">
      <c r="E1369" s="134" t="str">
        <f>IF(F1369="","",VLOOKUP(F1369,All_LTMN_Lookups!J1415:K2636,2))</f>
        <v/>
      </c>
      <c r="AG1369" s="183" t="str">
        <f t="shared" si="11"/>
        <v/>
      </c>
    </row>
    <row r="1370" spans="5:33" ht="15" customHeight="1" x14ac:dyDescent="0.2">
      <c r="E1370" s="134" t="str">
        <f>IF(F1370="","",VLOOKUP(F1370,All_LTMN_Lookups!J1416:K2637,2))</f>
        <v/>
      </c>
      <c r="AG1370" s="183" t="str">
        <f t="shared" si="11"/>
        <v/>
      </c>
    </row>
    <row r="1371" spans="5:33" ht="15" customHeight="1" x14ac:dyDescent="0.2">
      <c r="E1371" s="134" t="str">
        <f>IF(F1371="","",VLOOKUP(F1371,All_LTMN_Lookups!J1417:K2638,2))</f>
        <v/>
      </c>
      <c r="AG1371" s="183" t="str">
        <f t="shared" si="11"/>
        <v/>
      </c>
    </row>
    <row r="1372" spans="5:33" ht="15" customHeight="1" x14ac:dyDescent="0.2">
      <c r="E1372" s="134" t="str">
        <f>IF(F1372="","",VLOOKUP(F1372,All_LTMN_Lookups!J1418:K2639,2))</f>
        <v/>
      </c>
      <c r="AG1372" s="183" t="str">
        <f t="shared" si="11"/>
        <v/>
      </c>
    </row>
    <row r="1373" spans="5:33" ht="15" customHeight="1" x14ac:dyDescent="0.2">
      <c r="E1373" s="134" t="str">
        <f>IF(F1373="","",VLOOKUP(F1373,All_LTMN_Lookups!J1419:K2640,2))</f>
        <v/>
      </c>
      <c r="AG1373" s="183" t="str">
        <f t="shared" si="11"/>
        <v/>
      </c>
    </row>
    <row r="1374" spans="5:33" ht="15" customHeight="1" x14ac:dyDescent="0.2">
      <c r="E1374" s="134" t="str">
        <f>IF(F1374="","",VLOOKUP(F1374,All_LTMN_Lookups!J1420:K2641,2))</f>
        <v/>
      </c>
      <c r="AG1374" s="183" t="str">
        <f t="shared" si="11"/>
        <v/>
      </c>
    </row>
    <row r="1375" spans="5:33" ht="15" customHeight="1" x14ac:dyDescent="0.2">
      <c r="E1375" s="134" t="str">
        <f>IF(F1375="","",VLOOKUP(F1375,All_LTMN_Lookups!J1421:K2642,2))</f>
        <v/>
      </c>
      <c r="AG1375" s="183" t="str">
        <f t="shared" si="11"/>
        <v/>
      </c>
    </row>
    <row r="1376" spans="5:33" ht="15" customHeight="1" x14ac:dyDescent="0.2">
      <c r="E1376" s="134" t="str">
        <f>IF(F1376="","",VLOOKUP(F1376,All_LTMN_Lookups!J1422:K2643,2))</f>
        <v/>
      </c>
      <c r="AG1376" s="183" t="str">
        <f t="shared" si="11"/>
        <v/>
      </c>
    </row>
    <row r="1377" spans="5:33" ht="15" customHeight="1" x14ac:dyDescent="0.2">
      <c r="E1377" s="134" t="str">
        <f>IF(F1377="","",VLOOKUP(F1377,All_LTMN_Lookups!J1423:K2644,2))</f>
        <v/>
      </c>
      <c r="AG1377" s="183" t="str">
        <f t="shared" si="11"/>
        <v/>
      </c>
    </row>
    <row r="1378" spans="5:33" ht="15" customHeight="1" x14ac:dyDescent="0.2">
      <c r="E1378" s="134" t="str">
        <f>IF(F1378="","",VLOOKUP(F1378,All_LTMN_Lookups!J1424:K2645,2))</f>
        <v/>
      </c>
      <c r="AG1378" s="183" t="str">
        <f t="shared" si="11"/>
        <v/>
      </c>
    </row>
    <row r="1379" spans="5:33" ht="15" customHeight="1" x14ac:dyDescent="0.2">
      <c r="E1379" s="134" t="str">
        <f>IF(F1379="","",VLOOKUP(F1379,All_LTMN_Lookups!J1425:K2646,2))</f>
        <v/>
      </c>
      <c r="AG1379" s="183" t="str">
        <f t="shared" si="11"/>
        <v/>
      </c>
    </row>
    <row r="1380" spans="5:33" ht="15" customHeight="1" x14ac:dyDescent="0.2">
      <c r="E1380" s="134" t="str">
        <f>IF(F1380="","",VLOOKUP(F1380,All_LTMN_Lookups!J1426:K2647,2))</f>
        <v/>
      </c>
      <c r="AG1380" s="183" t="str">
        <f t="shared" si="11"/>
        <v/>
      </c>
    </row>
    <row r="1381" spans="5:33" ht="15" customHeight="1" x14ac:dyDescent="0.2">
      <c r="E1381" s="134" t="str">
        <f>IF(F1381="","",VLOOKUP(F1381,All_LTMN_Lookups!J1427:K2648,2))</f>
        <v/>
      </c>
      <c r="AG1381" s="183" t="str">
        <f t="shared" si="11"/>
        <v/>
      </c>
    </row>
    <row r="1382" spans="5:33" ht="15" customHeight="1" x14ac:dyDescent="0.2">
      <c r="E1382" s="134" t="str">
        <f>IF(F1382="","",VLOOKUP(F1382,All_LTMN_Lookups!J1428:K2649,2))</f>
        <v/>
      </c>
      <c r="AG1382" s="183" t="str">
        <f t="shared" si="11"/>
        <v/>
      </c>
    </row>
    <row r="1383" spans="5:33" ht="15" customHeight="1" x14ac:dyDescent="0.2">
      <c r="E1383" s="134" t="str">
        <f>IF(F1383="","",VLOOKUP(F1383,All_LTMN_Lookups!J1429:K2650,2))</f>
        <v/>
      </c>
      <c r="AG1383" s="183" t="str">
        <f t="shared" si="11"/>
        <v/>
      </c>
    </row>
    <row r="1384" spans="5:33" ht="15" customHeight="1" x14ac:dyDescent="0.2">
      <c r="E1384" s="134" t="str">
        <f>IF(F1384="","",VLOOKUP(F1384,All_LTMN_Lookups!J1430:K2651,2))</f>
        <v/>
      </c>
      <c r="AG1384" s="183" t="str">
        <f t="shared" si="11"/>
        <v/>
      </c>
    </row>
    <row r="1385" spans="5:33" ht="15" customHeight="1" x14ac:dyDescent="0.2">
      <c r="E1385" s="134" t="str">
        <f>IF(F1385="","",VLOOKUP(F1385,All_LTMN_Lookups!J1431:K2652,2))</f>
        <v/>
      </c>
      <c r="AG1385" s="183" t="str">
        <f t="shared" si="11"/>
        <v/>
      </c>
    </row>
    <row r="1386" spans="5:33" ht="15" customHeight="1" x14ac:dyDescent="0.2">
      <c r="E1386" s="134" t="str">
        <f>IF(F1386="","",VLOOKUP(F1386,All_LTMN_Lookups!J1432:K2653,2))</f>
        <v/>
      </c>
      <c r="AG1386" s="183" t="str">
        <f t="shared" si="11"/>
        <v/>
      </c>
    </row>
    <row r="1387" spans="5:33" ht="15" customHeight="1" x14ac:dyDescent="0.2">
      <c r="E1387" s="134" t="str">
        <f>IF(F1387="","",VLOOKUP(F1387,All_LTMN_Lookups!J1433:K2654,2))</f>
        <v/>
      </c>
      <c r="AG1387" s="183" t="str">
        <f t="shared" si="11"/>
        <v/>
      </c>
    </row>
    <row r="1388" spans="5:33" ht="15" customHeight="1" x14ac:dyDescent="0.2">
      <c r="E1388" s="134" t="str">
        <f>IF(F1388="","",VLOOKUP(F1388,All_LTMN_Lookups!J1434:K2655,2))</f>
        <v/>
      </c>
      <c r="AG1388" s="183" t="str">
        <f t="shared" si="11"/>
        <v/>
      </c>
    </row>
    <row r="1389" spans="5:33" ht="15" customHeight="1" x14ac:dyDescent="0.2">
      <c r="E1389" s="134" t="str">
        <f>IF(F1389="","",VLOOKUP(F1389,All_LTMN_Lookups!J1435:K2656,2))</f>
        <v/>
      </c>
      <c r="AG1389" s="183" t="str">
        <f t="shared" si="11"/>
        <v/>
      </c>
    </row>
    <row r="1390" spans="5:33" ht="15" customHeight="1" x14ac:dyDescent="0.2">
      <c r="E1390" s="134" t="str">
        <f>IF(F1390="","",VLOOKUP(F1390,All_LTMN_Lookups!J1436:K2657,2))</f>
        <v/>
      </c>
      <c r="AG1390" s="183" t="str">
        <f t="shared" si="11"/>
        <v/>
      </c>
    </row>
    <row r="1391" spans="5:33" ht="15" customHeight="1" x14ac:dyDescent="0.2">
      <c r="E1391" s="134" t="str">
        <f>IF(F1391="","",VLOOKUP(F1391,All_LTMN_Lookups!J1437:K2658,2))</f>
        <v/>
      </c>
      <c r="AG1391" s="183" t="str">
        <f t="shared" si="11"/>
        <v/>
      </c>
    </row>
    <row r="1392" spans="5:33" ht="15" customHeight="1" x14ac:dyDescent="0.2">
      <c r="E1392" s="134" t="str">
        <f>IF(F1392="","",VLOOKUP(F1392,All_LTMN_Lookups!J1438:K2659,2))</f>
        <v/>
      </c>
      <c r="AG1392" s="183" t="str">
        <f t="shared" si="11"/>
        <v/>
      </c>
    </row>
    <row r="1393" spans="5:33" ht="15" customHeight="1" x14ac:dyDescent="0.2">
      <c r="E1393" s="134" t="str">
        <f>IF(F1393="","",VLOOKUP(F1393,All_LTMN_Lookups!J1439:K2660,2))</f>
        <v/>
      </c>
      <c r="AG1393" s="183" t="str">
        <f t="shared" si="11"/>
        <v/>
      </c>
    </row>
    <row r="1394" spans="5:33" ht="15" customHeight="1" x14ac:dyDescent="0.2">
      <c r="E1394" s="134" t="str">
        <f>IF(F1394="","",VLOOKUP(F1394,All_LTMN_Lookups!J1440:K2661,2))</f>
        <v/>
      </c>
      <c r="AG1394" s="183" t="str">
        <f t="shared" si="11"/>
        <v/>
      </c>
    </row>
    <row r="1395" spans="5:33" ht="15" customHeight="1" x14ac:dyDescent="0.2">
      <c r="E1395" s="134" t="str">
        <f>IF(F1395="","",VLOOKUP(F1395,All_LTMN_Lookups!J1441:K2662,2))</f>
        <v/>
      </c>
      <c r="AG1395" s="183" t="str">
        <f t="shared" si="11"/>
        <v/>
      </c>
    </row>
    <row r="1396" spans="5:33" ht="15" customHeight="1" x14ac:dyDescent="0.2">
      <c r="E1396" s="134" t="str">
        <f>IF(F1396="","",VLOOKUP(F1396,All_LTMN_Lookups!J1442:K2663,2))</f>
        <v/>
      </c>
      <c r="AG1396" s="183" t="str">
        <f t="shared" si="11"/>
        <v/>
      </c>
    </row>
    <row r="1397" spans="5:33" ht="15" customHeight="1" x14ac:dyDescent="0.2">
      <c r="E1397" s="134" t="str">
        <f>IF(F1397="","",VLOOKUP(F1397,All_LTMN_Lookups!J1443:K2664,2))</f>
        <v/>
      </c>
      <c r="AG1397" s="183" t="str">
        <f t="shared" si="11"/>
        <v/>
      </c>
    </row>
    <row r="1398" spans="5:33" ht="15" customHeight="1" x14ac:dyDescent="0.2">
      <c r="E1398" s="134" t="str">
        <f>IF(F1398="","",VLOOKUP(F1398,All_LTMN_Lookups!J1444:K2665,2))</f>
        <v/>
      </c>
      <c r="AG1398" s="183" t="str">
        <f t="shared" si="11"/>
        <v/>
      </c>
    </row>
    <row r="1399" spans="5:33" ht="15" customHeight="1" x14ac:dyDescent="0.2">
      <c r="E1399" s="134" t="str">
        <f>IF(F1399="","",VLOOKUP(F1399,All_LTMN_Lookups!J1445:K2666,2))</f>
        <v/>
      </c>
      <c r="AG1399" s="183" t="str">
        <f t="shared" si="11"/>
        <v/>
      </c>
    </row>
    <row r="1400" spans="5:33" ht="15" customHeight="1" x14ac:dyDescent="0.2">
      <c r="E1400" s="134" t="str">
        <f>IF(F1400="","",VLOOKUP(F1400,All_LTMN_Lookups!J1446:K2667,2))</f>
        <v/>
      </c>
      <c r="AG1400" s="183" t="str">
        <f t="shared" si="11"/>
        <v/>
      </c>
    </row>
    <row r="1401" spans="5:33" ht="15" customHeight="1" x14ac:dyDescent="0.2">
      <c r="E1401" s="134" t="str">
        <f>IF(F1401="","",VLOOKUP(F1401,All_LTMN_Lookups!J1447:K2668,2))</f>
        <v/>
      </c>
      <c r="AG1401" s="183" t="str">
        <f t="shared" si="11"/>
        <v/>
      </c>
    </row>
    <row r="1402" spans="5:33" ht="15" customHeight="1" x14ac:dyDescent="0.2">
      <c r="E1402" s="134" t="str">
        <f>IF(F1402="","",VLOOKUP(F1402,All_LTMN_Lookups!J1448:K2669,2))</f>
        <v/>
      </c>
      <c r="AG1402" s="183" t="str">
        <f t="shared" si="11"/>
        <v/>
      </c>
    </row>
    <row r="1403" spans="5:33" ht="15" customHeight="1" x14ac:dyDescent="0.2">
      <c r="E1403" s="134" t="str">
        <f>IF(F1403="","",VLOOKUP(F1403,All_LTMN_Lookups!J1449:K2670,2))</f>
        <v/>
      </c>
      <c r="AG1403" s="183" t="str">
        <f t="shared" si="11"/>
        <v/>
      </c>
    </row>
    <row r="1404" spans="5:33" ht="15" customHeight="1" x14ac:dyDescent="0.2">
      <c r="E1404" s="134" t="str">
        <f>IF(F1404="","",VLOOKUP(F1404,All_LTMN_Lookups!J1450:K2671,2))</f>
        <v/>
      </c>
      <c r="AG1404" s="183" t="str">
        <f t="shared" si="11"/>
        <v/>
      </c>
    </row>
    <row r="1405" spans="5:33" ht="15" customHeight="1" x14ac:dyDescent="0.2">
      <c r="E1405" s="134" t="str">
        <f>IF(F1405="","",VLOOKUP(F1405,All_LTMN_Lookups!J1451:K2672,2))</f>
        <v/>
      </c>
      <c r="AG1405" s="183" t="str">
        <f t="shared" si="11"/>
        <v/>
      </c>
    </row>
    <row r="1406" spans="5:33" ht="15" customHeight="1" x14ac:dyDescent="0.2">
      <c r="E1406" s="134" t="str">
        <f>IF(F1406="","",VLOOKUP(F1406,All_LTMN_Lookups!J1452:K2673,2))</f>
        <v/>
      </c>
      <c r="AG1406" s="183" t="str">
        <f t="shared" si="11"/>
        <v/>
      </c>
    </row>
    <row r="1407" spans="5:33" ht="15" customHeight="1" x14ac:dyDescent="0.2">
      <c r="E1407" s="134" t="str">
        <f>IF(F1407="","",VLOOKUP(F1407,All_LTMN_Lookups!J1453:K2674,2))</f>
        <v/>
      </c>
      <c r="AG1407" s="183" t="str">
        <f t="shared" si="11"/>
        <v/>
      </c>
    </row>
    <row r="1408" spans="5:33" ht="15" customHeight="1" x14ac:dyDescent="0.2">
      <c r="E1408" s="134" t="str">
        <f>IF(F1408="","",VLOOKUP(F1408,All_LTMN_Lookups!J1454:K2675,2))</f>
        <v/>
      </c>
      <c r="AG1408" s="183" t="str">
        <f t="shared" si="11"/>
        <v/>
      </c>
    </row>
    <row r="1409" spans="5:33" ht="15" customHeight="1" x14ac:dyDescent="0.2">
      <c r="E1409" s="134" t="str">
        <f>IF(F1409="","",VLOOKUP(F1409,All_LTMN_Lookups!J1455:K2676,2))</f>
        <v/>
      </c>
      <c r="AG1409" s="183" t="str">
        <f t="shared" si="11"/>
        <v/>
      </c>
    </row>
    <row r="1410" spans="5:33" ht="15" customHeight="1" x14ac:dyDescent="0.2">
      <c r="E1410" s="134" t="str">
        <f>IF(F1410="","",VLOOKUP(F1410,All_LTMN_Lookups!J1456:K2677,2))</f>
        <v/>
      </c>
      <c r="AG1410" s="183" t="str">
        <f t="shared" si="11"/>
        <v/>
      </c>
    </row>
    <row r="1411" spans="5:33" ht="15" customHeight="1" x14ac:dyDescent="0.2">
      <c r="E1411" s="134" t="str">
        <f>IF(F1411="","",VLOOKUP(F1411,All_LTMN_Lookups!J1457:K2678,2))</f>
        <v/>
      </c>
      <c r="AG1411" s="183" t="str">
        <f t="shared" si="11"/>
        <v/>
      </c>
    </row>
    <row r="1412" spans="5:33" ht="15" customHeight="1" x14ac:dyDescent="0.2">
      <c r="E1412" s="134" t="str">
        <f>IF(F1412="","",VLOOKUP(F1412,All_LTMN_Lookups!J1458:K2679,2))</f>
        <v/>
      </c>
      <c r="AG1412" s="183" t="str">
        <f t="shared" si="11"/>
        <v/>
      </c>
    </row>
    <row r="1413" spans="5:33" ht="15" customHeight="1" x14ac:dyDescent="0.2">
      <c r="E1413" s="134" t="str">
        <f>IF(F1413="","",VLOOKUP(F1413,All_LTMN_Lookups!J1459:K2680,2))</f>
        <v/>
      </c>
      <c r="AG1413" s="183" t="str">
        <f t="shared" si="11"/>
        <v/>
      </c>
    </row>
    <row r="1414" spans="5:33" ht="15" customHeight="1" x14ac:dyDescent="0.2">
      <c r="E1414" s="134" t="str">
        <f>IF(F1414="","",VLOOKUP(F1414,All_LTMN_Lookups!J1460:K2681,2))</f>
        <v/>
      </c>
      <c r="AG1414" s="183" t="str">
        <f t="shared" si="11"/>
        <v/>
      </c>
    </row>
    <row r="1415" spans="5:33" ht="15" customHeight="1" x14ac:dyDescent="0.2">
      <c r="E1415" s="134" t="str">
        <f>IF(F1415="","",VLOOKUP(F1415,All_LTMN_Lookups!J1461:K2682,2))</f>
        <v/>
      </c>
      <c r="AG1415" s="183" t="str">
        <f t="shared" si="11"/>
        <v/>
      </c>
    </row>
    <row r="1416" spans="5:33" ht="15" customHeight="1" x14ac:dyDescent="0.2">
      <c r="E1416" s="134" t="str">
        <f>IF(F1416="","",VLOOKUP(F1416,All_LTMN_Lookups!J1462:K2683,2))</f>
        <v/>
      </c>
      <c r="AG1416" s="183" t="str">
        <f t="shared" si="11"/>
        <v/>
      </c>
    </row>
    <row r="1417" spans="5:33" ht="15" customHeight="1" x14ac:dyDescent="0.2">
      <c r="E1417" s="134" t="str">
        <f>IF(F1417="","",VLOOKUP(F1417,All_LTMN_Lookups!J1463:K2684,2))</f>
        <v/>
      </c>
      <c r="AG1417" s="183" t="str">
        <f t="shared" si="11"/>
        <v/>
      </c>
    </row>
    <row r="1418" spans="5:33" ht="15" customHeight="1" x14ac:dyDescent="0.2">
      <c r="E1418" s="134" t="str">
        <f>IF(F1418="","",VLOOKUP(F1418,All_LTMN_Lookups!J1464:K2685,2))</f>
        <v/>
      </c>
      <c r="AG1418" s="183" t="str">
        <f t="shared" si="11"/>
        <v/>
      </c>
    </row>
    <row r="1419" spans="5:33" ht="15" customHeight="1" x14ac:dyDescent="0.2">
      <c r="E1419" s="134" t="str">
        <f>IF(F1419="","",VLOOKUP(F1419,All_LTMN_Lookups!J1465:K2686,2))</f>
        <v/>
      </c>
      <c r="AG1419" s="183" t="str">
        <f t="shared" ref="AG1419:AG1482" si="12">IF(F1419&lt;&gt;"",SUM(G1419:AE1419), "")</f>
        <v/>
      </c>
    </row>
    <row r="1420" spans="5:33" ht="15" customHeight="1" x14ac:dyDescent="0.2">
      <c r="E1420" s="134" t="str">
        <f>IF(F1420="","",VLOOKUP(F1420,All_LTMN_Lookups!J1466:K2687,2))</f>
        <v/>
      </c>
      <c r="AG1420" s="183" t="str">
        <f t="shared" si="12"/>
        <v/>
      </c>
    </row>
    <row r="1421" spans="5:33" ht="15" customHeight="1" x14ac:dyDescent="0.2">
      <c r="E1421" s="134" t="str">
        <f>IF(F1421="","",VLOOKUP(F1421,All_LTMN_Lookups!J1467:K2688,2))</f>
        <v/>
      </c>
      <c r="AG1421" s="183" t="str">
        <f t="shared" si="12"/>
        <v/>
      </c>
    </row>
    <row r="1422" spans="5:33" ht="15" customHeight="1" x14ac:dyDescent="0.2">
      <c r="E1422" s="134" t="str">
        <f>IF(F1422="","",VLOOKUP(F1422,All_LTMN_Lookups!J1468:K2689,2))</f>
        <v/>
      </c>
      <c r="AG1422" s="183" t="str">
        <f t="shared" si="12"/>
        <v/>
      </c>
    </row>
    <row r="1423" spans="5:33" ht="15" customHeight="1" x14ac:dyDescent="0.2">
      <c r="E1423" s="134" t="str">
        <f>IF(F1423="","",VLOOKUP(F1423,All_LTMN_Lookups!J1469:K2690,2))</f>
        <v/>
      </c>
      <c r="AG1423" s="183" t="str">
        <f t="shared" si="12"/>
        <v/>
      </c>
    </row>
    <row r="1424" spans="5:33" ht="15" customHeight="1" x14ac:dyDescent="0.2">
      <c r="E1424" s="134" t="str">
        <f>IF(F1424="","",VLOOKUP(F1424,All_LTMN_Lookups!J1470:K2691,2))</f>
        <v/>
      </c>
      <c r="AG1424" s="183" t="str">
        <f t="shared" si="12"/>
        <v/>
      </c>
    </row>
    <row r="1425" spans="5:33" ht="15" customHeight="1" x14ac:dyDescent="0.2">
      <c r="E1425" s="134" t="str">
        <f>IF(F1425="","",VLOOKUP(F1425,All_LTMN_Lookups!J1471:K2692,2))</f>
        <v/>
      </c>
      <c r="AG1425" s="183" t="str">
        <f t="shared" si="12"/>
        <v/>
      </c>
    </row>
    <row r="1426" spans="5:33" ht="15" customHeight="1" x14ac:dyDescent="0.2">
      <c r="E1426" s="134" t="str">
        <f>IF(F1426="","",VLOOKUP(F1426,All_LTMN_Lookups!J1472:K2693,2))</f>
        <v/>
      </c>
      <c r="AG1426" s="183" t="str">
        <f t="shared" si="12"/>
        <v/>
      </c>
    </row>
    <row r="1427" spans="5:33" ht="15" customHeight="1" x14ac:dyDescent="0.2">
      <c r="E1427" s="134" t="str">
        <f>IF(F1427="","",VLOOKUP(F1427,All_LTMN_Lookups!J1473:K2694,2))</f>
        <v/>
      </c>
      <c r="AG1427" s="183" t="str">
        <f t="shared" si="12"/>
        <v/>
      </c>
    </row>
    <row r="1428" spans="5:33" ht="15" customHeight="1" x14ac:dyDescent="0.2">
      <c r="E1428" s="134" t="str">
        <f>IF(F1428="","",VLOOKUP(F1428,All_LTMN_Lookups!J1474:K2695,2))</f>
        <v/>
      </c>
      <c r="AG1428" s="183" t="str">
        <f t="shared" si="12"/>
        <v/>
      </c>
    </row>
    <row r="1429" spans="5:33" ht="15" customHeight="1" x14ac:dyDescent="0.2">
      <c r="E1429" s="134" t="str">
        <f>IF(F1429="","",VLOOKUP(F1429,All_LTMN_Lookups!J1475:K2696,2))</f>
        <v/>
      </c>
      <c r="AG1429" s="183" t="str">
        <f t="shared" si="12"/>
        <v/>
      </c>
    </row>
    <row r="1430" spans="5:33" ht="15" customHeight="1" x14ac:dyDescent="0.2">
      <c r="E1430" s="134" t="str">
        <f>IF(F1430="","",VLOOKUP(F1430,All_LTMN_Lookups!J1476:K2697,2))</f>
        <v/>
      </c>
      <c r="AG1430" s="183" t="str">
        <f t="shared" si="12"/>
        <v/>
      </c>
    </row>
    <row r="1431" spans="5:33" ht="15" customHeight="1" x14ac:dyDescent="0.2">
      <c r="E1431" s="134" t="str">
        <f>IF(F1431="","",VLOOKUP(F1431,All_LTMN_Lookups!J1477:K2698,2))</f>
        <v/>
      </c>
      <c r="AG1431" s="183" t="str">
        <f t="shared" si="12"/>
        <v/>
      </c>
    </row>
    <row r="1432" spans="5:33" ht="15" customHeight="1" x14ac:dyDescent="0.2">
      <c r="E1432" s="134" t="str">
        <f>IF(F1432="","",VLOOKUP(F1432,All_LTMN_Lookups!J1478:K2699,2))</f>
        <v/>
      </c>
      <c r="AG1432" s="183" t="str">
        <f t="shared" si="12"/>
        <v/>
      </c>
    </row>
    <row r="1433" spans="5:33" ht="15" customHeight="1" x14ac:dyDescent="0.2">
      <c r="E1433" s="134" t="str">
        <f>IF(F1433="","",VLOOKUP(F1433,All_LTMN_Lookups!J1479:K2700,2))</f>
        <v/>
      </c>
      <c r="AG1433" s="183" t="str">
        <f t="shared" si="12"/>
        <v/>
      </c>
    </row>
    <row r="1434" spans="5:33" ht="15" customHeight="1" x14ac:dyDescent="0.2">
      <c r="E1434" s="134" t="str">
        <f>IF(F1434="","",VLOOKUP(F1434,All_LTMN_Lookups!J1480:K2701,2))</f>
        <v/>
      </c>
      <c r="AG1434" s="183" t="str">
        <f t="shared" si="12"/>
        <v/>
      </c>
    </row>
    <row r="1435" spans="5:33" ht="15" customHeight="1" x14ac:dyDescent="0.2">
      <c r="E1435" s="134" t="str">
        <f>IF(F1435="","",VLOOKUP(F1435,All_LTMN_Lookups!J1481:K2702,2))</f>
        <v/>
      </c>
      <c r="AG1435" s="183" t="str">
        <f t="shared" si="12"/>
        <v/>
      </c>
    </row>
    <row r="1436" spans="5:33" ht="15" customHeight="1" x14ac:dyDescent="0.2">
      <c r="E1436" s="134" t="str">
        <f>IF(F1436="","",VLOOKUP(F1436,All_LTMN_Lookups!J1482:K2703,2))</f>
        <v/>
      </c>
      <c r="AG1436" s="183" t="str">
        <f t="shared" si="12"/>
        <v/>
      </c>
    </row>
    <row r="1437" spans="5:33" ht="15" customHeight="1" x14ac:dyDescent="0.2">
      <c r="E1437" s="134" t="str">
        <f>IF(F1437="","",VLOOKUP(F1437,All_LTMN_Lookups!J1483:K2704,2))</f>
        <v/>
      </c>
      <c r="AG1437" s="183" t="str">
        <f t="shared" si="12"/>
        <v/>
      </c>
    </row>
    <row r="1438" spans="5:33" ht="15" customHeight="1" x14ac:dyDescent="0.2">
      <c r="E1438" s="134" t="str">
        <f>IF(F1438="","",VLOOKUP(F1438,All_LTMN_Lookups!J1484:K2705,2))</f>
        <v/>
      </c>
      <c r="AG1438" s="183" t="str">
        <f t="shared" si="12"/>
        <v/>
      </c>
    </row>
    <row r="1439" spans="5:33" ht="15" customHeight="1" x14ac:dyDescent="0.2">
      <c r="E1439" s="134" t="str">
        <f>IF(F1439="","",VLOOKUP(F1439,All_LTMN_Lookups!J1485:K2706,2))</f>
        <v/>
      </c>
      <c r="AG1439" s="183" t="str">
        <f t="shared" si="12"/>
        <v/>
      </c>
    </row>
    <row r="1440" spans="5:33" ht="15" customHeight="1" x14ac:dyDescent="0.2">
      <c r="E1440" s="134" t="str">
        <f>IF(F1440="","",VLOOKUP(F1440,All_LTMN_Lookups!J1486:K2707,2))</f>
        <v/>
      </c>
      <c r="AG1440" s="183" t="str">
        <f t="shared" si="12"/>
        <v/>
      </c>
    </row>
    <row r="1441" spans="5:33" ht="15" customHeight="1" x14ac:dyDescent="0.2">
      <c r="E1441" s="134" t="str">
        <f>IF(F1441="","",VLOOKUP(F1441,All_LTMN_Lookups!J1487:K2708,2))</f>
        <v/>
      </c>
      <c r="AG1441" s="183" t="str">
        <f t="shared" si="12"/>
        <v/>
      </c>
    </row>
    <row r="1442" spans="5:33" ht="15" customHeight="1" x14ac:dyDescent="0.2">
      <c r="E1442" s="134" t="str">
        <f>IF(F1442="","",VLOOKUP(F1442,All_LTMN_Lookups!J1488:K2709,2))</f>
        <v/>
      </c>
      <c r="AG1442" s="183" t="str">
        <f t="shared" si="12"/>
        <v/>
      </c>
    </row>
    <row r="1443" spans="5:33" ht="15" customHeight="1" x14ac:dyDescent="0.2">
      <c r="E1443" s="134" t="str">
        <f>IF(F1443="","",VLOOKUP(F1443,All_LTMN_Lookups!J1489:K2710,2))</f>
        <v/>
      </c>
      <c r="AG1443" s="183" t="str">
        <f t="shared" si="12"/>
        <v/>
      </c>
    </row>
    <row r="1444" spans="5:33" ht="15" customHeight="1" x14ac:dyDescent="0.2">
      <c r="E1444" s="134" t="str">
        <f>IF(F1444="","",VLOOKUP(F1444,All_LTMN_Lookups!J1490:K2711,2))</f>
        <v/>
      </c>
      <c r="AG1444" s="183" t="str">
        <f t="shared" si="12"/>
        <v/>
      </c>
    </row>
    <row r="1445" spans="5:33" ht="15" customHeight="1" x14ac:dyDescent="0.2">
      <c r="E1445" s="134" t="str">
        <f>IF(F1445="","",VLOOKUP(F1445,All_LTMN_Lookups!J1491:K2712,2))</f>
        <v/>
      </c>
      <c r="AG1445" s="183" t="str">
        <f t="shared" si="12"/>
        <v/>
      </c>
    </row>
    <row r="1446" spans="5:33" ht="15" customHeight="1" x14ac:dyDescent="0.2">
      <c r="E1446" s="134" t="str">
        <f>IF(F1446="","",VLOOKUP(F1446,All_LTMN_Lookups!J1492:K2713,2))</f>
        <v/>
      </c>
      <c r="AG1446" s="183" t="str">
        <f t="shared" si="12"/>
        <v/>
      </c>
    </row>
    <row r="1447" spans="5:33" ht="15" customHeight="1" x14ac:dyDescent="0.2">
      <c r="E1447" s="134" t="str">
        <f>IF(F1447="","",VLOOKUP(F1447,All_LTMN_Lookups!J1493:K2714,2))</f>
        <v/>
      </c>
      <c r="AG1447" s="183" t="str">
        <f t="shared" si="12"/>
        <v/>
      </c>
    </row>
    <row r="1448" spans="5:33" ht="15" customHeight="1" x14ac:dyDescent="0.2">
      <c r="E1448" s="134" t="str">
        <f>IF(F1448="","",VLOOKUP(F1448,All_LTMN_Lookups!J1494:K2715,2))</f>
        <v/>
      </c>
      <c r="AG1448" s="183" t="str">
        <f t="shared" si="12"/>
        <v/>
      </c>
    </row>
    <row r="1449" spans="5:33" ht="15" customHeight="1" x14ac:dyDescent="0.2">
      <c r="E1449" s="134" t="str">
        <f>IF(F1449="","",VLOOKUP(F1449,All_LTMN_Lookups!J1495:K2716,2))</f>
        <v/>
      </c>
      <c r="AG1449" s="183" t="str">
        <f t="shared" si="12"/>
        <v/>
      </c>
    </row>
    <row r="1450" spans="5:33" ht="15" customHeight="1" x14ac:dyDescent="0.2">
      <c r="E1450" s="134" t="str">
        <f>IF(F1450="","",VLOOKUP(F1450,All_LTMN_Lookups!J1496:K2717,2))</f>
        <v/>
      </c>
      <c r="AG1450" s="183" t="str">
        <f t="shared" si="12"/>
        <v/>
      </c>
    </row>
    <row r="1451" spans="5:33" ht="15" customHeight="1" x14ac:dyDescent="0.2">
      <c r="E1451" s="134" t="str">
        <f>IF(F1451="","",VLOOKUP(F1451,All_LTMN_Lookups!J1497:K2718,2))</f>
        <v/>
      </c>
      <c r="AG1451" s="183" t="str">
        <f t="shared" si="12"/>
        <v/>
      </c>
    </row>
    <row r="1452" spans="5:33" ht="15" customHeight="1" x14ac:dyDescent="0.2">
      <c r="E1452" s="134" t="str">
        <f>IF(F1452="","",VLOOKUP(F1452,All_LTMN_Lookups!J1498:K2719,2))</f>
        <v/>
      </c>
      <c r="AG1452" s="183" t="str">
        <f t="shared" si="12"/>
        <v/>
      </c>
    </row>
    <row r="1453" spans="5:33" ht="15" customHeight="1" x14ac:dyDescent="0.2">
      <c r="E1453" s="134" t="str">
        <f>IF(F1453="","",VLOOKUP(F1453,All_LTMN_Lookups!J1499:K2720,2))</f>
        <v/>
      </c>
      <c r="AG1453" s="183" t="str">
        <f t="shared" si="12"/>
        <v/>
      </c>
    </row>
    <row r="1454" spans="5:33" ht="15" customHeight="1" x14ac:dyDescent="0.2">
      <c r="E1454" s="134" t="str">
        <f>IF(F1454="","",VLOOKUP(F1454,All_LTMN_Lookups!J1500:K2721,2))</f>
        <v/>
      </c>
      <c r="AG1454" s="183" t="str">
        <f t="shared" si="12"/>
        <v/>
      </c>
    </row>
    <row r="1455" spans="5:33" ht="15" customHeight="1" x14ac:dyDescent="0.2">
      <c r="E1455" s="134" t="str">
        <f>IF(F1455="","",VLOOKUP(F1455,All_LTMN_Lookups!J1501:K2722,2))</f>
        <v/>
      </c>
      <c r="AG1455" s="183" t="str">
        <f t="shared" si="12"/>
        <v/>
      </c>
    </row>
    <row r="1456" spans="5:33" ht="15" customHeight="1" x14ac:dyDescent="0.2">
      <c r="E1456" s="134" t="str">
        <f>IF(F1456="","",VLOOKUP(F1456,All_LTMN_Lookups!J1502:K2723,2))</f>
        <v/>
      </c>
      <c r="AG1456" s="183" t="str">
        <f t="shared" si="12"/>
        <v/>
      </c>
    </row>
    <row r="1457" spans="5:33" ht="15" customHeight="1" x14ac:dyDescent="0.2">
      <c r="E1457" s="134" t="str">
        <f>IF(F1457="","",VLOOKUP(F1457,All_LTMN_Lookups!J1503:K2724,2))</f>
        <v/>
      </c>
      <c r="AG1457" s="183" t="str">
        <f t="shared" si="12"/>
        <v/>
      </c>
    </row>
    <row r="1458" spans="5:33" ht="15" customHeight="1" x14ac:dyDescent="0.2">
      <c r="E1458" s="134" t="str">
        <f>IF(F1458="","",VLOOKUP(F1458,All_LTMN_Lookups!J1504:K2725,2))</f>
        <v/>
      </c>
      <c r="AG1458" s="183" t="str">
        <f t="shared" si="12"/>
        <v/>
      </c>
    </row>
    <row r="1459" spans="5:33" ht="15" customHeight="1" x14ac:dyDescent="0.2">
      <c r="E1459" s="134" t="str">
        <f>IF(F1459="","",VLOOKUP(F1459,All_LTMN_Lookups!J1505:K2726,2))</f>
        <v/>
      </c>
      <c r="AG1459" s="183" t="str">
        <f t="shared" si="12"/>
        <v/>
      </c>
    </row>
    <row r="1460" spans="5:33" ht="15" customHeight="1" x14ac:dyDescent="0.2">
      <c r="E1460" s="134" t="str">
        <f>IF(F1460="","",VLOOKUP(F1460,All_LTMN_Lookups!J1506:K2727,2))</f>
        <v/>
      </c>
      <c r="AG1460" s="183" t="str">
        <f t="shared" si="12"/>
        <v/>
      </c>
    </row>
    <row r="1461" spans="5:33" ht="15" customHeight="1" x14ac:dyDescent="0.2">
      <c r="E1461" s="134" t="str">
        <f>IF(F1461="","",VLOOKUP(F1461,All_LTMN_Lookups!J1507:K2728,2))</f>
        <v/>
      </c>
      <c r="AG1461" s="183" t="str">
        <f t="shared" si="12"/>
        <v/>
      </c>
    </row>
    <row r="1462" spans="5:33" ht="15" customHeight="1" x14ac:dyDescent="0.2">
      <c r="E1462" s="134" t="str">
        <f>IF(F1462="","",VLOOKUP(F1462,All_LTMN_Lookups!J1508:K2729,2))</f>
        <v/>
      </c>
      <c r="AG1462" s="183" t="str">
        <f t="shared" si="12"/>
        <v/>
      </c>
    </row>
    <row r="1463" spans="5:33" ht="15" customHeight="1" x14ac:dyDescent="0.2">
      <c r="E1463" s="134" t="str">
        <f>IF(F1463="","",VLOOKUP(F1463,All_LTMN_Lookups!J1509:K2730,2))</f>
        <v/>
      </c>
      <c r="AG1463" s="183" t="str">
        <f t="shared" si="12"/>
        <v/>
      </c>
    </row>
    <row r="1464" spans="5:33" ht="15" customHeight="1" x14ac:dyDescent="0.2">
      <c r="E1464" s="134" t="str">
        <f>IF(F1464="","",VLOOKUP(F1464,All_LTMN_Lookups!J1510:K2731,2))</f>
        <v/>
      </c>
      <c r="AG1464" s="183" t="str">
        <f t="shared" si="12"/>
        <v/>
      </c>
    </row>
    <row r="1465" spans="5:33" ht="15" customHeight="1" x14ac:dyDescent="0.2">
      <c r="E1465" s="134" t="str">
        <f>IF(F1465="","",VLOOKUP(F1465,All_LTMN_Lookups!J1511:K2732,2))</f>
        <v/>
      </c>
      <c r="AG1465" s="183" t="str">
        <f t="shared" si="12"/>
        <v/>
      </c>
    </row>
    <row r="1466" spans="5:33" ht="15" customHeight="1" x14ac:dyDescent="0.2">
      <c r="E1466" s="134" t="str">
        <f>IF(F1466="","",VLOOKUP(F1466,All_LTMN_Lookups!J1512:K2733,2))</f>
        <v/>
      </c>
      <c r="AG1466" s="183" t="str">
        <f t="shared" si="12"/>
        <v/>
      </c>
    </row>
    <row r="1467" spans="5:33" ht="15" customHeight="1" x14ac:dyDescent="0.2">
      <c r="E1467" s="134" t="str">
        <f>IF(F1467="","",VLOOKUP(F1467,All_LTMN_Lookups!J1513:K2734,2))</f>
        <v/>
      </c>
      <c r="AG1467" s="183" t="str">
        <f t="shared" si="12"/>
        <v/>
      </c>
    </row>
    <row r="1468" spans="5:33" ht="15" customHeight="1" x14ac:dyDescent="0.2">
      <c r="E1468" s="134" t="str">
        <f>IF(F1468="","",VLOOKUP(F1468,All_LTMN_Lookups!J1514:K2735,2))</f>
        <v/>
      </c>
      <c r="AG1468" s="183" t="str">
        <f t="shared" si="12"/>
        <v/>
      </c>
    </row>
    <row r="1469" spans="5:33" ht="15" customHeight="1" x14ac:dyDescent="0.2">
      <c r="E1469" s="134" t="str">
        <f>IF(F1469="","",VLOOKUP(F1469,All_LTMN_Lookups!J1515:K2736,2))</f>
        <v/>
      </c>
      <c r="AG1469" s="183" t="str">
        <f t="shared" si="12"/>
        <v/>
      </c>
    </row>
    <row r="1470" spans="5:33" ht="15" customHeight="1" x14ac:dyDescent="0.2">
      <c r="E1470" s="134" t="str">
        <f>IF(F1470="","",VLOOKUP(F1470,All_LTMN_Lookups!J1516:K2737,2))</f>
        <v/>
      </c>
      <c r="AG1470" s="183" t="str">
        <f t="shared" si="12"/>
        <v/>
      </c>
    </row>
    <row r="1471" spans="5:33" ht="15" customHeight="1" x14ac:dyDescent="0.2">
      <c r="E1471" s="134" t="str">
        <f>IF(F1471="","",VLOOKUP(F1471,All_LTMN_Lookups!J1517:K2738,2))</f>
        <v/>
      </c>
      <c r="AG1471" s="183" t="str">
        <f t="shared" si="12"/>
        <v/>
      </c>
    </row>
    <row r="1472" spans="5:33" ht="15" customHeight="1" x14ac:dyDescent="0.2">
      <c r="E1472" s="134" t="str">
        <f>IF(F1472="","",VLOOKUP(F1472,All_LTMN_Lookups!J1518:K2739,2))</f>
        <v/>
      </c>
      <c r="AG1472" s="183" t="str">
        <f t="shared" si="12"/>
        <v/>
      </c>
    </row>
    <row r="1473" spans="5:33" ht="15" customHeight="1" x14ac:dyDescent="0.2">
      <c r="E1473" s="134" t="str">
        <f>IF(F1473="","",VLOOKUP(F1473,All_LTMN_Lookups!J1519:K2740,2))</f>
        <v/>
      </c>
      <c r="AG1473" s="183" t="str">
        <f t="shared" si="12"/>
        <v/>
      </c>
    </row>
    <row r="1474" spans="5:33" ht="15" customHeight="1" x14ac:dyDescent="0.2">
      <c r="E1474" s="134" t="str">
        <f>IF(F1474="","",VLOOKUP(F1474,All_LTMN_Lookups!J1520:K2741,2))</f>
        <v/>
      </c>
      <c r="AG1474" s="183" t="str">
        <f t="shared" si="12"/>
        <v/>
      </c>
    </row>
    <row r="1475" spans="5:33" ht="15" customHeight="1" x14ac:dyDescent="0.2">
      <c r="E1475" s="134" t="str">
        <f>IF(F1475="","",VLOOKUP(F1475,All_LTMN_Lookups!J1521:K2742,2))</f>
        <v/>
      </c>
      <c r="AG1475" s="183" t="str">
        <f t="shared" si="12"/>
        <v/>
      </c>
    </row>
    <row r="1476" spans="5:33" ht="15" customHeight="1" x14ac:dyDescent="0.2">
      <c r="E1476" s="134" t="str">
        <f>IF(F1476="","",VLOOKUP(F1476,All_LTMN_Lookups!J1522:K2743,2))</f>
        <v/>
      </c>
      <c r="AG1476" s="183" t="str">
        <f t="shared" si="12"/>
        <v/>
      </c>
    </row>
    <row r="1477" spans="5:33" ht="15" customHeight="1" x14ac:dyDescent="0.2">
      <c r="E1477" s="134" t="str">
        <f>IF(F1477="","",VLOOKUP(F1477,All_LTMN_Lookups!J1523:K2744,2))</f>
        <v/>
      </c>
      <c r="AG1477" s="183" t="str">
        <f t="shared" si="12"/>
        <v/>
      </c>
    </row>
    <row r="1478" spans="5:33" ht="15" customHeight="1" x14ac:dyDescent="0.2">
      <c r="E1478" s="134" t="str">
        <f>IF(F1478="","",VLOOKUP(F1478,All_LTMN_Lookups!J1524:K2745,2))</f>
        <v/>
      </c>
      <c r="AG1478" s="183" t="str">
        <f t="shared" si="12"/>
        <v/>
      </c>
    </row>
    <row r="1479" spans="5:33" ht="15" customHeight="1" x14ac:dyDescent="0.2">
      <c r="E1479" s="134" t="str">
        <f>IF(F1479="","",VLOOKUP(F1479,All_LTMN_Lookups!J1525:K2746,2))</f>
        <v/>
      </c>
      <c r="AG1479" s="183" t="str">
        <f t="shared" si="12"/>
        <v/>
      </c>
    </row>
    <row r="1480" spans="5:33" ht="15" customHeight="1" x14ac:dyDescent="0.2">
      <c r="E1480" s="134" t="str">
        <f>IF(F1480="","",VLOOKUP(F1480,All_LTMN_Lookups!J1526:K2747,2))</f>
        <v/>
      </c>
      <c r="AG1480" s="183" t="str">
        <f t="shared" si="12"/>
        <v/>
      </c>
    </row>
    <row r="1481" spans="5:33" ht="15" customHeight="1" x14ac:dyDescent="0.2">
      <c r="E1481" s="134" t="str">
        <f>IF(F1481="","",VLOOKUP(F1481,All_LTMN_Lookups!J1527:K2748,2))</f>
        <v/>
      </c>
      <c r="AG1481" s="183" t="str">
        <f t="shared" si="12"/>
        <v/>
      </c>
    </row>
    <row r="1482" spans="5:33" ht="15" customHeight="1" x14ac:dyDescent="0.2">
      <c r="E1482" s="134" t="str">
        <f>IF(F1482="","",VLOOKUP(F1482,All_LTMN_Lookups!J1528:K2749,2))</f>
        <v/>
      </c>
      <c r="AG1482" s="183" t="str">
        <f t="shared" si="12"/>
        <v/>
      </c>
    </row>
    <row r="1483" spans="5:33" ht="15" customHeight="1" x14ac:dyDescent="0.2">
      <c r="E1483" s="134" t="str">
        <f>IF(F1483="","",VLOOKUP(F1483,All_LTMN_Lookups!J1529:K2750,2))</f>
        <v/>
      </c>
      <c r="AG1483" s="183" t="str">
        <f t="shared" ref="AG1483:AG1546" si="13">IF(F1483&lt;&gt;"",SUM(G1483:AE1483), "")</f>
        <v/>
      </c>
    </row>
    <row r="1484" spans="5:33" ht="15" customHeight="1" x14ac:dyDescent="0.2">
      <c r="E1484" s="134" t="str">
        <f>IF(F1484="","",VLOOKUP(F1484,All_LTMN_Lookups!J1530:K2751,2))</f>
        <v/>
      </c>
      <c r="AG1484" s="183" t="str">
        <f t="shared" si="13"/>
        <v/>
      </c>
    </row>
    <row r="1485" spans="5:33" ht="15" customHeight="1" x14ac:dyDescent="0.2">
      <c r="E1485" s="134" t="str">
        <f>IF(F1485="","",VLOOKUP(F1485,All_LTMN_Lookups!J1531:K2752,2))</f>
        <v/>
      </c>
      <c r="AG1485" s="183" t="str">
        <f t="shared" si="13"/>
        <v/>
      </c>
    </row>
    <row r="1486" spans="5:33" ht="15" customHeight="1" x14ac:dyDescent="0.2">
      <c r="E1486" s="134" t="str">
        <f>IF(F1486="","",VLOOKUP(F1486,All_LTMN_Lookups!J1532:K2753,2))</f>
        <v/>
      </c>
      <c r="AG1486" s="183" t="str">
        <f t="shared" si="13"/>
        <v/>
      </c>
    </row>
    <row r="1487" spans="5:33" ht="15" customHeight="1" x14ac:dyDescent="0.2">
      <c r="E1487" s="134" t="str">
        <f>IF(F1487="","",VLOOKUP(F1487,All_LTMN_Lookups!J1533:K2754,2))</f>
        <v/>
      </c>
      <c r="AG1487" s="183" t="str">
        <f t="shared" si="13"/>
        <v/>
      </c>
    </row>
    <row r="1488" spans="5:33" ht="15" customHeight="1" x14ac:dyDescent="0.2">
      <c r="E1488" s="134" t="str">
        <f>IF(F1488="","",VLOOKUP(F1488,All_LTMN_Lookups!J1534:K2755,2))</f>
        <v/>
      </c>
      <c r="AG1488" s="183" t="str">
        <f t="shared" si="13"/>
        <v/>
      </c>
    </row>
    <row r="1489" spans="5:33" ht="15" customHeight="1" x14ac:dyDescent="0.2">
      <c r="E1489" s="134" t="str">
        <f>IF(F1489="","",VLOOKUP(F1489,All_LTMN_Lookups!J1535:K2756,2))</f>
        <v/>
      </c>
      <c r="AG1489" s="183" t="str">
        <f t="shared" si="13"/>
        <v/>
      </c>
    </row>
    <row r="1490" spans="5:33" ht="15" customHeight="1" x14ac:dyDescent="0.2">
      <c r="E1490" s="134" t="str">
        <f>IF(F1490="","",VLOOKUP(F1490,All_LTMN_Lookups!J1536:K2757,2))</f>
        <v/>
      </c>
      <c r="AG1490" s="183" t="str">
        <f t="shared" si="13"/>
        <v/>
      </c>
    </row>
    <row r="1491" spans="5:33" ht="15" customHeight="1" x14ac:dyDescent="0.2">
      <c r="E1491" s="134" t="str">
        <f>IF(F1491="","",VLOOKUP(F1491,All_LTMN_Lookups!J1537:K2758,2))</f>
        <v/>
      </c>
      <c r="AG1491" s="183" t="str">
        <f t="shared" si="13"/>
        <v/>
      </c>
    </row>
    <row r="1492" spans="5:33" ht="15" customHeight="1" x14ac:dyDescent="0.2">
      <c r="E1492" s="134" t="str">
        <f>IF(F1492="","",VLOOKUP(F1492,All_LTMN_Lookups!J1538:K2759,2))</f>
        <v/>
      </c>
      <c r="AG1492" s="183" t="str">
        <f t="shared" si="13"/>
        <v/>
      </c>
    </row>
    <row r="1493" spans="5:33" ht="15" customHeight="1" x14ac:dyDescent="0.2">
      <c r="E1493" s="134" t="str">
        <f>IF(F1493="","",VLOOKUP(F1493,All_LTMN_Lookups!J1539:K2760,2))</f>
        <v/>
      </c>
      <c r="AG1493" s="183" t="str">
        <f t="shared" si="13"/>
        <v/>
      </c>
    </row>
    <row r="1494" spans="5:33" ht="15" customHeight="1" x14ac:dyDescent="0.2">
      <c r="E1494" s="134" t="str">
        <f>IF(F1494="","",VLOOKUP(F1494,All_LTMN_Lookups!J1540:K2761,2))</f>
        <v/>
      </c>
      <c r="AG1494" s="183" t="str">
        <f t="shared" si="13"/>
        <v/>
      </c>
    </row>
    <row r="1495" spans="5:33" ht="15" customHeight="1" x14ac:dyDescent="0.2">
      <c r="E1495" s="134" t="str">
        <f>IF(F1495="","",VLOOKUP(F1495,All_LTMN_Lookups!J1541:K2762,2))</f>
        <v/>
      </c>
      <c r="AG1495" s="183" t="str">
        <f t="shared" si="13"/>
        <v/>
      </c>
    </row>
    <row r="1496" spans="5:33" ht="15" customHeight="1" x14ac:dyDescent="0.2">
      <c r="E1496" s="134" t="str">
        <f>IF(F1496="","",VLOOKUP(F1496,All_LTMN_Lookups!J1542:K2763,2))</f>
        <v/>
      </c>
      <c r="AG1496" s="183" t="str">
        <f t="shared" si="13"/>
        <v/>
      </c>
    </row>
    <row r="1497" spans="5:33" ht="15" customHeight="1" x14ac:dyDescent="0.2">
      <c r="E1497" s="134" t="str">
        <f>IF(F1497="","",VLOOKUP(F1497,All_LTMN_Lookups!J1543:K2764,2))</f>
        <v/>
      </c>
      <c r="AG1497" s="183" t="str">
        <f t="shared" si="13"/>
        <v/>
      </c>
    </row>
    <row r="1498" spans="5:33" ht="15" customHeight="1" x14ac:dyDescent="0.2">
      <c r="E1498" s="134" t="str">
        <f>IF(F1498="","",VLOOKUP(F1498,All_LTMN_Lookups!J1544:K2765,2))</f>
        <v/>
      </c>
      <c r="AG1498" s="183" t="str">
        <f t="shared" si="13"/>
        <v/>
      </c>
    </row>
    <row r="1499" spans="5:33" ht="15" customHeight="1" x14ac:dyDescent="0.2">
      <c r="E1499" s="134" t="str">
        <f>IF(F1499="","",VLOOKUP(F1499,All_LTMN_Lookups!J1545:K2766,2))</f>
        <v/>
      </c>
      <c r="AG1499" s="183" t="str">
        <f t="shared" si="13"/>
        <v/>
      </c>
    </row>
    <row r="1500" spans="5:33" ht="15" customHeight="1" x14ac:dyDescent="0.2">
      <c r="E1500" s="134" t="str">
        <f>IF(F1500="","",VLOOKUP(F1500,All_LTMN_Lookups!J1546:K2767,2))</f>
        <v/>
      </c>
      <c r="AG1500" s="183" t="str">
        <f t="shared" si="13"/>
        <v/>
      </c>
    </row>
    <row r="1501" spans="5:33" ht="15" customHeight="1" x14ac:dyDescent="0.2">
      <c r="E1501" s="134" t="str">
        <f>IF(F1501="","",VLOOKUP(F1501,All_LTMN_Lookups!J1547:K2768,2))</f>
        <v/>
      </c>
      <c r="AG1501" s="183" t="str">
        <f t="shared" si="13"/>
        <v/>
      </c>
    </row>
    <row r="1502" spans="5:33" ht="15" customHeight="1" x14ac:dyDescent="0.2">
      <c r="E1502" s="134" t="str">
        <f>IF(F1502="","",VLOOKUP(F1502,All_LTMN_Lookups!J1548:K2769,2))</f>
        <v/>
      </c>
      <c r="AG1502" s="183" t="str">
        <f t="shared" si="13"/>
        <v/>
      </c>
    </row>
    <row r="1503" spans="5:33" ht="15" customHeight="1" x14ac:dyDescent="0.2">
      <c r="E1503" s="134" t="str">
        <f>IF(F1503="","",VLOOKUP(F1503,All_LTMN_Lookups!J1549:K2770,2))</f>
        <v/>
      </c>
      <c r="AG1503" s="183" t="str">
        <f t="shared" si="13"/>
        <v/>
      </c>
    </row>
    <row r="1504" spans="5:33" ht="15" customHeight="1" x14ac:dyDescent="0.2">
      <c r="E1504" s="134" t="str">
        <f>IF(F1504="","",VLOOKUP(F1504,All_LTMN_Lookups!J1550:K2771,2))</f>
        <v/>
      </c>
      <c r="AG1504" s="183" t="str">
        <f t="shared" si="13"/>
        <v/>
      </c>
    </row>
    <row r="1505" spans="5:33" ht="15" customHeight="1" x14ac:dyDescent="0.2">
      <c r="E1505" s="134" t="str">
        <f>IF(F1505="","",VLOOKUP(F1505,All_LTMN_Lookups!J1551:K2772,2))</f>
        <v/>
      </c>
      <c r="AG1505" s="183" t="str">
        <f t="shared" si="13"/>
        <v/>
      </c>
    </row>
    <row r="1506" spans="5:33" ht="15" customHeight="1" x14ac:dyDescent="0.2">
      <c r="E1506" s="134" t="str">
        <f>IF(F1506="","",VLOOKUP(F1506,All_LTMN_Lookups!J1552:K2773,2))</f>
        <v/>
      </c>
      <c r="AG1506" s="183" t="str">
        <f t="shared" si="13"/>
        <v/>
      </c>
    </row>
    <row r="1507" spans="5:33" ht="15" customHeight="1" x14ac:dyDescent="0.2">
      <c r="E1507" s="134" t="str">
        <f>IF(F1507="","",VLOOKUP(F1507,All_LTMN_Lookups!J1553:K2774,2))</f>
        <v/>
      </c>
      <c r="AG1507" s="183" t="str">
        <f t="shared" si="13"/>
        <v/>
      </c>
    </row>
    <row r="1508" spans="5:33" ht="15" customHeight="1" x14ac:dyDescent="0.2">
      <c r="E1508" s="134" t="str">
        <f>IF(F1508="","",VLOOKUP(F1508,All_LTMN_Lookups!J1554:K2775,2))</f>
        <v/>
      </c>
      <c r="AG1508" s="183" t="str">
        <f t="shared" si="13"/>
        <v/>
      </c>
    </row>
    <row r="1509" spans="5:33" ht="15" customHeight="1" x14ac:dyDescent="0.2">
      <c r="E1509" s="134" t="str">
        <f>IF(F1509="","",VLOOKUP(F1509,All_LTMN_Lookups!J1555:K2776,2))</f>
        <v/>
      </c>
      <c r="AG1509" s="183" t="str">
        <f t="shared" si="13"/>
        <v/>
      </c>
    </row>
    <row r="1510" spans="5:33" ht="15" customHeight="1" x14ac:dyDescent="0.2">
      <c r="E1510" s="134" t="str">
        <f>IF(F1510="","",VLOOKUP(F1510,All_LTMN_Lookups!J1556:K2777,2))</f>
        <v/>
      </c>
      <c r="AG1510" s="183" t="str">
        <f t="shared" si="13"/>
        <v/>
      </c>
    </row>
    <row r="1511" spans="5:33" ht="15" customHeight="1" x14ac:dyDescent="0.2">
      <c r="E1511" s="134" t="str">
        <f>IF(F1511="","",VLOOKUP(F1511,All_LTMN_Lookups!J1557:K2778,2))</f>
        <v/>
      </c>
      <c r="AG1511" s="183" t="str">
        <f t="shared" si="13"/>
        <v/>
      </c>
    </row>
    <row r="1512" spans="5:33" ht="15" customHeight="1" x14ac:dyDescent="0.2">
      <c r="E1512" s="134" t="str">
        <f>IF(F1512="","",VLOOKUP(F1512,All_LTMN_Lookups!J1558:K2779,2))</f>
        <v/>
      </c>
      <c r="AG1512" s="183" t="str">
        <f t="shared" si="13"/>
        <v/>
      </c>
    </row>
    <row r="1513" spans="5:33" ht="15" customHeight="1" x14ac:dyDescent="0.2">
      <c r="E1513" s="134" t="str">
        <f>IF(F1513="","",VLOOKUP(F1513,All_LTMN_Lookups!J1559:K2780,2))</f>
        <v/>
      </c>
      <c r="AG1513" s="183" t="str">
        <f t="shared" si="13"/>
        <v/>
      </c>
    </row>
    <row r="1514" spans="5:33" ht="15" customHeight="1" x14ac:dyDescent="0.2">
      <c r="E1514" s="134" t="str">
        <f>IF(F1514="","",VLOOKUP(F1514,All_LTMN_Lookups!J1560:K2781,2))</f>
        <v/>
      </c>
      <c r="AG1514" s="183" t="str">
        <f t="shared" si="13"/>
        <v/>
      </c>
    </row>
    <row r="1515" spans="5:33" ht="15" customHeight="1" x14ac:dyDescent="0.2">
      <c r="E1515" s="134" t="str">
        <f>IF(F1515="","",VLOOKUP(F1515,All_LTMN_Lookups!J1561:K2782,2))</f>
        <v/>
      </c>
      <c r="AG1515" s="183" t="str">
        <f t="shared" si="13"/>
        <v/>
      </c>
    </row>
    <row r="1516" spans="5:33" ht="15" customHeight="1" x14ac:dyDescent="0.2">
      <c r="E1516" s="134" t="str">
        <f>IF(F1516="","",VLOOKUP(F1516,All_LTMN_Lookups!J1562:K2783,2))</f>
        <v/>
      </c>
      <c r="AG1516" s="183" t="str">
        <f t="shared" si="13"/>
        <v/>
      </c>
    </row>
    <row r="1517" spans="5:33" ht="15" customHeight="1" x14ac:dyDescent="0.2">
      <c r="E1517" s="134" t="str">
        <f>IF(F1517="","",VLOOKUP(F1517,All_LTMN_Lookups!J1563:K2784,2))</f>
        <v/>
      </c>
      <c r="AG1517" s="183" t="str">
        <f t="shared" si="13"/>
        <v/>
      </c>
    </row>
    <row r="1518" spans="5:33" ht="15" customHeight="1" x14ac:dyDescent="0.2">
      <c r="E1518" s="134" t="str">
        <f>IF(F1518="","",VLOOKUP(F1518,All_LTMN_Lookups!J1564:K2785,2))</f>
        <v/>
      </c>
      <c r="AG1518" s="183" t="str">
        <f t="shared" si="13"/>
        <v/>
      </c>
    </row>
    <row r="1519" spans="5:33" ht="15" customHeight="1" x14ac:dyDescent="0.2">
      <c r="E1519" s="134" t="str">
        <f>IF(F1519="","",VLOOKUP(F1519,All_LTMN_Lookups!J1565:K2786,2))</f>
        <v/>
      </c>
      <c r="AG1519" s="183" t="str">
        <f t="shared" si="13"/>
        <v/>
      </c>
    </row>
    <row r="1520" spans="5:33" ht="15" customHeight="1" x14ac:dyDescent="0.2">
      <c r="E1520" s="134" t="str">
        <f>IF(F1520="","",VLOOKUP(F1520,All_LTMN_Lookups!J1566:K2787,2))</f>
        <v/>
      </c>
      <c r="AG1520" s="183" t="str">
        <f t="shared" si="13"/>
        <v/>
      </c>
    </row>
    <row r="1521" spans="5:33" ht="15" customHeight="1" x14ac:dyDescent="0.2">
      <c r="E1521" s="134" t="str">
        <f>IF(F1521="","",VLOOKUP(F1521,All_LTMN_Lookups!J1567:K2788,2))</f>
        <v/>
      </c>
      <c r="AG1521" s="183" t="str">
        <f t="shared" si="13"/>
        <v/>
      </c>
    </row>
    <row r="1522" spans="5:33" ht="15" customHeight="1" x14ac:dyDescent="0.2">
      <c r="E1522" s="134" t="str">
        <f>IF(F1522="","",VLOOKUP(F1522,All_LTMN_Lookups!J1568:K2789,2))</f>
        <v/>
      </c>
      <c r="AG1522" s="183" t="str">
        <f t="shared" si="13"/>
        <v/>
      </c>
    </row>
    <row r="1523" spans="5:33" ht="15" customHeight="1" x14ac:dyDescent="0.2">
      <c r="E1523" s="134" t="str">
        <f>IF(F1523="","",VLOOKUP(F1523,All_LTMN_Lookups!J1569:K2790,2))</f>
        <v/>
      </c>
      <c r="AG1523" s="183" t="str">
        <f t="shared" si="13"/>
        <v/>
      </c>
    </row>
    <row r="1524" spans="5:33" ht="15" customHeight="1" x14ac:dyDescent="0.2">
      <c r="E1524" s="134" t="str">
        <f>IF(F1524="","",VLOOKUP(F1524,All_LTMN_Lookups!J1570:K2791,2))</f>
        <v/>
      </c>
      <c r="AG1524" s="183" t="str">
        <f t="shared" si="13"/>
        <v/>
      </c>
    </row>
    <row r="1525" spans="5:33" ht="15" customHeight="1" x14ac:dyDescent="0.2">
      <c r="E1525" s="134" t="str">
        <f>IF(F1525="","",VLOOKUP(F1525,All_LTMN_Lookups!J1571:K2792,2))</f>
        <v/>
      </c>
      <c r="AG1525" s="183" t="str">
        <f t="shared" si="13"/>
        <v/>
      </c>
    </row>
    <row r="1526" spans="5:33" ht="15" customHeight="1" x14ac:dyDescent="0.2">
      <c r="E1526" s="134" t="str">
        <f>IF(F1526="","",VLOOKUP(F1526,All_LTMN_Lookups!J1572:K2793,2))</f>
        <v/>
      </c>
      <c r="AG1526" s="183" t="str">
        <f t="shared" si="13"/>
        <v/>
      </c>
    </row>
    <row r="1527" spans="5:33" ht="15" customHeight="1" x14ac:dyDescent="0.2">
      <c r="E1527" s="134" t="str">
        <f>IF(F1527="","",VLOOKUP(F1527,All_LTMN_Lookups!J1573:K2794,2))</f>
        <v/>
      </c>
      <c r="AG1527" s="183" t="str">
        <f t="shared" si="13"/>
        <v/>
      </c>
    </row>
    <row r="1528" spans="5:33" ht="15" customHeight="1" x14ac:dyDescent="0.2">
      <c r="E1528" s="134" t="str">
        <f>IF(F1528="","",VLOOKUP(F1528,All_LTMN_Lookups!J1574:K2795,2))</f>
        <v/>
      </c>
      <c r="AG1528" s="183" t="str">
        <f t="shared" si="13"/>
        <v/>
      </c>
    </row>
    <row r="1529" spans="5:33" ht="15" customHeight="1" x14ac:dyDescent="0.2">
      <c r="E1529" s="134" t="str">
        <f>IF(F1529="","",VLOOKUP(F1529,All_LTMN_Lookups!J1575:K2796,2))</f>
        <v/>
      </c>
      <c r="AG1529" s="183" t="str">
        <f t="shared" si="13"/>
        <v/>
      </c>
    </row>
    <row r="1530" spans="5:33" ht="15" customHeight="1" x14ac:dyDescent="0.2">
      <c r="E1530" s="134" t="str">
        <f>IF(F1530="","",VLOOKUP(F1530,All_LTMN_Lookups!J1576:K2797,2))</f>
        <v/>
      </c>
      <c r="AG1530" s="183" t="str">
        <f t="shared" si="13"/>
        <v/>
      </c>
    </row>
    <row r="1531" spans="5:33" ht="15" customHeight="1" x14ac:dyDescent="0.2">
      <c r="E1531" s="134" t="str">
        <f>IF(F1531="","",VLOOKUP(F1531,All_LTMN_Lookups!J1577:K2798,2))</f>
        <v/>
      </c>
      <c r="AG1531" s="183" t="str">
        <f t="shared" si="13"/>
        <v/>
      </c>
    </row>
    <row r="1532" spans="5:33" ht="15" customHeight="1" x14ac:dyDescent="0.2">
      <c r="E1532" s="134" t="str">
        <f>IF(F1532="","",VLOOKUP(F1532,All_LTMN_Lookups!J1578:K2799,2))</f>
        <v/>
      </c>
      <c r="AG1532" s="183" t="str">
        <f t="shared" si="13"/>
        <v/>
      </c>
    </row>
    <row r="1533" spans="5:33" ht="15" customHeight="1" x14ac:dyDescent="0.2">
      <c r="E1533" s="134" t="str">
        <f>IF(F1533="","",VLOOKUP(F1533,All_LTMN_Lookups!J1579:K2800,2))</f>
        <v/>
      </c>
      <c r="AG1533" s="183" t="str">
        <f t="shared" si="13"/>
        <v/>
      </c>
    </row>
    <row r="1534" spans="5:33" ht="15" customHeight="1" x14ac:dyDescent="0.2">
      <c r="E1534" s="134" t="str">
        <f>IF(F1534="","",VLOOKUP(F1534,All_LTMN_Lookups!J1580:K2801,2))</f>
        <v/>
      </c>
      <c r="AG1534" s="183" t="str">
        <f t="shared" si="13"/>
        <v/>
      </c>
    </row>
    <row r="1535" spans="5:33" ht="15" customHeight="1" x14ac:dyDescent="0.2">
      <c r="E1535" s="134" t="str">
        <f>IF(F1535="","",VLOOKUP(F1535,All_LTMN_Lookups!J1581:K2802,2))</f>
        <v/>
      </c>
      <c r="AG1535" s="183" t="str">
        <f t="shared" si="13"/>
        <v/>
      </c>
    </row>
    <row r="1536" spans="5:33" ht="15" customHeight="1" x14ac:dyDescent="0.2">
      <c r="E1536" s="134" t="str">
        <f>IF(F1536="","",VLOOKUP(F1536,All_LTMN_Lookups!J1582:K2803,2))</f>
        <v/>
      </c>
      <c r="AG1536" s="183" t="str">
        <f t="shared" si="13"/>
        <v/>
      </c>
    </row>
    <row r="1537" spans="5:33" ht="15" customHeight="1" x14ac:dyDescent="0.2">
      <c r="E1537" s="134" t="str">
        <f>IF(F1537="","",VLOOKUP(F1537,All_LTMN_Lookups!J1583:K2804,2))</f>
        <v/>
      </c>
      <c r="AG1537" s="183" t="str">
        <f t="shared" si="13"/>
        <v/>
      </c>
    </row>
    <row r="1538" spans="5:33" ht="15" customHeight="1" x14ac:dyDescent="0.2">
      <c r="E1538" s="134" t="str">
        <f>IF(F1538="","",VLOOKUP(F1538,All_LTMN_Lookups!J1584:K2805,2))</f>
        <v/>
      </c>
      <c r="AG1538" s="183" t="str">
        <f t="shared" si="13"/>
        <v/>
      </c>
    </row>
    <row r="1539" spans="5:33" ht="15" customHeight="1" x14ac:dyDescent="0.2">
      <c r="E1539" s="134" t="str">
        <f>IF(F1539="","",VLOOKUP(F1539,All_LTMN_Lookups!J1585:K2806,2))</f>
        <v/>
      </c>
      <c r="AG1539" s="183" t="str">
        <f t="shared" si="13"/>
        <v/>
      </c>
    </row>
    <row r="1540" spans="5:33" ht="15" customHeight="1" x14ac:dyDescent="0.2">
      <c r="E1540" s="134" t="str">
        <f>IF(F1540="","",VLOOKUP(F1540,All_LTMN_Lookups!J1586:K2807,2))</f>
        <v/>
      </c>
      <c r="AG1540" s="183" t="str">
        <f t="shared" si="13"/>
        <v/>
      </c>
    </row>
    <row r="1541" spans="5:33" ht="15" customHeight="1" x14ac:dyDescent="0.2">
      <c r="E1541" s="134" t="str">
        <f>IF(F1541="","",VLOOKUP(F1541,All_LTMN_Lookups!J1587:K2808,2))</f>
        <v/>
      </c>
      <c r="AG1541" s="183" t="str">
        <f t="shared" si="13"/>
        <v/>
      </c>
    </row>
    <row r="1542" spans="5:33" ht="15" customHeight="1" x14ac:dyDescent="0.2">
      <c r="E1542" s="134" t="str">
        <f>IF(F1542="","",VLOOKUP(F1542,All_LTMN_Lookups!J1588:K2809,2))</f>
        <v/>
      </c>
      <c r="AG1542" s="183" t="str">
        <f t="shared" si="13"/>
        <v/>
      </c>
    </row>
    <row r="1543" spans="5:33" ht="15" customHeight="1" x14ac:dyDescent="0.2">
      <c r="E1543" s="134" t="str">
        <f>IF(F1543="","",VLOOKUP(F1543,All_LTMN_Lookups!J1589:K2810,2))</f>
        <v/>
      </c>
      <c r="AG1543" s="183" t="str">
        <f t="shared" si="13"/>
        <v/>
      </c>
    </row>
    <row r="1544" spans="5:33" ht="15" customHeight="1" x14ac:dyDescent="0.2">
      <c r="E1544" s="134" t="str">
        <f>IF(F1544="","",VLOOKUP(F1544,All_LTMN_Lookups!J1590:K2811,2))</f>
        <v/>
      </c>
      <c r="AG1544" s="183" t="str">
        <f t="shared" si="13"/>
        <v/>
      </c>
    </row>
    <row r="1545" spans="5:33" ht="15" customHeight="1" x14ac:dyDescent="0.2">
      <c r="E1545" s="134" t="str">
        <f>IF(F1545="","",VLOOKUP(F1545,All_LTMN_Lookups!J1591:K2812,2))</f>
        <v/>
      </c>
      <c r="AG1545" s="183" t="str">
        <f t="shared" si="13"/>
        <v/>
      </c>
    </row>
    <row r="1546" spans="5:33" ht="15" customHeight="1" x14ac:dyDescent="0.2">
      <c r="E1546" s="134" t="str">
        <f>IF(F1546="","",VLOOKUP(F1546,All_LTMN_Lookups!J1592:K2813,2))</f>
        <v/>
      </c>
      <c r="AG1546" s="183" t="str">
        <f t="shared" si="13"/>
        <v/>
      </c>
    </row>
    <row r="1547" spans="5:33" ht="15" customHeight="1" x14ac:dyDescent="0.2">
      <c r="E1547" s="134" t="str">
        <f>IF(F1547="","",VLOOKUP(F1547,All_LTMN_Lookups!J1593:K2814,2))</f>
        <v/>
      </c>
      <c r="AG1547" s="183" t="str">
        <f t="shared" ref="AG1547:AG1610" si="14">IF(F1547&lt;&gt;"",SUM(G1547:AE1547), "")</f>
        <v/>
      </c>
    </row>
    <row r="1548" spans="5:33" ht="15" customHeight="1" x14ac:dyDescent="0.2">
      <c r="E1548" s="134" t="str">
        <f>IF(F1548="","",VLOOKUP(F1548,All_LTMN_Lookups!J1594:K2815,2))</f>
        <v/>
      </c>
      <c r="AG1548" s="183" t="str">
        <f t="shared" si="14"/>
        <v/>
      </c>
    </row>
    <row r="1549" spans="5:33" ht="15" customHeight="1" x14ac:dyDescent="0.2">
      <c r="E1549" s="134" t="str">
        <f>IF(F1549="","",VLOOKUP(F1549,All_LTMN_Lookups!J1595:K2816,2))</f>
        <v/>
      </c>
      <c r="AG1549" s="183" t="str">
        <f t="shared" si="14"/>
        <v/>
      </c>
    </row>
    <row r="1550" spans="5:33" ht="15" customHeight="1" x14ac:dyDescent="0.2">
      <c r="E1550" s="134" t="str">
        <f>IF(F1550="","",VLOOKUP(F1550,All_LTMN_Lookups!J1596:K2817,2))</f>
        <v/>
      </c>
      <c r="AG1550" s="183" t="str">
        <f t="shared" si="14"/>
        <v/>
      </c>
    </row>
    <row r="1551" spans="5:33" ht="15" customHeight="1" x14ac:dyDescent="0.2">
      <c r="E1551" s="134" t="str">
        <f>IF(F1551="","",VLOOKUP(F1551,All_LTMN_Lookups!J1597:K2818,2))</f>
        <v/>
      </c>
      <c r="AG1551" s="183" t="str">
        <f t="shared" si="14"/>
        <v/>
      </c>
    </row>
    <row r="1552" spans="5:33" ht="15" customHeight="1" x14ac:dyDescent="0.2">
      <c r="E1552" s="134" t="str">
        <f>IF(F1552="","",VLOOKUP(F1552,All_LTMN_Lookups!J1598:K2819,2))</f>
        <v/>
      </c>
      <c r="AG1552" s="183" t="str">
        <f t="shared" si="14"/>
        <v/>
      </c>
    </row>
    <row r="1553" spans="5:33" ht="15" customHeight="1" x14ac:dyDescent="0.2">
      <c r="E1553" s="134" t="str">
        <f>IF(F1553="","",VLOOKUP(F1553,All_LTMN_Lookups!J1599:K2820,2))</f>
        <v/>
      </c>
      <c r="AG1553" s="183" t="str">
        <f t="shared" si="14"/>
        <v/>
      </c>
    </row>
    <row r="1554" spans="5:33" ht="15" customHeight="1" x14ac:dyDescent="0.2">
      <c r="E1554" s="134" t="str">
        <f>IF(F1554="","",VLOOKUP(F1554,All_LTMN_Lookups!J1600:K2821,2))</f>
        <v/>
      </c>
      <c r="AG1554" s="183" t="str">
        <f t="shared" si="14"/>
        <v/>
      </c>
    </row>
    <row r="1555" spans="5:33" ht="15" customHeight="1" x14ac:dyDescent="0.2">
      <c r="E1555" s="134" t="str">
        <f>IF(F1555="","",VLOOKUP(F1555,All_LTMN_Lookups!J1601:K2822,2))</f>
        <v/>
      </c>
      <c r="AG1555" s="183" t="str">
        <f t="shared" si="14"/>
        <v/>
      </c>
    </row>
    <row r="1556" spans="5:33" ht="15" customHeight="1" x14ac:dyDescent="0.2">
      <c r="E1556" s="134" t="str">
        <f>IF(F1556="","",VLOOKUP(F1556,All_LTMN_Lookups!J1602:K2823,2))</f>
        <v/>
      </c>
      <c r="AG1556" s="183" t="str">
        <f t="shared" si="14"/>
        <v/>
      </c>
    </row>
    <row r="1557" spans="5:33" ht="15" customHeight="1" x14ac:dyDescent="0.2">
      <c r="E1557" s="134" t="str">
        <f>IF(F1557="","",VLOOKUP(F1557,All_LTMN_Lookups!J1603:K2824,2))</f>
        <v/>
      </c>
      <c r="AG1557" s="183" t="str">
        <f t="shared" si="14"/>
        <v/>
      </c>
    </row>
    <row r="1558" spans="5:33" ht="15" customHeight="1" x14ac:dyDescent="0.2">
      <c r="E1558" s="134" t="str">
        <f>IF(F1558="","",VLOOKUP(F1558,All_LTMN_Lookups!J1604:K2825,2))</f>
        <v/>
      </c>
      <c r="AG1558" s="183" t="str">
        <f t="shared" si="14"/>
        <v/>
      </c>
    </row>
    <row r="1559" spans="5:33" ht="15" customHeight="1" x14ac:dyDescent="0.2">
      <c r="E1559" s="134" t="str">
        <f>IF(F1559="","",VLOOKUP(F1559,All_LTMN_Lookups!J1605:K2826,2))</f>
        <v/>
      </c>
      <c r="AG1559" s="183" t="str">
        <f t="shared" si="14"/>
        <v/>
      </c>
    </row>
    <row r="1560" spans="5:33" ht="15" customHeight="1" x14ac:dyDescent="0.2">
      <c r="E1560" s="134" t="str">
        <f>IF(F1560="","",VLOOKUP(F1560,All_LTMN_Lookups!J1606:K2827,2))</f>
        <v/>
      </c>
      <c r="AG1560" s="183" t="str">
        <f t="shared" si="14"/>
        <v/>
      </c>
    </row>
    <row r="1561" spans="5:33" ht="15" customHeight="1" x14ac:dyDescent="0.2">
      <c r="E1561" s="134" t="str">
        <f>IF(F1561="","",VLOOKUP(F1561,All_LTMN_Lookups!J1607:K2828,2))</f>
        <v/>
      </c>
      <c r="AG1561" s="183" t="str">
        <f t="shared" si="14"/>
        <v/>
      </c>
    </row>
    <row r="1562" spans="5:33" ht="15" customHeight="1" x14ac:dyDescent="0.2">
      <c r="E1562" s="134" t="str">
        <f>IF(F1562="","",VLOOKUP(F1562,All_LTMN_Lookups!J1608:K2829,2))</f>
        <v/>
      </c>
      <c r="AG1562" s="183" t="str">
        <f t="shared" si="14"/>
        <v/>
      </c>
    </row>
    <row r="1563" spans="5:33" ht="15" customHeight="1" x14ac:dyDescent="0.2">
      <c r="E1563" s="134" t="str">
        <f>IF(F1563="","",VLOOKUP(F1563,All_LTMN_Lookups!J1609:K2830,2))</f>
        <v/>
      </c>
      <c r="AG1563" s="183" t="str">
        <f t="shared" si="14"/>
        <v/>
      </c>
    </row>
    <row r="1564" spans="5:33" ht="15" customHeight="1" x14ac:dyDescent="0.2">
      <c r="E1564" s="134" t="str">
        <f>IF(F1564="","",VLOOKUP(F1564,All_LTMN_Lookups!J1610:K2831,2))</f>
        <v/>
      </c>
      <c r="AG1564" s="183" t="str">
        <f t="shared" si="14"/>
        <v/>
      </c>
    </row>
    <row r="1565" spans="5:33" ht="15" customHeight="1" x14ac:dyDescent="0.2">
      <c r="E1565" s="134" t="str">
        <f>IF(F1565="","",VLOOKUP(F1565,All_LTMN_Lookups!J1611:K2832,2))</f>
        <v/>
      </c>
      <c r="AG1565" s="183" t="str">
        <f t="shared" si="14"/>
        <v/>
      </c>
    </row>
    <row r="1566" spans="5:33" ht="15" customHeight="1" x14ac:dyDescent="0.2">
      <c r="E1566" s="134" t="str">
        <f>IF(F1566="","",VLOOKUP(F1566,All_LTMN_Lookups!J1612:K2833,2))</f>
        <v/>
      </c>
      <c r="AG1566" s="183" t="str">
        <f t="shared" si="14"/>
        <v/>
      </c>
    </row>
    <row r="1567" spans="5:33" ht="15" customHeight="1" x14ac:dyDescent="0.2">
      <c r="E1567" s="134" t="str">
        <f>IF(F1567="","",VLOOKUP(F1567,All_LTMN_Lookups!J1613:K2834,2))</f>
        <v/>
      </c>
      <c r="AG1567" s="183" t="str">
        <f t="shared" si="14"/>
        <v/>
      </c>
    </row>
    <row r="1568" spans="5:33" ht="15" customHeight="1" x14ac:dyDescent="0.2">
      <c r="E1568" s="134" t="str">
        <f>IF(F1568="","",VLOOKUP(F1568,All_LTMN_Lookups!J1614:K2835,2))</f>
        <v/>
      </c>
      <c r="AG1568" s="183" t="str">
        <f t="shared" si="14"/>
        <v/>
      </c>
    </row>
    <row r="1569" spans="5:33" ht="15" customHeight="1" x14ac:dyDescent="0.2">
      <c r="E1569" s="134" t="str">
        <f>IF(F1569="","",VLOOKUP(F1569,All_LTMN_Lookups!J1615:K2836,2))</f>
        <v/>
      </c>
      <c r="AG1569" s="183" t="str">
        <f t="shared" si="14"/>
        <v/>
      </c>
    </row>
    <row r="1570" spans="5:33" ht="15" customHeight="1" x14ac:dyDescent="0.2">
      <c r="E1570" s="134" t="str">
        <f>IF(F1570="","",VLOOKUP(F1570,All_LTMN_Lookups!J1616:K2837,2))</f>
        <v/>
      </c>
      <c r="AG1570" s="183" t="str">
        <f t="shared" si="14"/>
        <v/>
      </c>
    </row>
    <row r="1571" spans="5:33" ht="15" customHeight="1" x14ac:dyDescent="0.2">
      <c r="E1571" s="134" t="str">
        <f>IF(F1571="","",VLOOKUP(F1571,All_LTMN_Lookups!J1617:K2838,2))</f>
        <v/>
      </c>
      <c r="AG1571" s="183" t="str">
        <f t="shared" si="14"/>
        <v/>
      </c>
    </row>
    <row r="1572" spans="5:33" ht="15" customHeight="1" x14ac:dyDescent="0.2">
      <c r="E1572" s="134" t="str">
        <f>IF(F1572="","",VLOOKUP(F1572,All_LTMN_Lookups!J1618:K2839,2))</f>
        <v/>
      </c>
      <c r="AG1572" s="183" t="str">
        <f t="shared" si="14"/>
        <v/>
      </c>
    </row>
    <row r="1573" spans="5:33" ht="15" customHeight="1" x14ac:dyDescent="0.2">
      <c r="E1573" s="134" t="str">
        <f>IF(F1573="","",VLOOKUP(F1573,All_LTMN_Lookups!J1619:K2840,2))</f>
        <v/>
      </c>
      <c r="AG1573" s="183" t="str">
        <f t="shared" si="14"/>
        <v/>
      </c>
    </row>
    <row r="1574" spans="5:33" ht="15" customHeight="1" x14ac:dyDescent="0.2">
      <c r="E1574" s="134" t="str">
        <f>IF(F1574="","",VLOOKUP(F1574,All_LTMN_Lookups!J1620:K2841,2))</f>
        <v/>
      </c>
      <c r="AG1574" s="183" t="str">
        <f t="shared" si="14"/>
        <v/>
      </c>
    </row>
    <row r="1575" spans="5:33" ht="15" customHeight="1" x14ac:dyDescent="0.2">
      <c r="E1575" s="134" t="str">
        <f>IF(F1575="","",VLOOKUP(F1575,All_LTMN_Lookups!J1621:K2842,2))</f>
        <v/>
      </c>
      <c r="AG1575" s="183" t="str">
        <f t="shared" si="14"/>
        <v/>
      </c>
    </row>
    <row r="1576" spans="5:33" ht="15" customHeight="1" x14ac:dyDescent="0.2">
      <c r="E1576" s="134" t="str">
        <f>IF(F1576="","",VLOOKUP(F1576,All_LTMN_Lookups!J1622:K2843,2))</f>
        <v/>
      </c>
      <c r="AG1576" s="183" t="str">
        <f t="shared" si="14"/>
        <v/>
      </c>
    </row>
    <row r="1577" spans="5:33" ht="15" customHeight="1" x14ac:dyDescent="0.2">
      <c r="E1577" s="134" t="str">
        <f>IF(F1577="","",VLOOKUP(F1577,All_LTMN_Lookups!J1623:K2844,2))</f>
        <v/>
      </c>
      <c r="AG1577" s="183" t="str">
        <f t="shared" si="14"/>
        <v/>
      </c>
    </row>
    <row r="1578" spans="5:33" ht="15" customHeight="1" x14ac:dyDescent="0.2">
      <c r="E1578" s="134" t="str">
        <f>IF(F1578="","",VLOOKUP(F1578,All_LTMN_Lookups!J1624:K2845,2))</f>
        <v/>
      </c>
      <c r="AG1578" s="183" t="str">
        <f t="shared" si="14"/>
        <v/>
      </c>
    </row>
    <row r="1579" spans="5:33" ht="15" customHeight="1" x14ac:dyDescent="0.2">
      <c r="E1579" s="134" t="str">
        <f>IF(F1579="","",VLOOKUP(F1579,All_LTMN_Lookups!J1625:K2846,2))</f>
        <v/>
      </c>
      <c r="AG1579" s="183" t="str">
        <f t="shared" si="14"/>
        <v/>
      </c>
    </row>
    <row r="1580" spans="5:33" ht="15" customHeight="1" x14ac:dyDescent="0.2">
      <c r="E1580" s="134" t="str">
        <f>IF(F1580="","",VLOOKUP(F1580,All_LTMN_Lookups!J1626:K2847,2))</f>
        <v/>
      </c>
      <c r="AG1580" s="183" t="str">
        <f t="shared" si="14"/>
        <v/>
      </c>
    </row>
    <row r="1581" spans="5:33" ht="15" customHeight="1" x14ac:dyDescent="0.2">
      <c r="E1581" s="134" t="str">
        <f>IF(F1581="","",VLOOKUP(F1581,All_LTMN_Lookups!J1627:K2848,2))</f>
        <v/>
      </c>
      <c r="AG1581" s="183" t="str">
        <f t="shared" si="14"/>
        <v/>
      </c>
    </row>
    <row r="1582" spans="5:33" ht="15" customHeight="1" x14ac:dyDescent="0.2">
      <c r="E1582" s="134" t="str">
        <f>IF(F1582="","",VLOOKUP(F1582,All_LTMN_Lookups!J1628:K2849,2))</f>
        <v/>
      </c>
      <c r="AG1582" s="183" t="str">
        <f t="shared" si="14"/>
        <v/>
      </c>
    </row>
    <row r="1583" spans="5:33" ht="15" customHeight="1" x14ac:dyDescent="0.2">
      <c r="E1583" s="134" t="str">
        <f>IF(F1583="","",VLOOKUP(F1583,All_LTMN_Lookups!J1629:K2850,2))</f>
        <v/>
      </c>
      <c r="AG1583" s="183" t="str">
        <f t="shared" si="14"/>
        <v/>
      </c>
    </row>
    <row r="1584" spans="5:33" ht="15" customHeight="1" x14ac:dyDescent="0.2">
      <c r="E1584" s="134" t="str">
        <f>IF(F1584="","",VLOOKUP(F1584,All_LTMN_Lookups!J1630:K2851,2))</f>
        <v/>
      </c>
      <c r="AG1584" s="183" t="str">
        <f t="shared" si="14"/>
        <v/>
      </c>
    </row>
    <row r="1585" spans="5:33" ht="15" customHeight="1" x14ac:dyDescent="0.2">
      <c r="E1585" s="134" t="str">
        <f>IF(F1585="","",VLOOKUP(F1585,All_LTMN_Lookups!J1631:K2852,2))</f>
        <v/>
      </c>
      <c r="AG1585" s="183" t="str">
        <f t="shared" si="14"/>
        <v/>
      </c>
    </row>
    <row r="1586" spans="5:33" ht="15" customHeight="1" x14ac:dyDescent="0.2">
      <c r="E1586" s="134" t="str">
        <f>IF(F1586="","",VLOOKUP(F1586,All_LTMN_Lookups!J1632:K2853,2))</f>
        <v/>
      </c>
      <c r="AG1586" s="183" t="str">
        <f t="shared" si="14"/>
        <v/>
      </c>
    </row>
    <row r="1587" spans="5:33" ht="15" customHeight="1" x14ac:dyDescent="0.2">
      <c r="E1587" s="134" t="str">
        <f>IF(F1587="","",VLOOKUP(F1587,All_LTMN_Lookups!J1633:K2854,2))</f>
        <v/>
      </c>
      <c r="AG1587" s="183" t="str">
        <f t="shared" si="14"/>
        <v/>
      </c>
    </row>
    <row r="1588" spans="5:33" ht="15" customHeight="1" x14ac:dyDescent="0.2">
      <c r="E1588" s="134" t="str">
        <f>IF(F1588="","",VLOOKUP(F1588,All_LTMN_Lookups!J1634:K2855,2))</f>
        <v/>
      </c>
      <c r="AG1588" s="183" t="str">
        <f t="shared" si="14"/>
        <v/>
      </c>
    </row>
    <row r="1589" spans="5:33" ht="15" customHeight="1" x14ac:dyDescent="0.2">
      <c r="E1589" s="134" t="str">
        <f>IF(F1589="","",VLOOKUP(F1589,All_LTMN_Lookups!J1635:K2856,2))</f>
        <v/>
      </c>
      <c r="AG1589" s="183" t="str">
        <f t="shared" si="14"/>
        <v/>
      </c>
    </row>
    <row r="1590" spans="5:33" ht="15" customHeight="1" x14ac:dyDescent="0.2">
      <c r="E1590" s="134" t="str">
        <f>IF(F1590="","",VLOOKUP(F1590,All_LTMN_Lookups!J1636:K2857,2))</f>
        <v/>
      </c>
      <c r="AG1590" s="183" t="str">
        <f t="shared" si="14"/>
        <v/>
      </c>
    </row>
    <row r="1591" spans="5:33" ht="15" customHeight="1" x14ac:dyDescent="0.2">
      <c r="E1591" s="134" t="str">
        <f>IF(F1591="","",VLOOKUP(F1591,All_LTMN_Lookups!J1637:K2858,2))</f>
        <v/>
      </c>
      <c r="AG1591" s="183" t="str">
        <f t="shared" si="14"/>
        <v/>
      </c>
    </row>
    <row r="1592" spans="5:33" ht="15" customHeight="1" x14ac:dyDescent="0.2">
      <c r="E1592" s="134" t="str">
        <f>IF(F1592="","",VLOOKUP(F1592,All_LTMN_Lookups!J1638:K2859,2))</f>
        <v/>
      </c>
      <c r="AG1592" s="183" t="str">
        <f t="shared" si="14"/>
        <v/>
      </c>
    </row>
    <row r="1593" spans="5:33" ht="15" customHeight="1" x14ac:dyDescent="0.2">
      <c r="E1593" s="134" t="str">
        <f>IF(F1593="","",VLOOKUP(F1593,All_LTMN_Lookups!J1639:K2860,2))</f>
        <v/>
      </c>
      <c r="AG1593" s="183" t="str">
        <f t="shared" si="14"/>
        <v/>
      </c>
    </row>
    <row r="1594" spans="5:33" ht="15" customHeight="1" x14ac:dyDescent="0.2">
      <c r="E1594" s="134" t="str">
        <f>IF(F1594="","",VLOOKUP(F1594,All_LTMN_Lookups!J1640:K2861,2))</f>
        <v/>
      </c>
      <c r="AG1594" s="183" t="str">
        <f t="shared" si="14"/>
        <v/>
      </c>
    </row>
    <row r="1595" spans="5:33" ht="15" customHeight="1" x14ac:dyDescent="0.2">
      <c r="E1595" s="134" t="str">
        <f>IF(F1595="","",VLOOKUP(F1595,All_LTMN_Lookups!J1641:K2862,2))</f>
        <v/>
      </c>
      <c r="AG1595" s="183" t="str">
        <f t="shared" si="14"/>
        <v/>
      </c>
    </row>
    <row r="1596" spans="5:33" ht="15" customHeight="1" x14ac:dyDescent="0.2">
      <c r="E1596" s="134" t="str">
        <f>IF(F1596="","",VLOOKUP(F1596,All_LTMN_Lookups!J1642:K2863,2))</f>
        <v/>
      </c>
      <c r="AG1596" s="183" t="str">
        <f t="shared" si="14"/>
        <v/>
      </c>
    </row>
    <row r="1597" spans="5:33" ht="15" customHeight="1" x14ac:dyDescent="0.2">
      <c r="E1597" s="134" t="str">
        <f>IF(F1597="","",VLOOKUP(F1597,All_LTMN_Lookups!J1643:K2864,2))</f>
        <v/>
      </c>
      <c r="AG1597" s="183" t="str">
        <f t="shared" si="14"/>
        <v/>
      </c>
    </row>
    <row r="1598" spans="5:33" ht="15" customHeight="1" x14ac:dyDescent="0.2">
      <c r="E1598" s="134" t="str">
        <f>IF(F1598="","",VLOOKUP(F1598,All_LTMN_Lookups!J1644:K2865,2))</f>
        <v/>
      </c>
      <c r="AG1598" s="183" t="str">
        <f t="shared" si="14"/>
        <v/>
      </c>
    </row>
    <row r="1599" spans="5:33" ht="15" customHeight="1" x14ac:dyDescent="0.2">
      <c r="E1599" s="134" t="str">
        <f>IF(F1599="","",VLOOKUP(F1599,All_LTMN_Lookups!J1645:K2866,2))</f>
        <v/>
      </c>
      <c r="AG1599" s="183" t="str">
        <f t="shared" si="14"/>
        <v/>
      </c>
    </row>
    <row r="1600" spans="5:33" ht="15" customHeight="1" x14ac:dyDescent="0.2">
      <c r="E1600" s="134" t="str">
        <f>IF(F1600="","",VLOOKUP(F1600,All_LTMN_Lookups!J1646:K2867,2))</f>
        <v/>
      </c>
      <c r="AG1600" s="183" t="str">
        <f t="shared" si="14"/>
        <v/>
      </c>
    </row>
    <row r="1601" spans="5:33" ht="15" customHeight="1" x14ac:dyDescent="0.2">
      <c r="E1601" s="134" t="str">
        <f>IF(F1601="","",VLOOKUP(F1601,All_LTMN_Lookups!J1647:K2868,2))</f>
        <v/>
      </c>
      <c r="AG1601" s="183" t="str">
        <f t="shared" si="14"/>
        <v/>
      </c>
    </row>
    <row r="1602" spans="5:33" ht="15" customHeight="1" x14ac:dyDescent="0.2">
      <c r="E1602" s="134" t="str">
        <f>IF(F1602="","",VLOOKUP(F1602,All_LTMN_Lookups!J1648:K2869,2))</f>
        <v/>
      </c>
      <c r="AG1602" s="183" t="str">
        <f t="shared" si="14"/>
        <v/>
      </c>
    </row>
    <row r="1603" spans="5:33" ht="15" customHeight="1" x14ac:dyDescent="0.2">
      <c r="E1603" s="134" t="str">
        <f>IF(F1603="","",VLOOKUP(F1603,All_LTMN_Lookups!J1649:K2870,2))</f>
        <v/>
      </c>
      <c r="AG1603" s="183" t="str">
        <f t="shared" si="14"/>
        <v/>
      </c>
    </row>
    <row r="1604" spans="5:33" ht="15" customHeight="1" x14ac:dyDescent="0.2">
      <c r="E1604" s="134" t="str">
        <f>IF(F1604="","",VLOOKUP(F1604,All_LTMN_Lookups!J1650:K2871,2))</f>
        <v/>
      </c>
      <c r="AG1604" s="183" t="str">
        <f t="shared" si="14"/>
        <v/>
      </c>
    </row>
    <row r="1605" spans="5:33" ht="15" customHeight="1" x14ac:dyDescent="0.2">
      <c r="E1605" s="134" t="str">
        <f>IF(F1605="","",VLOOKUP(F1605,All_LTMN_Lookups!J1651:K2872,2))</f>
        <v/>
      </c>
      <c r="AG1605" s="183" t="str">
        <f t="shared" si="14"/>
        <v/>
      </c>
    </row>
    <row r="1606" spans="5:33" ht="15" customHeight="1" x14ac:dyDescent="0.2">
      <c r="E1606" s="134" t="str">
        <f>IF(F1606="","",VLOOKUP(F1606,All_LTMN_Lookups!J1652:K2873,2))</f>
        <v/>
      </c>
      <c r="AG1606" s="183" t="str">
        <f t="shared" si="14"/>
        <v/>
      </c>
    </row>
    <row r="1607" spans="5:33" ht="15" customHeight="1" x14ac:dyDescent="0.2">
      <c r="E1607" s="134" t="str">
        <f>IF(F1607="","",VLOOKUP(F1607,All_LTMN_Lookups!J1653:K2874,2))</f>
        <v/>
      </c>
      <c r="AG1607" s="183" t="str">
        <f t="shared" si="14"/>
        <v/>
      </c>
    </row>
    <row r="1608" spans="5:33" ht="15" customHeight="1" x14ac:dyDescent="0.2">
      <c r="E1608" s="134" t="str">
        <f>IF(F1608="","",VLOOKUP(F1608,All_LTMN_Lookups!J1654:K2875,2))</f>
        <v/>
      </c>
      <c r="AG1608" s="183" t="str">
        <f t="shared" si="14"/>
        <v/>
      </c>
    </row>
    <row r="1609" spans="5:33" ht="15" customHeight="1" x14ac:dyDescent="0.2">
      <c r="E1609" s="134" t="str">
        <f>IF(F1609="","",VLOOKUP(F1609,All_LTMN_Lookups!J1655:K2876,2))</f>
        <v/>
      </c>
      <c r="AG1609" s="183" t="str">
        <f t="shared" si="14"/>
        <v/>
      </c>
    </row>
    <row r="1610" spans="5:33" ht="15" customHeight="1" x14ac:dyDescent="0.2">
      <c r="E1610" s="134" t="str">
        <f>IF(F1610="","",VLOOKUP(F1610,All_LTMN_Lookups!J1656:K2877,2))</f>
        <v/>
      </c>
      <c r="AG1610" s="183" t="str">
        <f t="shared" si="14"/>
        <v/>
      </c>
    </row>
    <row r="1611" spans="5:33" ht="15" customHeight="1" x14ac:dyDescent="0.2">
      <c r="E1611" s="134" t="str">
        <f>IF(F1611="","",VLOOKUP(F1611,All_LTMN_Lookups!J1657:K2878,2))</f>
        <v/>
      </c>
      <c r="AG1611" s="183" t="str">
        <f t="shared" ref="AG1611:AG1674" si="15">IF(F1611&lt;&gt;"",SUM(G1611:AE1611), "")</f>
        <v/>
      </c>
    </row>
    <row r="1612" spans="5:33" ht="15" customHeight="1" x14ac:dyDescent="0.2">
      <c r="E1612" s="134" t="str">
        <f>IF(F1612="","",VLOOKUP(F1612,All_LTMN_Lookups!J1658:K2879,2))</f>
        <v/>
      </c>
      <c r="AG1612" s="183" t="str">
        <f t="shared" si="15"/>
        <v/>
      </c>
    </row>
    <row r="1613" spans="5:33" ht="15" customHeight="1" x14ac:dyDescent="0.2">
      <c r="E1613" s="134" t="str">
        <f>IF(F1613="","",VLOOKUP(F1613,All_LTMN_Lookups!J1659:K2880,2))</f>
        <v/>
      </c>
      <c r="AG1613" s="183" t="str">
        <f t="shared" si="15"/>
        <v/>
      </c>
    </row>
    <row r="1614" spans="5:33" ht="15" customHeight="1" x14ac:dyDescent="0.2">
      <c r="E1614" s="134" t="str">
        <f>IF(F1614="","",VLOOKUP(F1614,All_LTMN_Lookups!J1660:K2881,2))</f>
        <v/>
      </c>
      <c r="AG1614" s="183" t="str">
        <f t="shared" si="15"/>
        <v/>
      </c>
    </row>
    <row r="1615" spans="5:33" ht="15" customHeight="1" x14ac:dyDescent="0.2">
      <c r="E1615" s="134" t="str">
        <f>IF(F1615="","",VLOOKUP(F1615,All_LTMN_Lookups!J1661:K2882,2))</f>
        <v/>
      </c>
      <c r="AG1615" s="183" t="str">
        <f t="shared" si="15"/>
        <v/>
      </c>
    </row>
    <row r="1616" spans="5:33" ht="15" customHeight="1" x14ac:dyDescent="0.2">
      <c r="E1616" s="134" t="str">
        <f>IF(F1616="","",VLOOKUP(F1616,All_LTMN_Lookups!J1662:K2883,2))</f>
        <v/>
      </c>
      <c r="AG1616" s="183" t="str">
        <f t="shared" si="15"/>
        <v/>
      </c>
    </row>
    <row r="1617" spans="5:33" ht="15" customHeight="1" x14ac:dyDescent="0.2">
      <c r="E1617" s="134" t="str">
        <f>IF(F1617="","",VLOOKUP(F1617,All_LTMN_Lookups!J1663:K2884,2))</f>
        <v/>
      </c>
      <c r="AG1617" s="183" t="str">
        <f t="shared" si="15"/>
        <v/>
      </c>
    </row>
    <row r="1618" spans="5:33" ht="15" customHeight="1" x14ac:dyDescent="0.2">
      <c r="E1618" s="134" t="str">
        <f>IF(F1618="","",VLOOKUP(F1618,All_LTMN_Lookups!J1664:K2885,2))</f>
        <v/>
      </c>
      <c r="AG1618" s="183" t="str">
        <f t="shared" si="15"/>
        <v/>
      </c>
    </row>
    <row r="1619" spans="5:33" ht="15" customHeight="1" x14ac:dyDescent="0.2">
      <c r="E1619" s="134" t="str">
        <f>IF(F1619="","",VLOOKUP(F1619,All_LTMN_Lookups!J1665:K2886,2))</f>
        <v/>
      </c>
      <c r="AG1619" s="183" t="str">
        <f t="shared" si="15"/>
        <v/>
      </c>
    </row>
    <row r="1620" spans="5:33" ht="15" customHeight="1" x14ac:dyDescent="0.2">
      <c r="E1620" s="134" t="str">
        <f>IF(F1620="","",VLOOKUP(F1620,All_LTMN_Lookups!J1666:K2887,2))</f>
        <v/>
      </c>
      <c r="AG1620" s="183" t="str">
        <f t="shared" si="15"/>
        <v/>
      </c>
    </row>
    <row r="1621" spans="5:33" ht="15" customHeight="1" x14ac:dyDescent="0.2">
      <c r="E1621" s="134" t="str">
        <f>IF(F1621="","",VLOOKUP(F1621,All_LTMN_Lookups!J1667:K2888,2))</f>
        <v/>
      </c>
      <c r="AG1621" s="183" t="str">
        <f t="shared" si="15"/>
        <v/>
      </c>
    </row>
    <row r="1622" spans="5:33" ht="15" customHeight="1" x14ac:dyDescent="0.2">
      <c r="E1622" s="134" t="str">
        <f>IF(F1622="","",VLOOKUP(F1622,All_LTMN_Lookups!J1668:K2889,2))</f>
        <v/>
      </c>
      <c r="AG1622" s="183" t="str">
        <f t="shared" si="15"/>
        <v/>
      </c>
    </row>
    <row r="1623" spans="5:33" ht="15" customHeight="1" x14ac:dyDescent="0.2">
      <c r="E1623" s="134" t="str">
        <f>IF(F1623="","",VLOOKUP(F1623,All_LTMN_Lookups!J1669:K2890,2))</f>
        <v/>
      </c>
      <c r="AG1623" s="183" t="str">
        <f t="shared" si="15"/>
        <v/>
      </c>
    </row>
    <row r="1624" spans="5:33" ht="15" customHeight="1" x14ac:dyDescent="0.2">
      <c r="E1624" s="134" t="str">
        <f>IF(F1624="","",VLOOKUP(F1624,All_LTMN_Lookups!J1670:K2891,2))</f>
        <v/>
      </c>
      <c r="AG1624" s="183" t="str">
        <f t="shared" si="15"/>
        <v/>
      </c>
    </row>
    <row r="1625" spans="5:33" ht="15" customHeight="1" x14ac:dyDescent="0.2">
      <c r="E1625" s="134" t="str">
        <f>IF(F1625="","",VLOOKUP(F1625,All_LTMN_Lookups!J1671:K2892,2))</f>
        <v/>
      </c>
      <c r="AG1625" s="183" t="str">
        <f t="shared" si="15"/>
        <v/>
      </c>
    </row>
    <row r="1626" spans="5:33" ht="15" customHeight="1" x14ac:dyDescent="0.2">
      <c r="E1626" s="134" t="str">
        <f>IF(F1626="","",VLOOKUP(F1626,All_LTMN_Lookups!J1672:K2893,2))</f>
        <v/>
      </c>
      <c r="AG1626" s="183" t="str">
        <f t="shared" si="15"/>
        <v/>
      </c>
    </row>
    <row r="1627" spans="5:33" ht="15" customHeight="1" x14ac:dyDescent="0.2">
      <c r="E1627" s="134" t="str">
        <f>IF(F1627="","",VLOOKUP(F1627,All_LTMN_Lookups!J1673:K2894,2))</f>
        <v/>
      </c>
      <c r="AG1627" s="183" t="str">
        <f t="shared" si="15"/>
        <v/>
      </c>
    </row>
    <row r="1628" spans="5:33" ht="15" customHeight="1" x14ac:dyDescent="0.2">
      <c r="E1628" s="134" t="str">
        <f>IF(F1628="","",VLOOKUP(F1628,All_LTMN_Lookups!J1674:K2895,2))</f>
        <v/>
      </c>
      <c r="AG1628" s="183" t="str">
        <f t="shared" si="15"/>
        <v/>
      </c>
    </row>
    <row r="1629" spans="5:33" ht="15" customHeight="1" x14ac:dyDescent="0.2">
      <c r="E1629" s="134" t="str">
        <f>IF(F1629="","",VLOOKUP(F1629,All_LTMN_Lookups!J1675:K2896,2))</f>
        <v/>
      </c>
      <c r="AG1629" s="183" t="str">
        <f t="shared" si="15"/>
        <v/>
      </c>
    </row>
    <row r="1630" spans="5:33" ht="15" customHeight="1" x14ac:dyDescent="0.2">
      <c r="E1630" s="134" t="str">
        <f>IF(F1630="","",VLOOKUP(F1630,All_LTMN_Lookups!J1676:K2897,2))</f>
        <v/>
      </c>
      <c r="AG1630" s="183" t="str">
        <f t="shared" si="15"/>
        <v/>
      </c>
    </row>
    <row r="1631" spans="5:33" ht="15" customHeight="1" x14ac:dyDescent="0.2">
      <c r="E1631" s="134" t="str">
        <f>IF(F1631="","",VLOOKUP(F1631,All_LTMN_Lookups!J1677:K2898,2))</f>
        <v/>
      </c>
      <c r="AG1631" s="183" t="str">
        <f t="shared" si="15"/>
        <v/>
      </c>
    </row>
    <row r="1632" spans="5:33" ht="15" customHeight="1" x14ac:dyDescent="0.2">
      <c r="E1632" s="134" t="str">
        <f>IF(F1632="","",VLOOKUP(F1632,All_LTMN_Lookups!J1678:K2899,2))</f>
        <v/>
      </c>
      <c r="AG1632" s="183" t="str">
        <f t="shared" si="15"/>
        <v/>
      </c>
    </row>
    <row r="1633" spans="5:33" ht="15" customHeight="1" x14ac:dyDescent="0.2">
      <c r="E1633" s="134" t="str">
        <f>IF(F1633="","",VLOOKUP(F1633,All_LTMN_Lookups!J1679:K2900,2))</f>
        <v/>
      </c>
      <c r="AG1633" s="183" t="str">
        <f t="shared" si="15"/>
        <v/>
      </c>
    </row>
    <row r="1634" spans="5:33" ht="15" customHeight="1" x14ac:dyDescent="0.2">
      <c r="E1634" s="134" t="str">
        <f>IF(F1634="","",VLOOKUP(F1634,All_LTMN_Lookups!J1680:K2901,2))</f>
        <v/>
      </c>
      <c r="AG1634" s="183" t="str">
        <f t="shared" si="15"/>
        <v/>
      </c>
    </row>
    <row r="1635" spans="5:33" ht="15" customHeight="1" x14ac:dyDescent="0.2">
      <c r="E1635" s="134" t="str">
        <f>IF(F1635="","",VLOOKUP(F1635,All_LTMN_Lookups!J1681:K2902,2))</f>
        <v/>
      </c>
      <c r="AG1635" s="183" t="str">
        <f t="shared" si="15"/>
        <v/>
      </c>
    </row>
    <row r="1636" spans="5:33" ht="15" customHeight="1" x14ac:dyDescent="0.2">
      <c r="E1636" s="134" t="str">
        <f>IF(F1636="","",VLOOKUP(F1636,All_LTMN_Lookups!J1682:K2903,2))</f>
        <v/>
      </c>
      <c r="AG1636" s="183" t="str">
        <f t="shared" si="15"/>
        <v/>
      </c>
    </row>
    <row r="1637" spans="5:33" ht="15" customHeight="1" x14ac:dyDescent="0.2">
      <c r="E1637" s="134" t="str">
        <f>IF(F1637="","",VLOOKUP(F1637,All_LTMN_Lookups!J1683:K2904,2))</f>
        <v/>
      </c>
      <c r="AG1637" s="183" t="str">
        <f t="shared" si="15"/>
        <v/>
      </c>
    </row>
    <row r="1638" spans="5:33" ht="15" customHeight="1" x14ac:dyDescent="0.2">
      <c r="E1638" s="134" t="str">
        <f>IF(F1638="","",VLOOKUP(F1638,All_LTMN_Lookups!J1684:K2905,2))</f>
        <v/>
      </c>
      <c r="AG1638" s="183" t="str">
        <f t="shared" si="15"/>
        <v/>
      </c>
    </row>
    <row r="1639" spans="5:33" ht="15" customHeight="1" x14ac:dyDescent="0.2">
      <c r="E1639" s="134" t="str">
        <f>IF(F1639="","",VLOOKUP(F1639,All_LTMN_Lookups!J1685:K2906,2))</f>
        <v/>
      </c>
      <c r="AG1639" s="183" t="str">
        <f t="shared" si="15"/>
        <v/>
      </c>
    </row>
    <row r="1640" spans="5:33" ht="15" customHeight="1" x14ac:dyDescent="0.2">
      <c r="E1640" s="134" t="str">
        <f>IF(F1640="","",VLOOKUP(F1640,All_LTMN_Lookups!J1686:K2907,2))</f>
        <v/>
      </c>
      <c r="AG1640" s="183" t="str">
        <f t="shared" si="15"/>
        <v/>
      </c>
    </row>
    <row r="1641" spans="5:33" ht="15" customHeight="1" x14ac:dyDescent="0.2">
      <c r="E1641" s="134" t="str">
        <f>IF(F1641="","",VLOOKUP(F1641,All_LTMN_Lookups!J1687:K2908,2))</f>
        <v/>
      </c>
      <c r="AG1641" s="183" t="str">
        <f t="shared" si="15"/>
        <v/>
      </c>
    </row>
    <row r="1642" spans="5:33" ht="15" customHeight="1" x14ac:dyDescent="0.2">
      <c r="E1642" s="134" t="str">
        <f>IF(F1642="","",VLOOKUP(F1642,All_LTMN_Lookups!J1688:K2909,2))</f>
        <v/>
      </c>
      <c r="AG1642" s="183" t="str">
        <f t="shared" si="15"/>
        <v/>
      </c>
    </row>
    <row r="1643" spans="5:33" ht="15" customHeight="1" x14ac:dyDescent="0.2">
      <c r="E1643" s="134" t="str">
        <f>IF(F1643="","",VLOOKUP(F1643,All_LTMN_Lookups!J1689:K2910,2))</f>
        <v/>
      </c>
      <c r="AG1643" s="183" t="str">
        <f t="shared" si="15"/>
        <v/>
      </c>
    </row>
    <row r="1644" spans="5:33" ht="15" customHeight="1" x14ac:dyDescent="0.2">
      <c r="E1644" s="134" t="str">
        <f>IF(F1644="","",VLOOKUP(F1644,All_LTMN_Lookups!J1690:K2911,2))</f>
        <v/>
      </c>
      <c r="AG1644" s="183" t="str">
        <f t="shared" si="15"/>
        <v/>
      </c>
    </row>
    <row r="1645" spans="5:33" ht="15" customHeight="1" x14ac:dyDescent="0.2">
      <c r="E1645" s="134" t="str">
        <f>IF(F1645="","",VLOOKUP(F1645,All_LTMN_Lookups!J1691:K2912,2))</f>
        <v/>
      </c>
      <c r="AG1645" s="183" t="str">
        <f t="shared" si="15"/>
        <v/>
      </c>
    </row>
    <row r="1646" spans="5:33" ht="15" customHeight="1" x14ac:dyDescent="0.2">
      <c r="E1646" s="134" t="str">
        <f>IF(F1646="","",VLOOKUP(F1646,All_LTMN_Lookups!J1692:K2913,2))</f>
        <v/>
      </c>
      <c r="AG1646" s="183" t="str">
        <f t="shared" si="15"/>
        <v/>
      </c>
    </row>
    <row r="1647" spans="5:33" ht="15" customHeight="1" x14ac:dyDescent="0.2">
      <c r="E1647" s="134" t="str">
        <f>IF(F1647="","",VLOOKUP(F1647,All_LTMN_Lookups!J1693:K2914,2))</f>
        <v/>
      </c>
      <c r="AG1647" s="183" t="str">
        <f t="shared" si="15"/>
        <v/>
      </c>
    </row>
    <row r="1648" spans="5:33" ht="15" customHeight="1" x14ac:dyDescent="0.2">
      <c r="E1648" s="134" t="str">
        <f>IF(F1648="","",VLOOKUP(F1648,All_LTMN_Lookups!J1694:K2915,2))</f>
        <v/>
      </c>
      <c r="AG1648" s="183" t="str">
        <f t="shared" si="15"/>
        <v/>
      </c>
    </row>
    <row r="1649" spans="5:33" ht="15" customHeight="1" x14ac:dyDescent="0.2">
      <c r="E1649" s="134" t="str">
        <f>IF(F1649="","",VLOOKUP(F1649,All_LTMN_Lookups!J1695:K2916,2))</f>
        <v/>
      </c>
      <c r="AG1649" s="183" t="str">
        <f t="shared" si="15"/>
        <v/>
      </c>
    </row>
    <row r="1650" spans="5:33" ht="15" customHeight="1" x14ac:dyDescent="0.2">
      <c r="E1650" s="134" t="str">
        <f>IF(F1650="","",VLOOKUP(F1650,All_LTMN_Lookups!J1696:K2917,2))</f>
        <v/>
      </c>
      <c r="AG1650" s="183" t="str">
        <f t="shared" si="15"/>
        <v/>
      </c>
    </row>
    <row r="1651" spans="5:33" ht="15" customHeight="1" x14ac:dyDescent="0.2">
      <c r="E1651" s="134" t="str">
        <f>IF(F1651="","",VLOOKUP(F1651,All_LTMN_Lookups!J1697:K2918,2))</f>
        <v/>
      </c>
      <c r="AG1651" s="183" t="str">
        <f t="shared" si="15"/>
        <v/>
      </c>
    </row>
    <row r="1652" spans="5:33" ht="15" customHeight="1" x14ac:dyDescent="0.2">
      <c r="E1652" s="134" t="str">
        <f>IF(F1652="","",VLOOKUP(F1652,All_LTMN_Lookups!J1698:K2919,2))</f>
        <v/>
      </c>
      <c r="AG1652" s="183" t="str">
        <f t="shared" si="15"/>
        <v/>
      </c>
    </row>
    <row r="1653" spans="5:33" ht="15" customHeight="1" x14ac:dyDescent="0.2">
      <c r="E1653" s="134" t="str">
        <f>IF(F1653="","",VLOOKUP(F1653,All_LTMN_Lookups!J1699:K2920,2))</f>
        <v/>
      </c>
      <c r="AG1653" s="183" t="str">
        <f t="shared" si="15"/>
        <v/>
      </c>
    </row>
    <row r="1654" spans="5:33" ht="15" customHeight="1" x14ac:dyDescent="0.2">
      <c r="E1654" s="134" t="str">
        <f>IF(F1654="","",VLOOKUP(F1654,All_LTMN_Lookups!J1700:K2921,2))</f>
        <v/>
      </c>
      <c r="AG1654" s="183" t="str">
        <f t="shared" si="15"/>
        <v/>
      </c>
    </row>
    <row r="1655" spans="5:33" ht="15" customHeight="1" x14ac:dyDescent="0.2">
      <c r="E1655" s="134" t="str">
        <f>IF(F1655="","",VLOOKUP(F1655,All_LTMN_Lookups!J1701:K2922,2))</f>
        <v/>
      </c>
      <c r="AG1655" s="183" t="str">
        <f t="shared" si="15"/>
        <v/>
      </c>
    </row>
    <row r="1656" spans="5:33" ht="15" customHeight="1" x14ac:dyDescent="0.2">
      <c r="E1656" s="134" t="str">
        <f>IF(F1656="","",VLOOKUP(F1656,All_LTMN_Lookups!J1702:K2923,2))</f>
        <v/>
      </c>
      <c r="AG1656" s="183" t="str">
        <f t="shared" si="15"/>
        <v/>
      </c>
    </row>
    <row r="1657" spans="5:33" ht="15" customHeight="1" x14ac:dyDescent="0.2">
      <c r="E1657" s="134" t="str">
        <f>IF(F1657="","",VLOOKUP(F1657,All_LTMN_Lookups!J1703:K2924,2))</f>
        <v/>
      </c>
      <c r="AG1657" s="183" t="str">
        <f t="shared" si="15"/>
        <v/>
      </c>
    </row>
    <row r="1658" spans="5:33" ht="15" customHeight="1" x14ac:dyDescent="0.2">
      <c r="E1658" s="134" t="str">
        <f>IF(F1658="","",VLOOKUP(F1658,All_LTMN_Lookups!J1704:K2925,2))</f>
        <v/>
      </c>
      <c r="AG1658" s="183" t="str">
        <f t="shared" si="15"/>
        <v/>
      </c>
    </row>
    <row r="1659" spans="5:33" ht="15" customHeight="1" x14ac:dyDescent="0.2">
      <c r="E1659" s="134" t="str">
        <f>IF(F1659="","",VLOOKUP(F1659,All_LTMN_Lookups!J1705:K2926,2))</f>
        <v/>
      </c>
      <c r="AG1659" s="183" t="str">
        <f t="shared" si="15"/>
        <v/>
      </c>
    </row>
    <row r="1660" spans="5:33" ht="15" customHeight="1" x14ac:dyDescent="0.2">
      <c r="E1660" s="134" t="str">
        <f>IF(F1660="","",VLOOKUP(F1660,All_LTMN_Lookups!J1706:K2927,2))</f>
        <v/>
      </c>
      <c r="AG1660" s="183" t="str">
        <f t="shared" si="15"/>
        <v/>
      </c>
    </row>
    <row r="1661" spans="5:33" ht="15" customHeight="1" x14ac:dyDescent="0.2">
      <c r="E1661" s="134" t="str">
        <f>IF(F1661="","",VLOOKUP(F1661,All_LTMN_Lookups!J1707:K2928,2))</f>
        <v/>
      </c>
      <c r="AG1661" s="183" t="str">
        <f t="shared" si="15"/>
        <v/>
      </c>
    </row>
    <row r="1662" spans="5:33" ht="15" customHeight="1" x14ac:dyDescent="0.2">
      <c r="E1662" s="134" t="str">
        <f>IF(F1662="","",VLOOKUP(F1662,All_LTMN_Lookups!J1708:K2929,2))</f>
        <v/>
      </c>
      <c r="AG1662" s="183" t="str">
        <f t="shared" si="15"/>
        <v/>
      </c>
    </row>
    <row r="1663" spans="5:33" ht="15" customHeight="1" x14ac:dyDescent="0.2">
      <c r="E1663" s="134" t="str">
        <f>IF(F1663="","",VLOOKUP(F1663,All_LTMN_Lookups!J1709:K2930,2))</f>
        <v/>
      </c>
      <c r="AG1663" s="183" t="str">
        <f t="shared" si="15"/>
        <v/>
      </c>
    </row>
    <row r="1664" spans="5:33" ht="15" customHeight="1" x14ac:dyDescent="0.2">
      <c r="E1664" s="134" t="str">
        <f>IF(F1664="","",VLOOKUP(F1664,All_LTMN_Lookups!J1710:K2931,2))</f>
        <v/>
      </c>
      <c r="AG1664" s="183" t="str">
        <f t="shared" si="15"/>
        <v/>
      </c>
    </row>
    <row r="1665" spans="5:33" ht="15" customHeight="1" x14ac:dyDescent="0.2">
      <c r="E1665" s="134" t="str">
        <f>IF(F1665="","",VLOOKUP(F1665,All_LTMN_Lookups!J1711:K2932,2))</f>
        <v/>
      </c>
      <c r="AG1665" s="183" t="str">
        <f t="shared" si="15"/>
        <v/>
      </c>
    </row>
    <row r="1666" spans="5:33" ht="15" customHeight="1" x14ac:dyDescent="0.2">
      <c r="E1666" s="134" t="str">
        <f>IF(F1666="","",VLOOKUP(F1666,All_LTMN_Lookups!J1712:K2933,2))</f>
        <v/>
      </c>
      <c r="AG1666" s="183" t="str">
        <f t="shared" si="15"/>
        <v/>
      </c>
    </row>
    <row r="1667" spans="5:33" ht="15" customHeight="1" x14ac:dyDescent="0.2">
      <c r="E1667" s="134" t="str">
        <f>IF(F1667="","",VLOOKUP(F1667,All_LTMN_Lookups!J1713:K2934,2))</f>
        <v/>
      </c>
      <c r="AG1667" s="183" t="str">
        <f t="shared" si="15"/>
        <v/>
      </c>
    </row>
    <row r="1668" spans="5:33" ht="15" customHeight="1" x14ac:dyDescent="0.2">
      <c r="E1668" s="134" t="str">
        <f>IF(F1668="","",VLOOKUP(F1668,All_LTMN_Lookups!J1714:K2935,2))</f>
        <v/>
      </c>
      <c r="AG1668" s="183" t="str">
        <f t="shared" si="15"/>
        <v/>
      </c>
    </row>
    <row r="1669" spans="5:33" ht="15" customHeight="1" x14ac:dyDescent="0.2">
      <c r="E1669" s="134" t="str">
        <f>IF(F1669="","",VLOOKUP(F1669,All_LTMN_Lookups!J1715:K2936,2))</f>
        <v/>
      </c>
      <c r="AG1669" s="183" t="str">
        <f t="shared" si="15"/>
        <v/>
      </c>
    </row>
    <row r="1670" spans="5:33" ht="15" customHeight="1" x14ac:dyDescent="0.2">
      <c r="E1670" s="134" t="str">
        <f>IF(F1670="","",VLOOKUP(F1670,All_LTMN_Lookups!J1716:K2937,2))</f>
        <v/>
      </c>
      <c r="AG1670" s="183" t="str">
        <f t="shared" si="15"/>
        <v/>
      </c>
    </row>
    <row r="1671" spans="5:33" ht="15" customHeight="1" x14ac:dyDescent="0.2">
      <c r="E1671" s="134" t="str">
        <f>IF(F1671="","",VLOOKUP(F1671,All_LTMN_Lookups!J1717:K2938,2))</f>
        <v/>
      </c>
      <c r="AG1671" s="183" t="str">
        <f t="shared" si="15"/>
        <v/>
      </c>
    </row>
    <row r="1672" spans="5:33" ht="15" customHeight="1" x14ac:dyDescent="0.2">
      <c r="E1672" s="134" t="str">
        <f>IF(F1672="","",VLOOKUP(F1672,All_LTMN_Lookups!J1718:K2939,2))</f>
        <v/>
      </c>
      <c r="AG1672" s="183" t="str">
        <f t="shared" si="15"/>
        <v/>
      </c>
    </row>
    <row r="1673" spans="5:33" ht="15" customHeight="1" x14ac:dyDescent="0.2">
      <c r="E1673" s="134" t="str">
        <f>IF(F1673="","",VLOOKUP(F1673,All_LTMN_Lookups!J1719:K2940,2))</f>
        <v/>
      </c>
      <c r="AG1673" s="183" t="str">
        <f t="shared" si="15"/>
        <v/>
      </c>
    </row>
    <row r="1674" spans="5:33" ht="15" customHeight="1" x14ac:dyDescent="0.2">
      <c r="E1674" s="134" t="str">
        <f>IF(F1674="","",VLOOKUP(F1674,All_LTMN_Lookups!J1720:K2941,2))</f>
        <v/>
      </c>
      <c r="AG1674" s="183" t="str">
        <f t="shared" si="15"/>
        <v/>
      </c>
    </row>
    <row r="1675" spans="5:33" ht="15" customHeight="1" x14ac:dyDescent="0.2">
      <c r="E1675" s="134" t="str">
        <f>IF(F1675="","",VLOOKUP(F1675,All_LTMN_Lookups!J1721:K2942,2))</f>
        <v/>
      </c>
      <c r="AG1675" s="183" t="str">
        <f t="shared" ref="AG1675:AG1738" si="16">IF(F1675&lt;&gt;"",SUM(G1675:AE1675), "")</f>
        <v/>
      </c>
    </row>
    <row r="1676" spans="5:33" ht="15" customHeight="1" x14ac:dyDescent="0.2">
      <c r="E1676" s="134" t="str">
        <f>IF(F1676="","",VLOOKUP(F1676,All_LTMN_Lookups!J1722:K2943,2))</f>
        <v/>
      </c>
      <c r="AG1676" s="183" t="str">
        <f t="shared" si="16"/>
        <v/>
      </c>
    </row>
    <row r="1677" spans="5:33" ht="15" customHeight="1" x14ac:dyDescent="0.2">
      <c r="E1677" s="134" t="str">
        <f>IF(F1677="","",VLOOKUP(F1677,All_LTMN_Lookups!J1723:K2944,2))</f>
        <v/>
      </c>
      <c r="AG1677" s="183" t="str">
        <f t="shared" si="16"/>
        <v/>
      </c>
    </row>
    <row r="1678" spans="5:33" ht="15" customHeight="1" x14ac:dyDescent="0.2">
      <c r="E1678" s="134" t="str">
        <f>IF(F1678="","",VLOOKUP(F1678,All_LTMN_Lookups!J1724:K2945,2))</f>
        <v/>
      </c>
      <c r="AG1678" s="183" t="str">
        <f t="shared" si="16"/>
        <v/>
      </c>
    </row>
    <row r="1679" spans="5:33" ht="15" customHeight="1" x14ac:dyDescent="0.2">
      <c r="E1679" s="134" t="str">
        <f>IF(F1679="","",VLOOKUP(F1679,All_LTMN_Lookups!J1725:K2946,2))</f>
        <v/>
      </c>
      <c r="AG1679" s="183" t="str">
        <f t="shared" si="16"/>
        <v/>
      </c>
    </row>
    <row r="1680" spans="5:33" ht="15" customHeight="1" x14ac:dyDescent="0.2">
      <c r="E1680" s="134" t="str">
        <f>IF(F1680="","",VLOOKUP(F1680,All_LTMN_Lookups!J1726:K2947,2))</f>
        <v/>
      </c>
      <c r="AG1680" s="183" t="str">
        <f t="shared" si="16"/>
        <v/>
      </c>
    </row>
    <row r="1681" spans="5:33" ht="15" customHeight="1" x14ac:dyDescent="0.2">
      <c r="E1681" s="134" t="str">
        <f>IF(F1681="","",VLOOKUP(F1681,All_LTMN_Lookups!J1727:K2948,2))</f>
        <v/>
      </c>
      <c r="AG1681" s="183" t="str">
        <f t="shared" si="16"/>
        <v/>
      </c>
    </row>
    <row r="1682" spans="5:33" ht="15" customHeight="1" x14ac:dyDescent="0.2">
      <c r="E1682" s="134" t="str">
        <f>IF(F1682="","",VLOOKUP(F1682,All_LTMN_Lookups!J1728:K2949,2))</f>
        <v/>
      </c>
      <c r="AG1682" s="183" t="str">
        <f t="shared" si="16"/>
        <v/>
      </c>
    </row>
    <row r="1683" spans="5:33" ht="15" customHeight="1" x14ac:dyDescent="0.2">
      <c r="E1683" s="134" t="str">
        <f>IF(F1683="","",VLOOKUP(F1683,All_LTMN_Lookups!J1729:K2950,2))</f>
        <v/>
      </c>
      <c r="AG1683" s="183" t="str">
        <f t="shared" si="16"/>
        <v/>
      </c>
    </row>
    <row r="1684" spans="5:33" ht="15" customHeight="1" x14ac:dyDescent="0.2">
      <c r="E1684" s="134" t="str">
        <f>IF(F1684="","",VLOOKUP(F1684,All_LTMN_Lookups!J1730:K2951,2))</f>
        <v/>
      </c>
      <c r="AG1684" s="183" t="str">
        <f t="shared" si="16"/>
        <v/>
      </c>
    </row>
    <row r="1685" spans="5:33" ht="15" customHeight="1" x14ac:dyDescent="0.2">
      <c r="E1685" s="134" t="str">
        <f>IF(F1685="","",VLOOKUP(F1685,All_LTMN_Lookups!J1731:K2952,2))</f>
        <v/>
      </c>
      <c r="AG1685" s="183" t="str">
        <f t="shared" si="16"/>
        <v/>
      </c>
    </row>
    <row r="1686" spans="5:33" ht="15" customHeight="1" x14ac:dyDescent="0.2">
      <c r="E1686" s="134" t="str">
        <f>IF(F1686="","",VLOOKUP(F1686,All_LTMN_Lookups!J1732:K2953,2))</f>
        <v/>
      </c>
      <c r="AG1686" s="183" t="str">
        <f t="shared" si="16"/>
        <v/>
      </c>
    </row>
    <row r="1687" spans="5:33" ht="15" customHeight="1" x14ac:dyDescent="0.2">
      <c r="E1687" s="134" t="str">
        <f>IF(F1687="","",VLOOKUP(F1687,All_LTMN_Lookups!J1733:K2954,2))</f>
        <v/>
      </c>
      <c r="AG1687" s="183" t="str">
        <f t="shared" si="16"/>
        <v/>
      </c>
    </row>
    <row r="1688" spans="5:33" ht="15" customHeight="1" x14ac:dyDescent="0.2">
      <c r="E1688" s="134" t="str">
        <f>IF(F1688="","",VLOOKUP(F1688,All_LTMN_Lookups!J1734:K2955,2))</f>
        <v/>
      </c>
      <c r="AG1688" s="183" t="str">
        <f t="shared" si="16"/>
        <v/>
      </c>
    </row>
    <row r="1689" spans="5:33" ht="15" customHeight="1" x14ac:dyDescent="0.2">
      <c r="E1689" s="134" t="str">
        <f>IF(F1689="","",VLOOKUP(F1689,All_LTMN_Lookups!J1735:K2956,2))</f>
        <v/>
      </c>
      <c r="AG1689" s="183" t="str">
        <f t="shared" si="16"/>
        <v/>
      </c>
    </row>
    <row r="1690" spans="5:33" ht="15" customHeight="1" x14ac:dyDescent="0.2">
      <c r="E1690" s="134" t="str">
        <f>IF(F1690="","",VLOOKUP(F1690,All_LTMN_Lookups!J1736:K2957,2))</f>
        <v/>
      </c>
      <c r="AG1690" s="183" t="str">
        <f t="shared" si="16"/>
        <v/>
      </c>
    </row>
    <row r="1691" spans="5:33" ht="15" customHeight="1" x14ac:dyDescent="0.2">
      <c r="E1691" s="134" t="str">
        <f>IF(F1691="","",VLOOKUP(F1691,All_LTMN_Lookups!J1737:K2958,2))</f>
        <v/>
      </c>
      <c r="AG1691" s="183" t="str">
        <f t="shared" si="16"/>
        <v/>
      </c>
    </row>
    <row r="1692" spans="5:33" ht="15" customHeight="1" x14ac:dyDescent="0.2">
      <c r="E1692" s="134" t="str">
        <f>IF(F1692="","",VLOOKUP(F1692,All_LTMN_Lookups!J1738:K2959,2))</f>
        <v/>
      </c>
      <c r="AG1692" s="183" t="str">
        <f t="shared" si="16"/>
        <v/>
      </c>
    </row>
    <row r="1693" spans="5:33" ht="15" customHeight="1" x14ac:dyDescent="0.2">
      <c r="E1693" s="134" t="str">
        <f>IF(F1693="","",VLOOKUP(F1693,All_LTMN_Lookups!J1739:K2960,2))</f>
        <v/>
      </c>
      <c r="AG1693" s="183" t="str">
        <f t="shared" si="16"/>
        <v/>
      </c>
    </row>
    <row r="1694" spans="5:33" ht="15" customHeight="1" x14ac:dyDescent="0.2">
      <c r="E1694" s="134" t="str">
        <f>IF(F1694="","",VLOOKUP(F1694,All_LTMN_Lookups!J1740:K2961,2))</f>
        <v/>
      </c>
      <c r="AG1694" s="183" t="str">
        <f t="shared" si="16"/>
        <v/>
      </c>
    </row>
    <row r="1695" spans="5:33" ht="15" customHeight="1" x14ac:dyDescent="0.2">
      <c r="E1695" s="134" t="str">
        <f>IF(F1695="","",VLOOKUP(F1695,All_LTMN_Lookups!J1741:K2962,2))</f>
        <v/>
      </c>
      <c r="AG1695" s="183" t="str">
        <f t="shared" si="16"/>
        <v/>
      </c>
    </row>
    <row r="1696" spans="5:33" ht="15" customHeight="1" x14ac:dyDescent="0.2">
      <c r="E1696" s="134" t="str">
        <f>IF(F1696="","",VLOOKUP(F1696,All_LTMN_Lookups!J1742:K2963,2))</f>
        <v/>
      </c>
      <c r="AG1696" s="183" t="str">
        <f t="shared" si="16"/>
        <v/>
      </c>
    </row>
    <row r="1697" spans="5:33" ht="15" customHeight="1" x14ac:dyDescent="0.2">
      <c r="E1697" s="134" t="str">
        <f>IF(F1697="","",VLOOKUP(F1697,All_LTMN_Lookups!J1743:K2964,2))</f>
        <v/>
      </c>
      <c r="AG1697" s="183" t="str">
        <f t="shared" si="16"/>
        <v/>
      </c>
    </row>
    <row r="1698" spans="5:33" ht="15" customHeight="1" x14ac:dyDescent="0.2">
      <c r="E1698" s="134" t="str">
        <f>IF(F1698="","",VLOOKUP(F1698,All_LTMN_Lookups!J1744:K2965,2))</f>
        <v/>
      </c>
      <c r="AG1698" s="183" t="str">
        <f t="shared" si="16"/>
        <v/>
      </c>
    </row>
    <row r="1699" spans="5:33" ht="15" customHeight="1" x14ac:dyDescent="0.2">
      <c r="E1699" s="134" t="str">
        <f>IF(F1699="","",VLOOKUP(F1699,All_LTMN_Lookups!J1745:K2966,2))</f>
        <v/>
      </c>
      <c r="AG1699" s="183" t="str">
        <f t="shared" si="16"/>
        <v/>
      </c>
    </row>
    <row r="1700" spans="5:33" ht="15" customHeight="1" x14ac:dyDescent="0.2">
      <c r="E1700" s="134" t="str">
        <f>IF(F1700="","",VLOOKUP(F1700,All_LTMN_Lookups!J1746:K2967,2))</f>
        <v/>
      </c>
      <c r="AG1700" s="183" t="str">
        <f t="shared" si="16"/>
        <v/>
      </c>
    </row>
    <row r="1701" spans="5:33" ht="15" customHeight="1" x14ac:dyDescent="0.2">
      <c r="E1701" s="134" t="str">
        <f>IF(F1701="","",VLOOKUP(F1701,All_LTMN_Lookups!J1747:K2968,2))</f>
        <v/>
      </c>
      <c r="AG1701" s="183" t="str">
        <f t="shared" si="16"/>
        <v/>
      </c>
    </row>
    <row r="1702" spans="5:33" ht="15" customHeight="1" x14ac:dyDescent="0.2">
      <c r="E1702" s="134" t="str">
        <f>IF(F1702="","",VLOOKUP(F1702,All_LTMN_Lookups!J1748:K2969,2))</f>
        <v/>
      </c>
      <c r="AG1702" s="183" t="str">
        <f t="shared" si="16"/>
        <v/>
      </c>
    </row>
    <row r="1703" spans="5:33" ht="15" customHeight="1" x14ac:dyDescent="0.2">
      <c r="E1703" s="134" t="str">
        <f>IF(F1703="","",VLOOKUP(F1703,All_LTMN_Lookups!J1749:K2970,2))</f>
        <v/>
      </c>
      <c r="AG1703" s="183" t="str">
        <f t="shared" si="16"/>
        <v/>
      </c>
    </row>
    <row r="1704" spans="5:33" ht="15" customHeight="1" x14ac:dyDescent="0.2">
      <c r="E1704" s="134" t="str">
        <f>IF(F1704="","",VLOOKUP(F1704,All_LTMN_Lookups!J1750:K2971,2))</f>
        <v/>
      </c>
      <c r="AG1704" s="183" t="str">
        <f t="shared" si="16"/>
        <v/>
      </c>
    </row>
    <row r="1705" spans="5:33" ht="15" customHeight="1" x14ac:dyDescent="0.2">
      <c r="E1705" s="134" t="str">
        <f>IF(F1705="","",VLOOKUP(F1705,All_LTMN_Lookups!J1751:K2972,2))</f>
        <v/>
      </c>
      <c r="AG1705" s="183" t="str">
        <f t="shared" si="16"/>
        <v/>
      </c>
    </row>
    <row r="1706" spans="5:33" ht="15" customHeight="1" x14ac:dyDescent="0.2">
      <c r="E1706" s="134" t="str">
        <f>IF(F1706="","",VLOOKUP(F1706,All_LTMN_Lookups!J1752:K2973,2))</f>
        <v/>
      </c>
      <c r="AG1706" s="183" t="str">
        <f t="shared" si="16"/>
        <v/>
      </c>
    </row>
    <row r="1707" spans="5:33" ht="15" customHeight="1" x14ac:dyDescent="0.2">
      <c r="E1707" s="134" t="str">
        <f>IF(F1707="","",VLOOKUP(F1707,All_LTMN_Lookups!J1753:K2974,2))</f>
        <v/>
      </c>
      <c r="AG1707" s="183" t="str">
        <f t="shared" si="16"/>
        <v/>
      </c>
    </row>
    <row r="1708" spans="5:33" ht="15" customHeight="1" x14ac:dyDescent="0.2">
      <c r="E1708" s="134" t="str">
        <f>IF(F1708="","",VLOOKUP(F1708,All_LTMN_Lookups!J1754:K2975,2))</f>
        <v/>
      </c>
      <c r="AG1708" s="183" t="str">
        <f t="shared" si="16"/>
        <v/>
      </c>
    </row>
    <row r="1709" spans="5:33" ht="15" customHeight="1" x14ac:dyDescent="0.2">
      <c r="E1709" s="134" t="str">
        <f>IF(F1709="","",VLOOKUP(F1709,All_LTMN_Lookups!J1755:K2976,2))</f>
        <v/>
      </c>
      <c r="AG1709" s="183" t="str">
        <f t="shared" si="16"/>
        <v/>
      </c>
    </row>
    <row r="1710" spans="5:33" ht="15" customHeight="1" x14ac:dyDescent="0.2">
      <c r="E1710" s="134" t="str">
        <f>IF(F1710="","",VLOOKUP(F1710,All_LTMN_Lookups!J1756:K2977,2))</f>
        <v/>
      </c>
      <c r="AG1710" s="183" t="str">
        <f t="shared" si="16"/>
        <v/>
      </c>
    </row>
    <row r="1711" spans="5:33" ht="15" customHeight="1" x14ac:dyDescent="0.2">
      <c r="E1711" s="134" t="str">
        <f>IF(F1711="","",VLOOKUP(F1711,All_LTMN_Lookups!J1757:K2978,2))</f>
        <v/>
      </c>
      <c r="AG1711" s="183" t="str">
        <f t="shared" si="16"/>
        <v/>
      </c>
    </row>
    <row r="1712" spans="5:33" ht="15" customHeight="1" x14ac:dyDescent="0.2">
      <c r="E1712" s="134" t="str">
        <f>IF(F1712="","",VLOOKUP(F1712,All_LTMN_Lookups!J1758:K2979,2))</f>
        <v/>
      </c>
      <c r="AG1712" s="183" t="str">
        <f t="shared" si="16"/>
        <v/>
      </c>
    </row>
    <row r="1713" spans="5:33" ht="15" customHeight="1" x14ac:dyDescent="0.2">
      <c r="E1713" s="134" t="str">
        <f>IF(F1713="","",VLOOKUP(F1713,All_LTMN_Lookups!J1759:K2980,2))</f>
        <v/>
      </c>
      <c r="AG1713" s="183" t="str">
        <f t="shared" si="16"/>
        <v/>
      </c>
    </row>
    <row r="1714" spans="5:33" ht="15" customHeight="1" x14ac:dyDescent="0.2">
      <c r="E1714" s="134" t="str">
        <f>IF(F1714="","",VLOOKUP(F1714,All_LTMN_Lookups!J1760:K2981,2))</f>
        <v/>
      </c>
      <c r="AG1714" s="183" t="str">
        <f t="shared" si="16"/>
        <v/>
      </c>
    </row>
    <row r="1715" spans="5:33" ht="15" customHeight="1" x14ac:dyDescent="0.2">
      <c r="E1715" s="134" t="str">
        <f>IF(F1715="","",VLOOKUP(F1715,All_LTMN_Lookups!J1761:K2982,2))</f>
        <v/>
      </c>
      <c r="AG1715" s="183" t="str">
        <f t="shared" si="16"/>
        <v/>
      </c>
    </row>
    <row r="1716" spans="5:33" ht="15" customHeight="1" x14ac:dyDescent="0.2">
      <c r="E1716" s="134" t="str">
        <f>IF(F1716="","",VLOOKUP(F1716,All_LTMN_Lookups!J1762:K2983,2))</f>
        <v/>
      </c>
      <c r="AG1716" s="183" t="str">
        <f t="shared" si="16"/>
        <v/>
      </c>
    </row>
    <row r="1717" spans="5:33" ht="15" customHeight="1" x14ac:dyDescent="0.2">
      <c r="E1717" s="134" t="str">
        <f>IF(F1717="","",VLOOKUP(F1717,All_LTMN_Lookups!J1763:K2984,2))</f>
        <v/>
      </c>
      <c r="AG1717" s="183" t="str">
        <f t="shared" si="16"/>
        <v/>
      </c>
    </row>
    <row r="1718" spans="5:33" ht="15" customHeight="1" x14ac:dyDescent="0.2">
      <c r="E1718" s="134" t="str">
        <f>IF(F1718="","",VLOOKUP(F1718,All_LTMN_Lookups!J1764:K2985,2))</f>
        <v/>
      </c>
      <c r="AG1718" s="183" t="str">
        <f t="shared" si="16"/>
        <v/>
      </c>
    </row>
    <row r="1719" spans="5:33" ht="15" customHeight="1" x14ac:dyDescent="0.2">
      <c r="E1719" s="134" t="str">
        <f>IF(F1719="","",VLOOKUP(F1719,All_LTMN_Lookups!J1765:K2986,2))</f>
        <v/>
      </c>
      <c r="AG1719" s="183" t="str">
        <f t="shared" si="16"/>
        <v/>
      </c>
    </row>
    <row r="1720" spans="5:33" ht="15" customHeight="1" x14ac:dyDescent="0.2">
      <c r="E1720" s="134" t="str">
        <f>IF(F1720="","",VLOOKUP(F1720,All_LTMN_Lookups!J1766:K2987,2))</f>
        <v/>
      </c>
      <c r="AG1720" s="183" t="str">
        <f t="shared" si="16"/>
        <v/>
      </c>
    </row>
    <row r="1721" spans="5:33" ht="15" customHeight="1" x14ac:dyDescent="0.2">
      <c r="E1721" s="134" t="str">
        <f>IF(F1721="","",VLOOKUP(F1721,All_LTMN_Lookups!J1767:K2988,2))</f>
        <v/>
      </c>
      <c r="AG1721" s="183" t="str">
        <f t="shared" si="16"/>
        <v/>
      </c>
    </row>
    <row r="1722" spans="5:33" ht="15" customHeight="1" x14ac:dyDescent="0.2">
      <c r="E1722" s="134" t="str">
        <f>IF(F1722="","",VLOOKUP(F1722,All_LTMN_Lookups!J1768:K2989,2))</f>
        <v/>
      </c>
      <c r="AG1722" s="183" t="str">
        <f t="shared" si="16"/>
        <v/>
      </c>
    </row>
    <row r="1723" spans="5:33" ht="15" customHeight="1" x14ac:dyDescent="0.2">
      <c r="E1723" s="134" t="str">
        <f>IF(F1723="","",VLOOKUP(F1723,All_LTMN_Lookups!J1769:K2990,2))</f>
        <v/>
      </c>
      <c r="AG1723" s="183" t="str">
        <f t="shared" si="16"/>
        <v/>
      </c>
    </row>
    <row r="1724" spans="5:33" ht="15" customHeight="1" x14ac:dyDescent="0.2">
      <c r="E1724" s="134" t="str">
        <f>IF(F1724="","",VLOOKUP(F1724,All_LTMN_Lookups!J1770:K2991,2))</f>
        <v/>
      </c>
      <c r="AG1724" s="183" t="str">
        <f t="shared" si="16"/>
        <v/>
      </c>
    </row>
    <row r="1725" spans="5:33" ht="15" customHeight="1" x14ac:dyDescent="0.2">
      <c r="E1725" s="134" t="str">
        <f>IF(F1725="","",VLOOKUP(F1725,All_LTMN_Lookups!J1771:K2992,2))</f>
        <v/>
      </c>
      <c r="AG1725" s="183" t="str">
        <f t="shared" si="16"/>
        <v/>
      </c>
    </row>
    <row r="1726" spans="5:33" ht="15" customHeight="1" x14ac:dyDescent="0.2">
      <c r="E1726" s="134" t="str">
        <f>IF(F1726="","",VLOOKUP(F1726,All_LTMN_Lookups!J1772:K2993,2))</f>
        <v/>
      </c>
      <c r="AG1726" s="183" t="str">
        <f t="shared" si="16"/>
        <v/>
      </c>
    </row>
    <row r="1727" spans="5:33" ht="15" customHeight="1" x14ac:dyDescent="0.2">
      <c r="E1727" s="134" t="str">
        <f>IF(F1727="","",VLOOKUP(F1727,All_LTMN_Lookups!J1773:K2994,2))</f>
        <v/>
      </c>
      <c r="AG1727" s="183" t="str">
        <f t="shared" si="16"/>
        <v/>
      </c>
    </row>
    <row r="1728" spans="5:33" ht="15" customHeight="1" x14ac:dyDescent="0.2">
      <c r="E1728" s="134" t="str">
        <f>IF(F1728="","",VLOOKUP(F1728,All_LTMN_Lookups!J1774:K2995,2))</f>
        <v/>
      </c>
      <c r="AG1728" s="183" t="str">
        <f t="shared" si="16"/>
        <v/>
      </c>
    </row>
    <row r="1729" spans="5:33" ht="15" customHeight="1" x14ac:dyDescent="0.2">
      <c r="E1729" s="134" t="str">
        <f>IF(F1729="","",VLOOKUP(F1729,All_LTMN_Lookups!J1775:K2996,2))</f>
        <v/>
      </c>
      <c r="AG1729" s="183" t="str">
        <f t="shared" si="16"/>
        <v/>
      </c>
    </row>
    <row r="1730" spans="5:33" ht="15" customHeight="1" x14ac:dyDescent="0.2">
      <c r="E1730" s="134" t="str">
        <f>IF(F1730="","",VLOOKUP(F1730,All_LTMN_Lookups!J1776:K2997,2))</f>
        <v/>
      </c>
      <c r="AG1730" s="183" t="str">
        <f t="shared" si="16"/>
        <v/>
      </c>
    </row>
    <row r="1731" spans="5:33" ht="15" customHeight="1" x14ac:dyDescent="0.2">
      <c r="E1731" s="134" t="str">
        <f>IF(F1731="","",VLOOKUP(F1731,All_LTMN_Lookups!J1777:K2998,2))</f>
        <v/>
      </c>
      <c r="AG1731" s="183" t="str">
        <f t="shared" si="16"/>
        <v/>
      </c>
    </row>
    <row r="1732" spans="5:33" ht="15" customHeight="1" x14ac:dyDescent="0.2">
      <c r="E1732" s="134" t="str">
        <f>IF(F1732="","",VLOOKUP(F1732,All_LTMN_Lookups!J1778:K2999,2))</f>
        <v/>
      </c>
      <c r="AG1732" s="183" t="str">
        <f t="shared" si="16"/>
        <v/>
      </c>
    </row>
    <row r="1733" spans="5:33" ht="15" customHeight="1" x14ac:dyDescent="0.2">
      <c r="E1733" s="134" t="str">
        <f>IF(F1733="","",VLOOKUP(F1733,All_LTMN_Lookups!J1779:K3000,2))</f>
        <v/>
      </c>
      <c r="AG1733" s="183" t="str">
        <f t="shared" si="16"/>
        <v/>
      </c>
    </row>
    <row r="1734" spans="5:33" ht="15" customHeight="1" x14ac:dyDescent="0.2">
      <c r="E1734" s="134" t="str">
        <f>IF(F1734="","",VLOOKUP(F1734,All_LTMN_Lookups!J1780:K3001,2))</f>
        <v/>
      </c>
      <c r="AG1734" s="183" t="str">
        <f t="shared" si="16"/>
        <v/>
      </c>
    </row>
    <row r="1735" spans="5:33" ht="15" customHeight="1" x14ac:dyDescent="0.2">
      <c r="E1735" s="134" t="str">
        <f>IF(F1735="","",VLOOKUP(F1735,All_LTMN_Lookups!J1781:K3002,2))</f>
        <v/>
      </c>
      <c r="AG1735" s="183" t="str">
        <f t="shared" si="16"/>
        <v/>
      </c>
    </row>
    <row r="1736" spans="5:33" ht="15" customHeight="1" x14ac:dyDescent="0.2">
      <c r="E1736" s="134" t="str">
        <f>IF(F1736="","",VLOOKUP(F1736,All_LTMN_Lookups!J1782:K3003,2))</f>
        <v/>
      </c>
      <c r="AG1736" s="183" t="str">
        <f t="shared" si="16"/>
        <v/>
      </c>
    </row>
    <row r="1737" spans="5:33" ht="15" customHeight="1" x14ac:dyDescent="0.2">
      <c r="E1737" s="134" t="str">
        <f>IF(F1737="","",VLOOKUP(F1737,All_LTMN_Lookups!J1783:K3004,2))</f>
        <v/>
      </c>
      <c r="AG1737" s="183" t="str">
        <f t="shared" si="16"/>
        <v/>
      </c>
    </row>
    <row r="1738" spans="5:33" ht="15" customHeight="1" x14ac:dyDescent="0.2">
      <c r="E1738" s="134" t="str">
        <f>IF(F1738="","",VLOOKUP(F1738,All_LTMN_Lookups!J1784:K3005,2))</f>
        <v/>
      </c>
      <c r="AG1738" s="183" t="str">
        <f t="shared" si="16"/>
        <v/>
      </c>
    </row>
    <row r="1739" spans="5:33" ht="15" customHeight="1" x14ac:dyDescent="0.2">
      <c r="E1739" s="134" t="str">
        <f>IF(F1739="","",VLOOKUP(F1739,All_LTMN_Lookups!J1785:K3006,2))</f>
        <v/>
      </c>
      <c r="AG1739" s="183" t="str">
        <f t="shared" ref="AG1739:AG1802" si="17">IF(F1739&lt;&gt;"",SUM(G1739:AE1739), "")</f>
        <v/>
      </c>
    </row>
    <row r="1740" spans="5:33" ht="15" customHeight="1" x14ac:dyDescent="0.2">
      <c r="E1740" s="134" t="str">
        <f>IF(F1740="","",VLOOKUP(F1740,All_LTMN_Lookups!J1786:K3007,2))</f>
        <v/>
      </c>
      <c r="AG1740" s="183" t="str">
        <f t="shared" si="17"/>
        <v/>
      </c>
    </row>
    <row r="1741" spans="5:33" ht="15" customHeight="1" x14ac:dyDescent="0.2">
      <c r="E1741" s="134" t="str">
        <f>IF(F1741="","",VLOOKUP(F1741,All_LTMN_Lookups!J1787:K3008,2))</f>
        <v/>
      </c>
      <c r="AG1741" s="183" t="str">
        <f t="shared" si="17"/>
        <v/>
      </c>
    </row>
    <row r="1742" spans="5:33" ht="15" customHeight="1" x14ac:dyDescent="0.2">
      <c r="E1742" s="134" t="str">
        <f>IF(F1742="","",VLOOKUP(F1742,All_LTMN_Lookups!J1788:K3009,2))</f>
        <v/>
      </c>
      <c r="AG1742" s="183" t="str">
        <f t="shared" si="17"/>
        <v/>
      </c>
    </row>
    <row r="1743" spans="5:33" ht="15" customHeight="1" x14ac:dyDescent="0.2">
      <c r="E1743" s="134" t="str">
        <f>IF(F1743="","",VLOOKUP(F1743,All_LTMN_Lookups!J1789:K3010,2))</f>
        <v/>
      </c>
      <c r="AG1743" s="183" t="str">
        <f t="shared" si="17"/>
        <v/>
      </c>
    </row>
    <row r="1744" spans="5:33" ht="15" customHeight="1" x14ac:dyDescent="0.2">
      <c r="E1744" s="134" t="str">
        <f>IF(F1744="","",VLOOKUP(F1744,All_LTMN_Lookups!J1790:K3011,2))</f>
        <v/>
      </c>
      <c r="AG1744" s="183" t="str">
        <f t="shared" si="17"/>
        <v/>
      </c>
    </row>
    <row r="1745" spans="5:33" ht="15" customHeight="1" x14ac:dyDescent="0.2">
      <c r="E1745" s="134" t="str">
        <f>IF(F1745="","",VLOOKUP(F1745,All_LTMN_Lookups!J1791:K3012,2))</f>
        <v/>
      </c>
      <c r="AG1745" s="183" t="str">
        <f t="shared" si="17"/>
        <v/>
      </c>
    </row>
    <row r="1746" spans="5:33" ht="15" customHeight="1" x14ac:dyDescent="0.2">
      <c r="E1746" s="134" t="str">
        <f>IF(F1746="","",VLOOKUP(F1746,All_LTMN_Lookups!J1792:K3013,2))</f>
        <v/>
      </c>
      <c r="AG1746" s="183" t="str">
        <f t="shared" si="17"/>
        <v/>
      </c>
    </row>
    <row r="1747" spans="5:33" ht="15" customHeight="1" x14ac:dyDescent="0.2">
      <c r="E1747" s="134" t="str">
        <f>IF(F1747="","",VLOOKUP(F1747,All_LTMN_Lookups!J1793:K3014,2))</f>
        <v/>
      </c>
      <c r="AG1747" s="183" t="str">
        <f t="shared" si="17"/>
        <v/>
      </c>
    </row>
    <row r="1748" spans="5:33" ht="15" customHeight="1" x14ac:dyDescent="0.2">
      <c r="E1748" s="134" t="str">
        <f>IF(F1748="","",VLOOKUP(F1748,All_LTMN_Lookups!J1794:K3015,2))</f>
        <v/>
      </c>
      <c r="AG1748" s="183" t="str">
        <f t="shared" si="17"/>
        <v/>
      </c>
    </row>
    <row r="1749" spans="5:33" ht="15" customHeight="1" x14ac:dyDescent="0.2">
      <c r="E1749" s="134" t="str">
        <f>IF(F1749="","",VLOOKUP(F1749,All_LTMN_Lookups!J1795:K3016,2))</f>
        <v/>
      </c>
      <c r="AG1749" s="183" t="str">
        <f t="shared" si="17"/>
        <v/>
      </c>
    </row>
    <row r="1750" spans="5:33" ht="15" customHeight="1" x14ac:dyDescent="0.2">
      <c r="E1750" s="134" t="str">
        <f>IF(F1750="","",VLOOKUP(F1750,All_LTMN_Lookups!J1796:K3017,2))</f>
        <v/>
      </c>
      <c r="AG1750" s="183" t="str">
        <f t="shared" si="17"/>
        <v/>
      </c>
    </row>
    <row r="1751" spans="5:33" ht="15" customHeight="1" x14ac:dyDescent="0.2">
      <c r="E1751" s="134" t="str">
        <f>IF(F1751="","",VLOOKUP(F1751,All_LTMN_Lookups!J1797:K3018,2))</f>
        <v/>
      </c>
      <c r="AG1751" s="183" t="str">
        <f t="shared" si="17"/>
        <v/>
      </c>
    </row>
    <row r="1752" spans="5:33" ht="15" customHeight="1" x14ac:dyDescent="0.2">
      <c r="E1752" s="134" t="str">
        <f>IF(F1752="","",VLOOKUP(F1752,All_LTMN_Lookups!J1798:K3019,2))</f>
        <v/>
      </c>
      <c r="AG1752" s="183" t="str">
        <f t="shared" si="17"/>
        <v/>
      </c>
    </row>
    <row r="1753" spans="5:33" ht="15" customHeight="1" x14ac:dyDescent="0.2">
      <c r="E1753" s="134" t="str">
        <f>IF(F1753="","",VLOOKUP(F1753,All_LTMN_Lookups!J1799:K3020,2))</f>
        <v/>
      </c>
      <c r="AG1753" s="183" t="str">
        <f t="shared" si="17"/>
        <v/>
      </c>
    </row>
    <row r="1754" spans="5:33" ht="15" customHeight="1" x14ac:dyDescent="0.2">
      <c r="E1754" s="134" t="str">
        <f>IF(F1754="","",VLOOKUP(F1754,All_LTMN_Lookups!J1800:K3021,2))</f>
        <v/>
      </c>
      <c r="AG1754" s="183" t="str">
        <f t="shared" si="17"/>
        <v/>
      </c>
    </row>
    <row r="1755" spans="5:33" ht="15" customHeight="1" x14ac:dyDescent="0.2">
      <c r="E1755" s="134" t="str">
        <f>IF(F1755="","",VLOOKUP(F1755,All_LTMN_Lookups!J1801:K3022,2))</f>
        <v/>
      </c>
      <c r="AG1755" s="183" t="str">
        <f t="shared" si="17"/>
        <v/>
      </c>
    </row>
    <row r="1756" spans="5:33" ht="15" customHeight="1" x14ac:dyDescent="0.2">
      <c r="E1756" s="134" t="str">
        <f>IF(F1756="","",VLOOKUP(F1756,All_LTMN_Lookups!J1802:K3023,2))</f>
        <v/>
      </c>
      <c r="AG1756" s="183" t="str">
        <f t="shared" si="17"/>
        <v/>
      </c>
    </row>
    <row r="1757" spans="5:33" ht="15" customHeight="1" x14ac:dyDescent="0.2">
      <c r="E1757" s="134" t="str">
        <f>IF(F1757="","",VLOOKUP(F1757,All_LTMN_Lookups!J1803:K3024,2))</f>
        <v/>
      </c>
      <c r="AG1757" s="183" t="str">
        <f t="shared" si="17"/>
        <v/>
      </c>
    </row>
    <row r="1758" spans="5:33" ht="15" customHeight="1" x14ac:dyDescent="0.2">
      <c r="E1758" s="134" t="str">
        <f>IF(F1758="","",VLOOKUP(F1758,All_LTMN_Lookups!J1804:K3025,2))</f>
        <v/>
      </c>
      <c r="AG1758" s="183" t="str">
        <f t="shared" si="17"/>
        <v/>
      </c>
    </row>
    <row r="1759" spans="5:33" ht="15" customHeight="1" x14ac:dyDescent="0.2">
      <c r="E1759" s="134" t="str">
        <f>IF(F1759="","",VLOOKUP(F1759,All_LTMN_Lookups!J1805:K3026,2))</f>
        <v/>
      </c>
      <c r="AG1759" s="183" t="str">
        <f t="shared" si="17"/>
        <v/>
      </c>
    </row>
    <row r="1760" spans="5:33" ht="15" customHeight="1" x14ac:dyDescent="0.2">
      <c r="E1760" s="134" t="str">
        <f>IF(F1760="","",VLOOKUP(F1760,All_LTMN_Lookups!J1806:K3027,2))</f>
        <v/>
      </c>
      <c r="AG1760" s="183" t="str">
        <f t="shared" si="17"/>
        <v/>
      </c>
    </row>
    <row r="1761" spans="5:33" ht="15" customHeight="1" x14ac:dyDescent="0.2">
      <c r="E1761" s="134" t="str">
        <f>IF(F1761="","",VLOOKUP(F1761,All_LTMN_Lookups!J1807:K3028,2))</f>
        <v/>
      </c>
      <c r="AG1761" s="183" t="str">
        <f t="shared" si="17"/>
        <v/>
      </c>
    </row>
    <row r="1762" spans="5:33" ht="15" customHeight="1" x14ac:dyDescent="0.2">
      <c r="E1762" s="134" t="str">
        <f>IF(F1762="","",VLOOKUP(F1762,All_LTMN_Lookups!J1808:K3029,2))</f>
        <v/>
      </c>
      <c r="AG1762" s="183" t="str">
        <f t="shared" si="17"/>
        <v/>
      </c>
    </row>
    <row r="1763" spans="5:33" ht="15" customHeight="1" x14ac:dyDescent="0.2">
      <c r="E1763" s="134" t="str">
        <f>IF(F1763="","",VLOOKUP(F1763,All_LTMN_Lookups!J1809:K3030,2))</f>
        <v/>
      </c>
      <c r="AG1763" s="183" t="str">
        <f t="shared" si="17"/>
        <v/>
      </c>
    </row>
    <row r="1764" spans="5:33" ht="15" customHeight="1" x14ac:dyDescent="0.2">
      <c r="E1764" s="134" t="str">
        <f>IF(F1764="","",VLOOKUP(F1764,All_LTMN_Lookups!J1810:K3031,2))</f>
        <v/>
      </c>
      <c r="AG1764" s="183" t="str">
        <f t="shared" si="17"/>
        <v/>
      </c>
    </row>
    <row r="1765" spans="5:33" ht="15" customHeight="1" x14ac:dyDescent="0.2">
      <c r="E1765" s="134" t="str">
        <f>IF(F1765="","",VLOOKUP(F1765,All_LTMN_Lookups!J1811:K3032,2))</f>
        <v/>
      </c>
      <c r="AG1765" s="183" t="str">
        <f t="shared" si="17"/>
        <v/>
      </c>
    </row>
    <row r="1766" spans="5:33" ht="15" customHeight="1" x14ac:dyDescent="0.2">
      <c r="E1766" s="134" t="str">
        <f>IF(F1766="","",VLOOKUP(F1766,All_LTMN_Lookups!J1812:K3033,2))</f>
        <v/>
      </c>
      <c r="AG1766" s="183" t="str">
        <f t="shared" si="17"/>
        <v/>
      </c>
    </row>
    <row r="1767" spans="5:33" ht="15" customHeight="1" x14ac:dyDescent="0.2">
      <c r="E1767" s="134" t="str">
        <f>IF(F1767="","",VLOOKUP(F1767,All_LTMN_Lookups!J1813:K3034,2))</f>
        <v/>
      </c>
      <c r="AG1767" s="183" t="str">
        <f t="shared" si="17"/>
        <v/>
      </c>
    </row>
    <row r="1768" spans="5:33" ht="15" customHeight="1" x14ac:dyDescent="0.2">
      <c r="E1768" s="134" t="str">
        <f>IF(F1768="","",VLOOKUP(F1768,All_LTMN_Lookups!J1814:K3035,2))</f>
        <v/>
      </c>
      <c r="AG1768" s="183" t="str">
        <f t="shared" si="17"/>
        <v/>
      </c>
    </row>
    <row r="1769" spans="5:33" ht="15" customHeight="1" x14ac:dyDescent="0.2">
      <c r="E1769" s="134" t="str">
        <f>IF(F1769="","",VLOOKUP(F1769,All_LTMN_Lookups!J1815:K3036,2))</f>
        <v/>
      </c>
      <c r="AG1769" s="183" t="str">
        <f t="shared" si="17"/>
        <v/>
      </c>
    </row>
    <row r="1770" spans="5:33" ht="15" customHeight="1" x14ac:dyDescent="0.2">
      <c r="E1770" s="134" t="str">
        <f>IF(F1770="","",VLOOKUP(F1770,All_LTMN_Lookups!J1816:K3037,2))</f>
        <v/>
      </c>
      <c r="AG1770" s="183" t="str">
        <f t="shared" si="17"/>
        <v/>
      </c>
    </row>
    <row r="1771" spans="5:33" ht="15" customHeight="1" x14ac:dyDescent="0.2">
      <c r="E1771" s="134" t="str">
        <f>IF(F1771="","",VLOOKUP(F1771,All_LTMN_Lookups!J1817:K3038,2))</f>
        <v/>
      </c>
      <c r="AG1771" s="183" t="str">
        <f t="shared" si="17"/>
        <v/>
      </c>
    </row>
    <row r="1772" spans="5:33" ht="15" customHeight="1" x14ac:dyDescent="0.2">
      <c r="E1772" s="134" t="str">
        <f>IF(F1772="","",VLOOKUP(F1772,All_LTMN_Lookups!J1818:K3039,2))</f>
        <v/>
      </c>
      <c r="AG1772" s="183" t="str">
        <f t="shared" si="17"/>
        <v/>
      </c>
    </row>
    <row r="1773" spans="5:33" ht="15" customHeight="1" x14ac:dyDescent="0.2">
      <c r="E1773" s="134" t="str">
        <f>IF(F1773="","",VLOOKUP(F1773,All_LTMN_Lookups!J1819:K3040,2))</f>
        <v/>
      </c>
      <c r="AG1773" s="183" t="str">
        <f t="shared" si="17"/>
        <v/>
      </c>
    </row>
    <row r="1774" spans="5:33" ht="15" customHeight="1" x14ac:dyDescent="0.2">
      <c r="E1774" s="134" t="str">
        <f>IF(F1774="","",VLOOKUP(F1774,All_LTMN_Lookups!J1820:K3041,2))</f>
        <v/>
      </c>
      <c r="AG1774" s="183" t="str">
        <f t="shared" si="17"/>
        <v/>
      </c>
    </row>
    <row r="1775" spans="5:33" ht="15" customHeight="1" x14ac:dyDescent="0.2">
      <c r="E1775" s="134" t="str">
        <f>IF(F1775="","",VLOOKUP(F1775,All_LTMN_Lookups!J1821:K3042,2))</f>
        <v/>
      </c>
      <c r="AG1775" s="183" t="str">
        <f t="shared" si="17"/>
        <v/>
      </c>
    </row>
    <row r="1776" spans="5:33" ht="15" customHeight="1" x14ac:dyDescent="0.2">
      <c r="E1776" s="134" t="str">
        <f>IF(F1776="","",VLOOKUP(F1776,All_LTMN_Lookups!J1822:K3043,2))</f>
        <v/>
      </c>
      <c r="AG1776" s="183" t="str">
        <f t="shared" si="17"/>
        <v/>
      </c>
    </row>
    <row r="1777" spans="5:33" ht="15" customHeight="1" x14ac:dyDescent="0.2">
      <c r="E1777" s="134" t="str">
        <f>IF(F1777="","",VLOOKUP(F1777,All_LTMN_Lookups!J1823:K3044,2))</f>
        <v/>
      </c>
      <c r="AG1777" s="183" t="str">
        <f t="shared" si="17"/>
        <v/>
      </c>
    </row>
    <row r="1778" spans="5:33" ht="15" customHeight="1" x14ac:dyDescent="0.2">
      <c r="E1778" s="134" t="str">
        <f>IF(F1778="","",VLOOKUP(F1778,All_LTMN_Lookups!J1824:K3045,2))</f>
        <v/>
      </c>
      <c r="AG1778" s="183" t="str">
        <f t="shared" si="17"/>
        <v/>
      </c>
    </row>
    <row r="1779" spans="5:33" ht="15" customHeight="1" x14ac:dyDescent="0.2">
      <c r="E1779" s="134" t="str">
        <f>IF(F1779="","",VLOOKUP(F1779,All_LTMN_Lookups!J1825:K3046,2))</f>
        <v/>
      </c>
      <c r="AG1779" s="183" t="str">
        <f t="shared" si="17"/>
        <v/>
      </c>
    </row>
    <row r="1780" spans="5:33" ht="15" customHeight="1" x14ac:dyDescent="0.2">
      <c r="E1780" s="134" t="str">
        <f>IF(F1780="","",VLOOKUP(F1780,All_LTMN_Lookups!J1826:K3047,2))</f>
        <v/>
      </c>
      <c r="AG1780" s="183" t="str">
        <f t="shared" si="17"/>
        <v/>
      </c>
    </row>
    <row r="1781" spans="5:33" ht="15" customHeight="1" x14ac:dyDescent="0.2">
      <c r="E1781" s="134" t="str">
        <f>IF(F1781="","",VLOOKUP(F1781,All_LTMN_Lookups!J1827:K3048,2))</f>
        <v/>
      </c>
      <c r="AG1781" s="183" t="str">
        <f t="shared" si="17"/>
        <v/>
      </c>
    </row>
    <row r="1782" spans="5:33" ht="15" customHeight="1" x14ac:dyDescent="0.2">
      <c r="E1782" s="134" t="str">
        <f>IF(F1782="","",VLOOKUP(F1782,All_LTMN_Lookups!J1828:K3049,2))</f>
        <v/>
      </c>
      <c r="AG1782" s="183" t="str">
        <f t="shared" si="17"/>
        <v/>
      </c>
    </row>
    <row r="1783" spans="5:33" ht="15" customHeight="1" x14ac:dyDescent="0.2">
      <c r="E1783" s="134" t="str">
        <f>IF(F1783="","",VLOOKUP(F1783,All_LTMN_Lookups!J1829:K3050,2))</f>
        <v/>
      </c>
      <c r="AG1783" s="183" t="str">
        <f t="shared" si="17"/>
        <v/>
      </c>
    </row>
    <row r="1784" spans="5:33" ht="15" customHeight="1" x14ac:dyDescent="0.2">
      <c r="E1784" s="134" t="str">
        <f>IF(F1784="","",VLOOKUP(F1784,All_LTMN_Lookups!J1830:K3051,2))</f>
        <v/>
      </c>
      <c r="AG1784" s="183" t="str">
        <f t="shared" si="17"/>
        <v/>
      </c>
    </row>
    <row r="1785" spans="5:33" ht="15" customHeight="1" x14ac:dyDescent="0.2">
      <c r="E1785" s="134" t="str">
        <f>IF(F1785="","",VLOOKUP(F1785,All_LTMN_Lookups!J1831:K3052,2))</f>
        <v/>
      </c>
      <c r="AG1785" s="183" t="str">
        <f t="shared" si="17"/>
        <v/>
      </c>
    </row>
    <row r="1786" spans="5:33" ht="15" customHeight="1" x14ac:dyDescent="0.2">
      <c r="E1786" s="134" t="str">
        <f>IF(F1786="","",VLOOKUP(F1786,All_LTMN_Lookups!J1832:K3053,2))</f>
        <v/>
      </c>
      <c r="AG1786" s="183" t="str">
        <f t="shared" si="17"/>
        <v/>
      </c>
    </row>
    <row r="1787" spans="5:33" ht="15" customHeight="1" x14ac:dyDescent="0.2">
      <c r="E1787" s="134" t="str">
        <f>IF(F1787="","",VLOOKUP(F1787,All_LTMN_Lookups!J1833:K3054,2))</f>
        <v/>
      </c>
      <c r="AG1787" s="183" t="str">
        <f t="shared" si="17"/>
        <v/>
      </c>
    </row>
    <row r="1788" spans="5:33" ht="15" customHeight="1" x14ac:dyDescent="0.2">
      <c r="E1788" s="134" t="str">
        <f>IF(F1788="","",VLOOKUP(F1788,All_LTMN_Lookups!J1834:K3055,2))</f>
        <v/>
      </c>
      <c r="AG1788" s="183" t="str">
        <f t="shared" si="17"/>
        <v/>
      </c>
    </row>
    <row r="1789" spans="5:33" ht="15" customHeight="1" x14ac:dyDescent="0.2">
      <c r="E1789" s="134" t="str">
        <f>IF(F1789="","",VLOOKUP(F1789,All_LTMN_Lookups!J1835:K3056,2))</f>
        <v/>
      </c>
      <c r="AG1789" s="183" t="str">
        <f t="shared" si="17"/>
        <v/>
      </c>
    </row>
    <row r="1790" spans="5:33" ht="15" customHeight="1" x14ac:dyDescent="0.2">
      <c r="E1790" s="134" t="str">
        <f>IF(F1790="","",VLOOKUP(F1790,All_LTMN_Lookups!J1836:K3057,2))</f>
        <v/>
      </c>
      <c r="AG1790" s="183" t="str">
        <f t="shared" si="17"/>
        <v/>
      </c>
    </row>
    <row r="1791" spans="5:33" ht="15" customHeight="1" x14ac:dyDescent="0.2">
      <c r="E1791" s="134" t="str">
        <f>IF(F1791="","",VLOOKUP(F1791,All_LTMN_Lookups!J1837:K3058,2))</f>
        <v/>
      </c>
      <c r="AG1791" s="183" t="str">
        <f t="shared" si="17"/>
        <v/>
      </c>
    </row>
    <row r="1792" spans="5:33" ht="15" customHeight="1" x14ac:dyDescent="0.2">
      <c r="E1792" s="134" t="str">
        <f>IF(F1792="","",VLOOKUP(F1792,All_LTMN_Lookups!J1838:K3059,2))</f>
        <v/>
      </c>
      <c r="AG1792" s="183" t="str">
        <f t="shared" si="17"/>
        <v/>
      </c>
    </row>
    <row r="1793" spans="5:33" ht="15" customHeight="1" x14ac:dyDescent="0.2">
      <c r="E1793" s="134" t="str">
        <f>IF(F1793="","",VLOOKUP(F1793,All_LTMN_Lookups!J1839:K3060,2))</f>
        <v/>
      </c>
      <c r="AG1793" s="183" t="str">
        <f t="shared" si="17"/>
        <v/>
      </c>
    </row>
    <row r="1794" spans="5:33" ht="15" customHeight="1" x14ac:dyDescent="0.2">
      <c r="E1794" s="134" t="str">
        <f>IF(F1794="","",VLOOKUP(F1794,All_LTMN_Lookups!J1840:K3061,2))</f>
        <v/>
      </c>
      <c r="AG1794" s="183" t="str">
        <f t="shared" si="17"/>
        <v/>
      </c>
    </row>
    <row r="1795" spans="5:33" ht="15" customHeight="1" x14ac:dyDescent="0.2">
      <c r="E1795" s="134" t="str">
        <f>IF(F1795="","",VLOOKUP(F1795,All_LTMN_Lookups!J1841:K3062,2))</f>
        <v/>
      </c>
      <c r="AG1795" s="183" t="str">
        <f t="shared" si="17"/>
        <v/>
      </c>
    </row>
    <row r="1796" spans="5:33" ht="15" customHeight="1" x14ac:dyDescent="0.2">
      <c r="E1796" s="134" t="str">
        <f>IF(F1796="","",VLOOKUP(F1796,All_LTMN_Lookups!J1842:K3063,2))</f>
        <v/>
      </c>
      <c r="AG1796" s="183" t="str">
        <f t="shared" si="17"/>
        <v/>
      </c>
    </row>
    <row r="1797" spans="5:33" ht="15" customHeight="1" x14ac:dyDescent="0.2">
      <c r="E1797" s="134" t="str">
        <f>IF(F1797="","",VLOOKUP(F1797,All_LTMN_Lookups!J1843:K3064,2))</f>
        <v/>
      </c>
      <c r="AG1797" s="183" t="str">
        <f t="shared" si="17"/>
        <v/>
      </c>
    </row>
    <row r="1798" spans="5:33" ht="15" customHeight="1" x14ac:dyDescent="0.2">
      <c r="E1798" s="134" t="str">
        <f>IF(F1798="","",VLOOKUP(F1798,All_LTMN_Lookups!J1844:K3065,2))</f>
        <v/>
      </c>
      <c r="AG1798" s="183" t="str">
        <f t="shared" si="17"/>
        <v/>
      </c>
    </row>
    <row r="1799" spans="5:33" ht="15" customHeight="1" x14ac:dyDescent="0.2">
      <c r="E1799" s="134" t="str">
        <f>IF(F1799="","",VLOOKUP(F1799,All_LTMN_Lookups!J1845:K3066,2))</f>
        <v/>
      </c>
      <c r="AG1799" s="183" t="str">
        <f t="shared" si="17"/>
        <v/>
      </c>
    </row>
    <row r="1800" spans="5:33" ht="15" customHeight="1" x14ac:dyDescent="0.2">
      <c r="E1800" s="134" t="str">
        <f>IF(F1800="","",VLOOKUP(F1800,All_LTMN_Lookups!J1846:K3067,2))</f>
        <v/>
      </c>
      <c r="AG1800" s="183" t="str">
        <f t="shared" si="17"/>
        <v/>
      </c>
    </row>
    <row r="1801" spans="5:33" ht="15" customHeight="1" x14ac:dyDescent="0.2">
      <c r="E1801" s="134" t="str">
        <f>IF(F1801="","",VLOOKUP(F1801,All_LTMN_Lookups!J1847:K3068,2))</f>
        <v/>
      </c>
      <c r="AG1801" s="183" t="str">
        <f t="shared" si="17"/>
        <v/>
      </c>
    </row>
    <row r="1802" spans="5:33" ht="15" customHeight="1" x14ac:dyDescent="0.2">
      <c r="E1802" s="134" t="str">
        <f>IF(F1802="","",VLOOKUP(F1802,All_LTMN_Lookups!J1848:K3069,2))</f>
        <v/>
      </c>
      <c r="AG1802" s="183" t="str">
        <f t="shared" si="17"/>
        <v/>
      </c>
    </row>
    <row r="1803" spans="5:33" ht="15" customHeight="1" x14ac:dyDescent="0.2">
      <c r="E1803" s="134" t="str">
        <f>IF(F1803="","",VLOOKUP(F1803,All_LTMN_Lookups!J1849:K3070,2))</f>
        <v/>
      </c>
      <c r="AG1803" s="183" t="str">
        <f t="shared" ref="AG1803:AG1866" si="18">IF(F1803&lt;&gt;"",SUM(G1803:AE1803), "")</f>
        <v/>
      </c>
    </row>
    <row r="1804" spans="5:33" ht="15" customHeight="1" x14ac:dyDescent="0.2">
      <c r="E1804" s="134" t="str">
        <f>IF(F1804="","",VLOOKUP(F1804,All_LTMN_Lookups!J1850:K3071,2))</f>
        <v/>
      </c>
      <c r="AG1804" s="183" t="str">
        <f t="shared" si="18"/>
        <v/>
      </c>
    </row>
    <row r="1805" spans="5:33" ht="15" customHeight="1" x14ac:dyDescent="0.2">
      <c r="E1805" s="134" t="str">
        <f>IF(F1805="","",VLOOKUP(F1805,All_LTMN_Lookups!J1851:K3072,2))</f>
        <v/>
      </c>
      <c r="AG1805" s="183" t="str">
        <f t="shared" si="18"/>
        <v/>
      </c>
    </row>
    <row r="1806" spans="5:33" ht="15" customHeight="1" x14ac:dyDescent="0.2">
      <c r="E1806" s="134" t="str">
        <f>IF(F1806="","",VLOOKUP(F1806,All_LTMN_Lookups!J1852:K3073,2))</f>
        <v/>
      </c>
      <c r="AG1806" s="183" t="str">
        <f t="shared" si="18"/>
        <v/>
      </c>
    </row>
    <row r="1807" spans="5:33" ht="15" customHeight="1" x14ac:dyDescent="0.2">
      <c r="E1807" s="134" t="str">
        <f>IF(F1807="","",VLOOKUP(F1807,All_LTMN_Lookups!J1853:K3074,2))</f>
        <v/>
      </c>
      <c r="AG1807" s="183" t="str">
        <f t="shared" si="18"/>
        <v/>
      </c>
    </row>
    <row r="1808" spans="5:33" ht="15" customHeight="1" x14ac:dyDescent="0.2">
      <c r="E1808" s="134" t="str">
        <f>IF(F1808="","",VLOOKUP(F1808,All_LTMN_Lookups!J1854:K3075,2))</f>
        <v/>
      </c>
      <c r="AG1808" s="183" t="str">
        <f t="shared" si="18"/>
        <v/>
      </c>
    </row>
    <row r="1809" spans="5:33" ht="15" customHeight="1" x14ac:dyDescent="0.2">
      <c r="E1809" s="134" t="str">
        <f>IF(F1809="","",VLOOKUP(F1809,All_LTMN_Lookups!J1855:K3076,2))</f>
        <v/>
      </c>
      <c r="AG1809" s="183" t="str">
        <f t="shared" si="18"/>
        <v/>
      </c>
    </row>
    <row r="1810" spans="5:33" ht="15" customHeight="1" x14ac:dyDescent="0.2">
      <c r="E1810" s="134" t="str">
        <f>IF(F1810="","",VLOOKUP(F1810,All_LTMN_Lookups!J1856:K3077,2))</f>
        <v/>
      </c>
      <c r="AG1810" s="183" t="str">
        <f t="shared" si="18"/>
        <v/>
      </c>
    </row>
    <row r="1811" spans="5:33" ht="15" customHeight="1" x14ac:dyDescent="0.2">
      <c r="E1811" s="134" t="str">
        <f>IF(F1811="","",VLOOKUP(F1811,All_LTMN_Lookups!J1857:K3078,2))</f>
        <v/>
      </c>
      <c r="AG1811" s="183" t="str">
        <f t="shared" si="18"/>
        <v/>
      </c>
    </row>
    <row r="1812" spans="5:33" ht="15" customHeight="1" x14ac:dyDescent="0.2">
      <c r="E1812" s="134" t="str">
        <f>IF(F1812="","",VLOOKUP(F1812,All_LTMN_Lookups!J1858:K3079,2))</f>
        <v/>
      </c>
      <c r="AG1812" s="183" t="str">
        <f t="shared" si="18"/>
        <v/>
      </c>
    </row>
    <row r="1813" spans="5:33" ht="15" customHeight="1" x14ac:dyDescent="0.2">
      <c r="E1813" s="134" t="str">
        <f>IF(F1813="","",VLOOKUP(F1813,All_LTMN_Lookups!J1859:K3080,2))</f>
        <v/>
      </c>
      <c r="AG1813" s="183" t="str">
        <f t="shared" si="18"/>
        <v/>
      </c>
    </row>
    <row r="1814" spans="5:33" ht="15" customHeight="1" x14ac:dyDescent="0.2">
      <c r="E1814" s="134" t="str">
        <f>IF(F1814="","",VLOOKUP(F1814,All_LTMN_Lookups!J1860:K3081,2))</f>
        <v/>
      </c>
      <c r="AG1814" s="183" t="str">
        <f t="shared" si="18"/>
        <v/>
      </c>
    </row>
    <row r="1815" spans="5:33" ht="15" customHeight="1" x14ac:dyDescent="0.2">
      <c r="E1815" s="134" t="str">
        <f>IF(F1815="","",VLOOKUP(F1815,All_LTMN_Lookups!J1861:K3082,2))</f>
        <v/>
      </c>
      <c r="AG1815" s="183" t="str">
        <f t="shared" si="18"/>
        <v/>
      </c>
    </row>
    <row r="1816" spans="5:33" ht="15" customHeight="1" x14ac:dyDescent="0.2">
      <c r="E1816" s="134" t="str">
        <f>IF(F1816="","",VLOOKUP(F1816,All_LTMN_Lookups!J1862:K3083,2))</f>
        <v/>
      </c>
      <c r="AG1816" s="183" t="str">
        <f t="shared" si="18"/>
        <v/>
      </c>
    </row>
    <row r="1817" spans="5:33" ht="15" customHeight="1" x14ac:dyDescent="0.2">
      <c r="E1817" s="134" t="str">
        <f>IF(F1817="","",VLOOKUP(F1817,All_LTMN_Lookups!J1863:K3084,2))</f>
        <v/>
      </c>
      <c r="AG1817" s="183" t="str">
        <f t="shared" si="18"/>
        <v/>
      </c>
    </row>
    <row r="1818" spans="5:33" ht="15" customHeight="1" x14ac:dyDescent="0.2">
      <c r="E1818" s="134" t="str">
        <f>IF(F1818="","",VLOOKUP(F1818,All_LTMN_Lookups!J1864:K3085,2))</f>
        <v/>
      </c>
      <c r="AG1818" s="183" t="str">
        <f t="shared" si="18"/>
        <v/>
      </c>
    </row>
    <row r="1819" spans="5:33" ht="15" customHeight="1" x14ac:dyDescent="0.2">
      <c r="E1819" s="134" t="str">
        <f>IF(F1819="","",VLOOKUP(F1819,All_LTMN_Lookups!J1865:K3086,2))</f>
        <v/>
      </c>
      <c r="AG1819" s="183" t="str">
        <f t="shared" si="18"/>
        <v/>
      </c>
    </row>
    <row r="1820" spans="5:33" ht="15" customHeight="1" x14ac:dyDescent="0.2">
      <c r="E1820" s="134" t="str">
        <f>IF(F1820="","",VLOOKUP(F1820,All_LTMN_Lookups!J1866:K3087,2))</f>
        <v/>
      </c>
      <c r="AG1820" s="183" t="str">
        <f t="shared" si="18"/>
        <v/>
      </c>
    </row>
    <row r="1821" spans="5:33" ht="15" customHeight="1" x14ac:dyDescent="0.2">
      <c r="E1821" s="134" t="str">
        <f>IF(F1821="","",VLOOKUP(F1821,All_LTMN_Lookups!J1867:K3088,2))</f>
        <v/>
      </c>
      <c r="AG1821" s="183" t="str">
        <f t="shared" si="18"/>
        <v/>
      </c>
    </row>
    <row r="1822" spans="5:33" ht="15" customHeight="1" x14ac:dyDescent="0.2">
      <c r="E1822" s="134" t="str">
        <f>IF(F1822="","",VLOOKUP(F1822,All_LTMN_Lookups!J1868:K3089,2))</f>
        <v/>
      </c>
      <c r="AG1822" s="183" t="str">
        <f t="shared" si="18"/>
        <v/>
      </c>
    </row>
    <row r="1823" spans="5:33" ht="15" customHeight="1" x14ac:dyDescent="0.2">
      <c r="E1823" s="134" t="str">
        <f>IF(F1823="","",VLOOKUP(F1823,All_LTMN_Lookups!J1869:K3090,2))</f>
        <v/>
      </c>
      <c r="AG1823" s="183" t="str">
        <f t="shared" si="18"/>
        <v/>
      </c>
    </row>
    <row r="1824" spans="5:33" ht="15" customHeight="1" x14ac:dyDescent="0.2">
      <c r="E1824" s="134" t="str">
        <f>IF(F1824="","",VLOOKUP(F1824,All_LTMN_Lookups!J1870:K3091,2))</f>
        <v/>
      </c>
      <c r="AG1824" s="183" t="str">
        <f t="shared" si="18"/>
        <v/>
      </c>
    </row>
    <row r="1825" spans="5:33" ht="15" customHeight="1" x14ac:dyDescent="0.2">
      <c r="E1825" s="134" t="str">
        <f>IF(F1825="","",VLOOKUP(F1825,All_LTMN_Lookups!J1871:K3092,2))</f>
        <v/>
      </c>
      <c r="AG1825" s="183" t="str">
        <f t="shared" si="18"/>
        <v/>
      </c>
    </row>
    <row r="1826" spans="5:33" ht="15" customHeight="1" x14ac:dyDescent="0.2">
      <c r="E1826" s="134" t="str">
        <f>IF(F1826="","",VLOOKUP(F1826,All_LTMN_Lookups!J1872:K3093,2))</f>
        <v/>
      </c>
      <c r="AG1826" s="183" t="str">
        <f t="shared" si="18"/>
        <v/>
      </c>
    </row>
    <row r="1827" spans="5:33" ht="15" customHeight="1" x14ac:dyDescent="0.2">
      <c r="E1827" s="134" t="str">
        <f>IF(F1827="","",VLOOKUP(F1827,All_LTMN_Lookups!J1873:K3094,2))</f>
        <v/>
      </c>
      <c r="AG1827" s="183" t="str">
        <f t="shared" si="18"/>
        <v/>
      </c>
    </row>
    <row r="1828" spans="5:33" ht="15" customHeight="1" x14ac:dyDescent="0.2">
      <c r="E1828" s="134" t="str">
        <f>IF(F1828="","",VLOOKUP(F1828,All_LTMN_Lookups!J1874:K3095,2))</f>
        <v/>
      </c>
      <c r="AG1828" s="183" t="str">
        <f t="shared" si="18"/>
        <v/>
      </c>
    </row>
    <row r="1829" spans="5:33" ht="15" customHeight="1" x14ac:dyDescent="0.2">
      <c r="E1829" s="134" t="str">
        <f>IF(F1829="","",VLOOKUP(F1829,All_LTMN_Lookups!J1875:K3096,2))</f>
        <v/>
      </c>
      <c r="AG1829" s="183" t="str">
        <f t="shared" si="18"/>
        <v/>
      </c>
    </row>
    <row r="1830" spans="5:33" ht="15" customHeight="1" x14ac:dyDescent="0.2">
      <c r="E1830" s="134" t="str">
        <f>IF(F1830="","",VLOOKUP(F1830,All_LTMN_Lookups!J1876:K3097,2))</f>
        <v/>
      </c>
      <c r="AG1830" s="183" t="str">
        <f t="shared" si="18"/>
        <v/>
      </c>
    </row>
    <row r="1831" spans="5:33" ht="15" customHeight="1" x14ac:dyDescent="0.2">
      <c r="E1831" s="134" t="str">
        <f>IF(F1831="","",VLOOKUP(F1831,All_LTMN_Lookups!J1877:K3098,2))</f>
        <v/>
      </c>
      <c r="AG1831" s="183" t="str">
        <f t="shared" si="18"/>
        <v/>
      </c>
    </row>
    <row r="1832" spans="5:33" ht="15" customHeight="1" x14ac:dyDescent="0.2">
      <c r="E1832" s="134" t="str">
        <f>IF(F1832="","",VLOOKUP(F1832,All_LTMN_Lookups!J1878:K3099,2))</f>
        <v/>
      </c>
      <c r="AG1832" s="183" t="str">
        <f t="shared" si="18"/>
        <v/>
      </c>
    </row>
    <row r="1833" spans="5:33" ht="15" customHeight="1" x14ac:dyDescent="0.2">
      <c r="E1833" s="134" t="str">
        <f>IF(F1833="","",VLOOKUP(F1833,All_LTMN_Lookups!J1879:K3100,2))</f>
        <v/>
      </c>
      <c r="AG1833" s="183" t="str">
        <f t="shared" si="18"/>
        <v/>
      </c>
    </row>
    <row r="1834" spans="5:33" ht="15" customHeight="1" x14ac:dyDescent="0.2">
      <c r="E1834" s="134" t="str">
        <f>IF(F1834="","",VLOOKUP(F1834,All_LTMN_Lookups!J1880:K3101,2))</f>
        <v/>
      </c>
      <c r="AG1834" s="183" t="str">
        <f t="shared" si="18"/>
        <v/>
      </c>
    </row>
    <row r="1835" spans="5:33" ht="15" customHeight="1" x14ac:dyDescent="0.2">
      <c r="E1835" s="134" t="str">
        <f>IF(F1835="","",VLOOKUP(F1835,All_LTMN_Lookups!J1881:K3102,2))</f>
        <v/>
      </c>
      <c r="AG1835" s="183" t="str">
        <f t="shared" si="18"/>
        <v/>
      </c>
    </row>
    <row r="1836" spans="5:33" ht="15" customHeight="1" x14ac:dyDescent="0.2">
      <c r="E1836" s="134" t="str">
        <f>IF(F1836="","",VLOOKUP(F1836,All_LTMN_Lookups!J1882:K3103,2))</f>
        <v/>
      </c>
      <c r="AG1836" s="183" t="str">
        <f t="shared" si="18"/>
        <v/>
      </c>
    </row>
    <row r="1837" spans="5:33" ht="15" customHeight="1" x14ac:dyDescent="0.2">
      <c r="E1837" s="134" t="str">
        <f>IF(F1837="","",VLOOKUP(F1837,All_LTMN_Lookups!J1883:K3104,2))</f>
        <v/>
      </c>
      <c r="AG1837" s="183" t="str">
        <f t="shared" si="18"/>
        <v/>
      </c>
    </row>
    <row r="1838" spans="5:33" ht="15" customHeight="1" x14ac:dyDescent="0.2">
      <c r="E1838" s="134" t="str">
        <f>IF(F1838="","",VLOOKUP(F1838,All_LTMN_Lookups!J1884:K3105,2))</f>
        <v/>
      </c>
      <c r="AG1838" s="183" t="str">
        <f t="shared" si="18"/>
        <v/>
      </c>
    </row>
    <row r="1839" spans="5:33" ht="15" customHeight="1" x14ac:dyDescent="0.2">
      <c r="E1839" s="134" t="str">
        <f>IF(F1839="","",VLOOKUP(F1839,All_LTMN_Lookups!J1885:K3106,2))</f>
        <v/>
      </c>
      <c r="AG1839" s="183" t="str">
        <f t="shared" si="18"/>
        <v/>
      </c>
    </row>
    <row r="1840" spans="5:33" ht="15" customHeight="1" x14ac:dyDescent="0.2">
      <c r="E1840" s="134" t="str">
        <f>IF(F1840="","",VLOOKUP(F1840,All_LTMN_Lookups!J1886:K3107,2))</f>
        <v/>
      </c>
      <c r="AG1840" s="183" t="str">
        <f t="shared" si="18"/>
        <v/>
      </c>
    </row>
    <row r="1841" spans="5:33" ht="15" customHeight="1" x14ac:dyDescent="0.2">
      <c r="E1841" s="134" t="str">
        <f>IF(F1841="","",VLOOKUP(F1841,All_LTMN_Lookups!J1887:K3108,2))</f>
        <v/>
      </c>
      <c r="AG1841" s="183" t="str">
        <f t="shared" si="18"/>
        <v/>
      </c>
    </row>
    <row r="1842" spans="5:33" ht="15" customHeight="1" x14ac:dyDescent="0.2">
      <c r="E1842" s="134" t="str">
        <f>IF(F1842="","",VLOOKUP(F1842,All_LTMN_Lookups!J1888:K3109,2))</f>
        <v/>
      </c>
      <c r="AG1842" s="183" t="str">
        <f t="shared" si="18"/>
        <v/>
      </c>
    </row>
    <row r="1843" spans="5:33" ht="15" customHeight="1" x14ac:dyDescent="0.2">
      <c r="E1843" s="134" t="str">
        <f>IF(F1843="","",VLOOKUP(F1843,All_LTMN_Lookups!J1889:K3110,2))</f>
        <v/>
      </c>
      <c r="AG1843" s="183" t="str">
        <f t="shared" si="18"/>
        <v/>
      </c>
    </row>
    <row r="1844" spans="5:33" ht="15" customHeight="1" x14ac:dyDescent="0.2">
      <c r="E1844" s="134" t="str">
        <f>IF(F1844="","",VLOOKUP(F1844,All_LTMN_Lookups!J1890:K3111,2))</f>
        <v/>
      </c>
      <c r="AG1844" s="183" t="str">
        <f t="shared" si="18"/>
        <v/>
      </c>
    </row>
    <row r="1845" spans="5:33" ht="15" customHeight="1" x14ac:dyDescent="0.2">
      <c r="E1845" s="134" t="str">
        <f>IF(F1845="","",VLOOKUP(F1845,All_LTMN_Lookups!J1891:K3112,2))</f>
        <v/>
      </c>
      <c r="AG1845" s="183" t="str">
        <f t="shared" si="18"/>
        <v/>
      </c>
    </row>
    <row r="1846" spans="5:33" ht="15" customHeight="1" x14ac:dyDescent="0.2">
      <c r="E1846" s="134" t="str">
        <f>IF(F1846="","",VLOOKUP(F1846,All_LTMN_Lookups!J1892:K3113,2))</f>
        <v/>
      </c>
      <c r="AG1846" s="183" t="str">
        <f t="shared" si="18"/>
        <v/>
      </c>
    </row>
    <row r="1847" spans="5:33" ht="15" customHeight="1" x14ac:dyDescent="0.2">
      <c r="E1847" s="134" t="str">
        <f>IF(F1847="","",VLOOKUP(F1847,All_LTMN_Lookups!J1893:K3114,2))</f>
        <v/>
      </c>
      <c r="AG1847" s="183" t="str">
        <f t="shared" si="18"/>
        <v/>
      </c>
    </row>
    <row r="1848" spans="5:33" ht="15" customHeight="1" x14ac:dyDescent="0.2">
      <c r="E1848" s="134" t="str">
        <f>IF(F1848="","",VLOOKUP(F1848,All_LTMN_Lookups!J1894:K3115,2))</f>
        <v/>
      </c>
      <c r="AG1848" s="183" t="str">
        <f t="shared" si="18"/>
        <v/>
      </c>
    </row>
    <row r="1849" spans="5:33" ht="15" customHeight="1" x14ac:dyDescent="0.2">
      <c r="E1849" s="134" t="str">
        <f>IF(F1849="","",VLOOKUP(F1849,All_LTMN_Lookups!J1895:K3116,2))</f>
        <v/>
      </c>
      <c r="AG1849" s="183" t="str">
        <f t="shared" si="18"/>
        <v/>
      </c>
    </row>
    <row r="1850" spans="5:33" ht="15" customHeight="1" x14ac:dyDescent="0.2">
      <c r="E1850" s="134" t="str">
        <f>IF(F1850="","",VLOOKUP(F1850,All_LTMN_Lookups!J1896:K3117,2))</f>
        <v/>
      </c>
      <c r="AG1850" s="183" t="str">
        <f t="shared" si="18"/>
        <v/>
      </c>
    </row>
    <row r="1851" spans="5:33" ht="15" customHeight="1" x14ac:dyDescent="0.2">
      <c r="E1851" s="134" t="str">
        <f>IF(F1851="","",VLOOKUP(F1851,All_LTMN_Lookups!J1897:K3118,2))</f>
        <v/>
      </c>
      <c r="AG1851" s="183" t="str">
        <f t="shared" si="18"/>
        <v/>
      </c>
    </row>
    <row r="1852" spans="5:33" ht="15" customHeight="1" x14ac:dyDescent="0.2">
      <c r="E1852" s="134" t="str">
        <f>IF(F1852="","",VLOOKUP(F1852,All_LTMN_Lookups!J1898:K3119,2))</f>
        <v/>
      </c>
      <c r="AG1852" s="183" t="str">
        <f t="shared" si="18"/>
        <v/>
      </c>
    </row>
    <row r="1853" spans="5:33" ht="15" customHeight="1" x14ac:dyDescent="0.2">
      <c r="E1853" s="134" t="str">
        <f>IF(F1853="","",VLOOKUP(F1853,All_LTMN_Lookups!J1899:K3120,2))</f>
        <v/>
      </c>
      <c r="AG1853" s="183" t="str">
        <f t="shared" si="18"/>
        <v/>
      </c>
    </row>
    <row r="1854" spans="5:33" ht="15" customHeight="1" x14ac:dyDescent="0.2">
      <c r="E1854" s="134" t="str">
        <f>IF(F1854="","",VLOOKUP(F1854,All_LTMN_Lookups!J1900:K3121,2))</f>
        <v/>
      </c>
      <c r="AG1854" s="183" t="str">
        <f t="shared" si="18"/>
        <v/>
      </c>
    </row>
    <row r="1855" spans="5:33" ht="15" customHeight="1" x14ac:dyDescent="0.2">
      <c r="E1855" s="134" t="str">
        <f>IF(F1855="","",VLOOKUP(F1855,All_LTMN_Lookups!J1901:K3122,2))</f>
        <v/>
      </c>
      <c r="AG1855" s="183" t="str">
        <f t="shared" si="18"/>
        <v/>
      </c>
    </row>
    <row r="1856" spans="5:33" ht="15" customHeight="1" x14ac:dyDescent="0.2">
      <c r="E1856" s="134" t="str">
        <f>IF(F1856="","",VLOOKUP(F1856,All_LTMN_Lookups!J1902:K3123,2))</f>
        <v/>
      </c>
      <c r="AG1856" s="183" t="str">
        <f t="shared" si="18"/>
        <v/>
      </c>
    </row>
    <row r="1857" spans="5:33" ht="15" customHeight="1" x14ac:dyDescent="0.2">
      <c r="E1857" s="134" t="str">
        <f>IF(F1857="","",VLOOKUP(F1857,All_LTMN_Lookups!J1903:K3124,2))</f>
        <v/>
      </c>
      <c r="AG1857" s="183" t="str">
        <f t="shared" si="18"/>
        <v/>
      </c>
    </row>
    <row r="1858" spans="5:33" ht="15" customHeight="1" x14ac:dyDescent="0.2">
      <c r="E1858" s="134" t="str">
        <f>IF(F1858="","",VLOOKUP(F1858,All_LTMN_Lookups!J1904:K3125,2))</f>
        <v/>
      </c>
      <c r="AG1858" s="183" t="str">
        <f t="shared" si="18"/>
        <v/>
      </c>
    </row>
    <row r="1859" spans="5:33" ht="15" customHeight="1" x14ac:dyDescent="0.2">
      <c r="E1859" s="134" t="str">
        <f>IF(F1859="","",VLOOKUP(F1859,All_LTMN_Lookups!J1905:K3126,2))</f>
        <v/>
      </c>
      <c r="AG1859" s="183" t="str">
        <f t="shared" si="18"/>
        <v/>
      </c>
    </row>
    <row r="1860" spans="5:33" ht="15" customHeight="1" x14ac:dyDescent="0.2">
      <c r="E1860" s="134" t="str">
        <f>IF(F1860="","",VLOOKUP(F1860,All_LTMN_Lookups!J1906:K3127,2))</f>
        <v/>
      </c>
      <c r="AG1860" s="183" t="str">
        <f t="shared" si="18"/>
        <v/>
      </c>
    </row>
    <row r="1861" spans="5:33" ht="15" customHeight="1" x14ac:dyDescent="0.2">
      <c r="E1861" s="134" t="str">
        <f>IF(F1861="","",VLOOKUP(F1861,All_LTMN_Lookups!J1907:K3128,2))</f>
        <v/>
      </c>
      <c r="AG1861" s="183" t="str">
        <f t="shared" si="18"/>
        <v/>
      </c>
    </row>
    <row r="1862" spans="5:33" ht="15" customHeight="1" x14ac:dyDescent="0.2">
      <c r="E1862" s="134" t="str">
        <f>IF(F1862="","",VLOOKUP(F1862,All_LTMN_Lookups!J1908:K3129,2))</f>
        <v/>
      </c>
      <c r="AG1862" s="183" t="str">
        <f t="shared" si="18"/>
        <v/>
      </c>
    </row>
    <row r="1863" spans="5:33" ht="15" customHeight="1" x14ac:dyDescent="0.2">
      <c r="E1863" s="134" t="str">
        <f>IF(F1863="","",VLOOKUP(F1863,All_LTMN_Lookups!J1909:K3130,2))</f>
        <v/>
      </c>
      <c r="AG1863" s="183" t="str">
        <f t="shared" si="18"/>
        <v/>
      </c>
    </row>
    <row r="1864" spans="5:33" ht="15" customHeight="1" x14ac:dyDescent="0.2">
      <c r="E1864" s="134" t="str">
        <f>IF(F1864="","",VLOOKUP(F1864,All_LTMN_Lookups!J1910:K3131,2))</f>
        <v/>
      </c>
      <c r="AG1864" s="183" t="str">
        <f t="shared" si="18"/>
        <v/>
      </c>
    </row>
    <row r="1865" spans="5:33" ht="15" customHeight="1" x14ac:dyDescent="0.2">
      <c r="E1865" s="134" t="str">
        <f>IF(F1865="","",VLOOKUP(F1865,All_LTMN_Lookups!J1911:K3132,2))</f>
        <v/>
      </c>
      <c r="AG1865" s="183" t="str">
        <f t="shared" si="18"/>
        <v/>
      </c>
    </row>
    <row r="1866" spans="5:33" ht="15" customHeight="1" x14ac:dyDescent="0.2">
      <c r="E1866" s="134" t="str">
        <f>IF(F1866="","",VLOOKUP(F1866,All_LTMN_Lookups!J1912:K3133,2))</f>
        <v/>
      </c>
      <c r="AG1866" s="183" t="str">
        <f t="shared" si="18"/>
        <v/>
      </c>
    </row>
    <row r="1867" spans="5:33" ht="15" customHeight="1" x14ac:dyDescent="0.2">
      <c r="E1867" s="134" t="str">
        <f>IF(F1867="","",VLOOKUP(F1867,All_LTMN_Lookups!J1913:K3134,2))</f>
        <v/>
      </c>
      <c r="AG1867" s="183" t="str">
        <f t="shared" ref="AG1867:AG1930" si="19">IF(F1867&lt;&gt;"",SUM(G1867:AE1867), "")</f>
        <v/>
      </c>
    </row>
    <row r="1868" spans="5:33" ht="15" customHeight="1" x14ac:dyDescent="0.2">
      <c r="E1868" s="134" t="str">
        <f>IF(F1868="","",VLOOKUP(F1868,All_LTMN_Lookups!J1914:K3135,2))</f>
        <v/>
      </c>
      <c r="AG1868" s="183" t="str">
        <f t="shared" si="19"/>
        <v/>
      </c>
    </row>
    <row r="1869" spans="5:33" ht="15" customHeight="1" x14ac:dyDescent="0.2">
      <c r="E1869" s="134" t="str">
        <f>IF(F1869="","",VLOOKUP(F1869,All_LTMN_Lookups!J1915:K3136,2))</f>
        <v/>
      </c>
      <c r="AG1869" s="183" t="str">
        <f t="shared" si="19"/>
        <v/>
      </c>
    </row>
    <row r="1870" spans="5:33" ht="15" customHeight="1" x14ac:dyDescent="0.2">
      <c r="E1870" s="134" t="str">
        <f>IF(F1870="","",VLOOKUP(F1870,All_LTMN_Lookups!J1916:K3137,2))</f>
        <v/>
      </c>
      <c r="AG1870" s="183" t="str">
        <f t="shared" si="19"/>
        <v/>
      </c>
    </row>
    <row r="1871" spans="5:33" ht="15" customHeight="1" x14ac:dyDescent="0.2">
      <c r="E1871" s="134" t="str">
        <f>IF(F1871="","",VLOOKUP(F1871,All_LTMN_Lookups!J1917:K3138,2))</f>
        <v/>
      </c>
      <c r="AG1871" s="183" t="str">
        <f t="shared" si="19"/>
        <v/>
      </c>
    </row>
    <row r="1872" spans="5:33" ht="15" customHeight="1" x14ac:dyDescent="0.2">
      <c r="E1872" s="134" t="str">
        <f>IF(F1872="","",VLOOKUP(F1872,All_LTMN_Lookups!J1918:K3139,2))</f>
        <v/>
      </c>
      <c r="AG1872" s="183" t="str">
        <f t="shared" si="19"/>
        <v/>
      </c>
    </row>
    <row r="1873" spans="5:33" ht="15" customHeight="1" x14ac:dyDescent="0.2">
      <c r="E1873" s="134" t="str">
        <f>IF(F1873="","",VLOOKUP(F1873,All_LTMN_Lookups!J1919:K3140,2))</f>
        <v/>
      </c>
      <c r="AG1873" s="183" t="str">
        <f t="shared" si="19"/>
        <v/>
      </c>
    </row>
    <row r="1874" spans="5:33" ht="15" customHeight="1" x14ac:dyDescent="0.2">
      <c r="E1874" s="134" t="str">
        <f>IF(F1874="","",VLOOKUP(F1874,All_LTMN_Lookups!J1920:K3141,2))</f>
        <v/>
      </c>
      <c r="AG1874" s="183" t="str">
        <f t="shared" si="19"/>
        <v/>
      </c>
    </row>
    <row r="1875" spans="5:33" ht="15" customHeight="1" x14ac:dyDescent="0.2">
      <c r="E1875" s="134" t="str">
        <f>IF(F1875="","",VLOOKUP(F1875,All_LTMN_Lookups!J1921:K3142,2))</f>
        <v/>
      </c>
      <c r="AG1875" s="183" t="str">
        <f t="shared" si="19"/>
        <v/>
      </c>
    </row>
    <row r="1876" spans="5:33" ht="15" customHeight="1" x14ac:dyDescent="0.2">
      <c r="E1876" s="134" t="str">
        <f>IF(F1876="","",VLOOKUP(F1876,All_LTMN_Lookups!J1922:K3143,2))</f>
        <v/>
      </c>
      <c r="AG1876" s="183" t="str">
        <f t="shared" si="19"/>
        <v/>
      </c>
    </row>
    <row r="1877" spans="5:33" ht="15" customHeight="1" x14ac:dyDescent="0.2">
      <c r="E1877" s="134" t="str">
        <f>IF(F1877="","",VLOOKUP(F1877,All_LTMN_Lookups!J1923:K3144,2))</f>
        <v/>
      </c>
      <c r="AG1877" s="183" t="str">
        <f t="shared" si="19"/>
        <v/>
      </c>
    </row>
    <row r="1878" spans="5:33" ht="15" customHeight="1" x14ac:dyDescent="0.2">
      <c r="E1878" s="134" t="str">
        <f>IF(F1878="","",VLOOKUP(F1878,All_LTMN_Lookups!J1924:K3145,2))</f>
        <v/>
      </c>
      <c r="AG1878" s="183" t="str">
        <f t="shared" si="19"/>
        <v/>
      </c>
    </row>
    <row r="1879" spans="5:33" ht="15" customHeight="1" x14ac:dyDescent="0.2">
      <c r="E1879" s="134" t="str">
        <f>IF(F1879="","",VLOOKUP(F1879,All_LTMN_Lookups!J1925:K3146,2))</f>
        <v/>
      </c>
      <c r="AG1879" s="183" t="str">
        <f t="shared" si="19"/>
        <v/>
      </c>
    </row>
    <row r="1880" spans="5:33" ht="15" customHeight="1" x14ac:dyDescent="0.2">
      <c r="E1880" s="134" t="str">
        <f>IF(F1880="","",VLOOKUP(F1880,All_LTMN_Lookups!J1926:K3147,2))</f>
        <v/>
      </c>
      <c r="AG1880" s="183" t="str">
        <f t="shared" si="19"/>
        <v/>
      </c>
    </row>
    <row r="1881" spans="5:33" ht="15" customHeight="1" x14ac:dyDescent="0.2">
      <c r="E1881" s="134" t="str">
        <f>IF(F1881="","",VLOOKUP(F1881,All_LTMN_Lookups!J1927:K3148,2))</f>
        <v/>
      </c>
      <c r="AG1881" s="183" t="str">
        <f t="shared" si="19"/>
        <v/>
      </c>
    </row>
    <row r="1882" spans="5:33" ht="15" customHeight="1" x14ac:dyDescent="0.2">
      <c r="E1882" s="134" t="str">
        <f>IF(F1882="","",VLOOKUP(F1882,All_LTMN_Lookups!J1928:K3149,2))</f>
        <v/>
      </c>
      <c r="AG1882" s="183" t="str">
        <f t="shared" si="19"/>
        <v/>
      </c>
    </row>
    <row r="1883" spans="5:33" ht="15" customHeight="1" x14ac:dyDescent="0.2">
      <c r="E1883" s="134" t="str">
        <f>IF(F1883="","",VLOOKUP(F1883,All_LTMN_Lookups!J1929:K3150,2))</f>
        <v/>
      </c>
      <c r="AG1883" s="183" t="str">
        <f t="shared" si="19"/>
        <v/>
      </c>
    </row>
    <row r="1884" spans="5:33" ht="15" customHeight="1" x14ac:dyDescent="0.2">
      <c r="E1884" s="134" t="str">
        <f>IF(F1884="","",VLOOKUP(F1884,All_LTMN_Lookups!J1930:K3151,2))</f>
        <v/>
      </c>
      <c r="AG1884" s="183" t="str">
        <f t="shared" si="19"/>
        <v/>
      </c>
    </row>
    <row r="1885" spans="5:33" ht="15" customHeight="1" x14ac:dyDescent="0.2">
      <c r="E1885" s="134" t="str">
        <f>IF(F1885="","",VLOOKUP(F1885,All_LTMN_Lookups!J1931:K3152,2))</f>
        <v/>
      </c>
      <c r="AG1885" s="183" t="str">
        <f t="shared" si="19"/>
        <v/>
      </c>
    </row>
    <row r="1886" spans="5:33" ht="15" customHeight="1" x14ac:dyDescent="0.2">
      <c r="E1886" s="134" t="str">
        <f>IF(F1886="","",VLOOKUP(F1886,All_LTMN_Lookups!J1932:K3153,2))</f>
        <v/>
      </c>
      <c r="AG1886" s="183" t="str">
        <f t="shared" si="19"/>
        <v/>
      </c>
    </row>
    <row r="1887" spans="5:33" ht="15" customHeight="1" x14ac:dyDescent="0.2">
      <c r="E1887" s="134" t="str">
        <f>IF(F1887="","",VLOOKUP(F1887,All_LTMN_Lookups!J1933:K3154,2))</f>
        <v/>
      </c>
      <c r="AG1887" s="183" t="str">
        <f t="shared" si="19"/>
        <v/>
      </c>
    </row>
    <row r="1888" spans="5:33" ht="15" customHeight="1" x14ac:dyDescent="0.2">
      <c r="E1888" s="134" t="str">
        <f>IF(F1888="","",VLOOKUP(F1888,All_LTMN_Lookups!J1934:K3155,2))</f>
        <v/>
      </c>
      <c r="AG1888" s="183" t="str">
        <f t="shared" si="19"/>
        <v/>
      </c>
    </row>
    <row r="1889" spans="5:33" ht="15" customHeight="1" x14ac:dyDescent="0.2">
      <c r="E1889" s="134" t="str">
        <f>IF(F1889="","",VLOOKUP(F1889,All_LTMN_Lookups!J1935:K3156,2))</f>
        <v/>
      </c>
      <c r="AG1889" s="183" t="str">
        <f t="shared" si="19"/>
        <v/>
      </c>
    </row>
    <row r="1890" spans="5:33" ht="15" customHeight="1" x14ac:dyDescent="0.2">
      <c r="E1890" s="134" t="str">
        <f>IF(F1890="","",VLOOKUP(F1890,All_LTMN_Lookups!J1936:K3157,2))</f>
        <v/>
      </c>
      <c r="AG1890" s="183" t="str">
        <f t="shared" si="19"/>
        <v/>
      </c>
    </row>
    <row r="1891" spans="5:33" ht="15" customHeight="1" x14ac:dyDescent="0.2">
      <c r="E1891" s="134" t="str">
        <f>IF(F1891="","",VLOOKUP(F1891,All_LTMN_Lookups!J1937:K3158,2))</f>
        <v/>
      </c>
      <c r="AG1891" s="183" t="str">
        <f t="shared" si="19"/>
        <v/>
      </c>
    </row>
    <row r="1892" spans="5:33" ht="15" customHeight="1" x14ac:dyDescent="0.2">
      <c r="E1892" s="134" t="str">
        <f>IF(F1892="","",VLOOKUP(F1892,All_LTMN_Lookups!J1938:K3159,2))</f>
        <v/>
      </c>
      <c r="AG1892" s="183" t="str">
        <f t="shared" si="19"/>
        <v/>
      </c>
    </row>
    <row r="1893" spans="5:33" ht="15" customHeight="1" x14ac:dyDescent="0.2">
      <c r="E1893" s="134" t="str">
        <f>IF(F1893="","",VLOOKUP(F1893,All_LTMN_Lookups!J1939:K3160,2))</f>
        <v/>
      </c>
      <c r="AG1893" s="183" t="str">
        <f t="shared" si="19"/>
        <v/>
      </c>
    </row>
    <row r="1894" spans="5:33" ht="15" customHeight="1" x14ac:dyDescent="0.2">
      <c r="E1894" s="134" t="str">
        <f>IF(F1894="","",VLOOKUP(F1894,All_LTMN_Lookups!J1940:K3161,2))</f>
        <v/>
      </c>
      <c r="AG1894" s="183" t="str">
        <f t="shared" si="19"/>
        <v/>
      </c>
    </row>
    <row r="1895" spans="5:33" ht="15" customHeight="1" x14ac:dyDescent="0.2">
      <c r="E1895" s="134" t="str">
        <f>IF(F1895="","",VLOOKUP(F1895,All_LTMN_Lookups!J1941:K3162,2))</f>
        <v/>
      </c>
      <c r="AG1895" s="183" t="str">
        <f t="shared" si="19"/>
        <v/>
      </c>
    </row>
    <row r="1896" spans="5:33" ht="15" customHeight="1" x14ac:dyDescent="0.2">
      <c r="E1896" s="134" t="str">
        <f>IF(F1896="","",VLOOKUP(F1896,All_LTMN_Lookups!J1942:K3163,2))</f>
        <v/>
      </c>
      <c r="AG1896" s="183" t="str">
        <f t="shared" si="19"/>
        <v/>
      </c>
    </row>
    <row r="1897" spans="5:33" ht="15" customHeight="1" x14ac:dyDescent="0.2">
      <c r="E1897" s="134" t="str">
        <f>IF(F1897="","",VLOOKUP(F1897,All_LTMN_Lookups!J1943:K3164,2))</f>
        <v/>
      </c>
      <c r="AG1897" s="183" t="str">
        <f t="shared" si="19"/>
        <v/>
      </c>
    </row>
    <row r="1898" spans="5:33" ht="15" customHeight="1" x14ac:dyDescent="0.2">
      <c r="E1898" s="134" t="str">
        <f>IF(F1898="","",VLOOKUP(F1898,All_LTMN_Lookups!J1944:K3165,2))</f>
        <v/>
      </c>
      <c r="AG1898" s="183" t="str">
        <f t="shared" si="19"/>
        <v/>
      </c>
    </row>
    <row r="1899" spans="5:33" ht="15" customHeight="1" x14ac:dyDescent="0.2">
      <c r="E1899" s="134" t="str">
        <f>IF(F1899="","",VLOOKUP(F1899,All_LTMN_Lookups!J1945:K3166,2))</f>
        <v/>
      </c>
      <c r="AG1899" s="183" t="str">
        <f t="shared" si="19"/>
        <v/>
      </c>
    </row>
    <row r="1900" spans="5:33" ht="15" customHeight="1" x14ac:dyDescent="0.2">
      <c r="E1900" s="134" t="str">
        <f>IF(F1900="","",VLOOKUP(F1900,All_LTMN_Lookups!J1946:K3167,2))</f>
        <v/>
      </c>
      <c r="AG1900" s="183" t="str">
        <f t="shared" si="19"/>
        <v/>
      </c>
    </row>
    <row r="1901" spans="5:33" ht="15" customHeight="1" x14ac:dyDescent="0.2">
      <c r="E1901" s="134" t="str">
        <f>IF(F1901="","",VLOOKUP(F1901,All_LTMN_Lookups!J1947:K3168,2))</f>
        <v/>
      </c>
      <c r="AG1901" s="183" t="str">
        <f t="shared" si="19"/>
        <v/>
      </c>
    </row>
    <row r="1902" spans="5:33" ht="15" customHeight="1" x14ac:dyDescent="0.2">
      <c r="E1902" s="134" t="str">
        <f>IF(F1902="","",VLOOKUP(F1902,All_LTMN_Lookups!J1948:K3169,2))</f>
        <v/>
      </c>
      <c r="AG1902" s="183" t="str">
        <f t="shared" si="19"/>
        <v/>
      </c>
    </row>
    <row r="1903" spans="5:33" ht="15" customHeight="1" x14ac:dyDescent="0.2">
      <c r="E1903" s="134" t="str">
        <f>IF(F1903="","",VLOOKUP(F1903,All_LTMN_Lookups!J1949:K3170,2))</f>
        <v/>
      </c>
      <c r="AG1903" s="183" t="str">
        <f t="shared" si="19"/>
        <v/>
      </c>
    </row>
    <row r="1904" spans="5:33" ht="15" customHeight="1" x14ac:dyDescent="0.2">
      <c r="E1904" s="134" t="str">
        <f>IF(F1904="","",VLOOKUP(F1904,All_LTMN_Lookups!J1950:K3171,2))</f>
        <v/>
      </c>
      <c r="AG1904" s="183" t="str">
        <f t="shared" si="19"/>
        <v/>
      </c>
    </row>
    <row r="1905" spans="5:33" ht="15" customHeight="1" x14ac:dyDescent="0.2">
      <c r="E1905" s="134" t="str">
        <f>IF(F1905="","",VLOOKUP(F1905,All_LTMN_Lookups!J1951:K3172,2))</f>
        <v/>
      </c>
      <c r="AG1905" s="183" t="str">
        <f t="shared" si="19"/>
        <v/>
      </c>
    </row>
    <row r="1906" spans="5:33" ht="15" customHeight="1" x14ac:dyDescent="0.2">
      <c r="E1906" s="134" t="str">
        <f>IF(F1906="","",VLOOKUP(F1906,All_LTMN_Lookups!J1952:K3173,2))</f>
        <v/>
      </c>
      <c r="AG1906" s="183" t="str">
        <f t="shared" si="19"/>
        <v/>
      </c>
    </row>
    <row r="1907" spans="5:33" ht="15" customHeight="1" x14ac:dyDescent="0.2">
      <c r="E1907" s="134" t="str">
        <f>IF(F1907="","",VLOOKUP(F1907,All_LTMN_Lookups!J1953:K3174,2))</f>
        <v/>
      </c>
      <c r="AG1907" s="183" t="str">
        <f t="shared" si="19"/>
        <v/>
      </c>
    </row>
    <row r="1908" spans="5:33" ht="15" customHeight="1" x14ac:dyDescent="0.2">
      <c r="E1908" s="134" t="str">
        <f>IF(F1908="","",VLOOKUP(F1908,All_LTMN_Lookups!J1954:K3175,2))</f>
        <v/>
      </c>
      <c r="AG1908" s="183" t="str">
        <f t="shared" si="19"/>
        <v/>
      </c>
    </row>
    <row r="1909" spans="5:33" ht="15" customHeight="1" x14ac:dyDescent="0.2">
      <c r="E1909" s="134" t="str">
        <f>IF(F1909="","",VLOOKUP(F1909,All_LTMN_Lookups!J1955:K3176,2))</f>
        <v/>
      </c>
      <c r="AG1909" s="183" t="str">
        <f t="shared" si="19"/>
        <v/>
      </c>
    </row>
    <row r="1910" spans="5:33" ht="15" customHeight="1" x14ac:dyDescent="0.2">
      <c r="E1910" s="134" t="str">
        <f>IF(F1910="","",VLOOKUP(F1910,All_LTMN_Lookups!J1956:K3177,2))</f>
        <v/>
      </c>
      <c r="AG1910" s="183" t="str">
        <f t="shared" si="19"/>
        <v/>
      </c>
    </row>
    <row r="1911" spans="5:33" ht="15" customHeight="1" x14ac:dyDescent="0.2">
      <c r="E1911" s="134" t="str">
        <f>IF(F1911="","",VLOOKUP(F1911,All_LTMN_Lookups!J1957:K3178,2))</f>
        <v/>
      </c>
      <c r="AG1911" s="183" t="str">
        <f t="shared" si="19"/>
        <v/>
      </c>
    </row>
    <row r="1912" spans="5:33" ht="15" customHeight="1" x14ac:dyDescent="0.2">
      <c r="E1912" s="134" t="str">
        <f>IF(F1912="","",VLOOKUP(F1912,All_LTMN_Lookups!J1958:K3179,2))</f>
        <v/>
      </c>
      <c r="AG1912" s="183" t="str">
        <f t="shared" si="19"/>
        <v/>
      </c>
    </row>
    <row r="1913" spans="5:33" ht="15" customHeight="1" x14ac:dyDescent="0.2">
      <c r="E1913" s="134" t="str">
        <f>IF(F1913="","",VLOOKUP(F1913,All_LTMN_Lookups!J1959:K3180,2))</f>
        <v/>
      </c>
      <c r="AG1913" s="183" t="str">
        <f t="shared" si="19"/>
        <v/>
      </c>
    </row>
    <row r="1914" spans="5:33" ht="15" customHeight="1" x14ac:dyDescent="0.2">
      <c r="E1914" s="134" t="str">
        <f>IF(F1914="","",VLOOKUP(F1914,All_LTMN_Lookups!J1960:K3181,2))</f>
        <v/>
      </c>
      <c r="AG1914" s="183" t="str">
        <f t="shared" si="19"/>
        <v/>
      </c>
    </row>
    <row r="1915" spans="5:33" ht="15" customHeight="1" x14ac:dyDescent="0.2">
      <c r="E1915" s="134" t="str">
        <f>IF(F1915="","",VLOOKUP(F1915,All_LTMN_Lookups!J1961:K3182,2))</f>
        <v/>
      </c>
      <c r="AG1915" s="183" t="str">
        <f t="shared" si="19"/>
        <v/>
      </c>
    </row>
    <row r="1916" spans="5:33" ht="15" customHeight="1" x14ac:dyDescent="0.2">
      <c r="E1916" s="134" t="str">
        <f>IF(F1916="","",VLOOKUP(F1916,All_LTMN_Lookups!J1962:K3183,2))</f>
        <v/>
      </c>
      <c r="AG1916" s="183" t="str">
        <f t="shared" si="19"/>
        <v/>
      </c>
    </row>
    <row r="1917" spans="5:33" ht="15" customHeight="1" x14ac:dyDescent="0.2">
      <c r="E1917" s="134" t="str">
        <f>IF(F1917="","",VLOOKUP(F1917,All_LTMN_Lookups!J1963:K3184,2))</f>
        <v/>
      </c>
      <c r="AG1917" s="183" t="str">
        <f t="shared" si="19"/>
        <v/>
      </c>
    </row>
    <row r="1918" spans="5:33" ht="15" customHeight="1" x14ac:dyDescent="0.2">
      <c r="E1918" s="134" t="str">
        <f>IF(F1918="","",VLOOKUP(F1918,All_LTMN_Lookups!J1964:K3185,2))</f>
        <v/>
      </c>
      <c r="AG1918" s="183" t="str">
        <f t="shared" si="19"/>
        <v/>
      </c>
    </row>
    <row r="1919" spans="5:33" ht="15" customHeight="1" x14ac:dyDescent="0.2">
      <c r="E1919" s="134" t="str">
        <f>IF(F1919="","",VLOOKUP(F1919,All_LTMN_Lookups!J1965:K3186,2))</f>
        <v/>
      </c>
      <c r="AG1919" s="183" t="str">
        <f t="shared" si="19"/>
        <v/>
      </c>
    </row>
    <row r="1920" spans="5:33" ht="15" customHeight="1" x14ac:dyDescent="0.2">
      <c r="E1920" s="134" t="str">
        <f>IF(F1920="","",VLOOKUP(F1920,All_LTMN_Lookups!J1966:K3187,2))</f>
        <v/>
      </c>
      <c r="AG1920" s="183" t="str">
        <f t="shared" si="19"/>
        <v/>
      </c>
    </row>
    <row r="1921" spans="5:33" ht="15" customHeight="1" x14ac:dyDescent="0.2">
      <c r="E1921" s="134" t="str">
        <f>IF(F1921="","",VLOOKUP(F1921,All_LTMN_Lookups!J1967:K3188,2))</f>
        <v/>
      </c>
      <c r="AG1921" s="183" t="str">
        <f t="shared" si="19"/>
        <v/>
      </c>
    </row>
    <row r="1922" spans="5:33" ht="15" customHeight="1" x14ac:dyDescent="0.2">
      <c r="E1922" s="134" t="str">
        <f>IF(F1922="","",VLOOKUP(F1922,All_LTMN_Lookups!J1968:K3189,2))</f>
        <v/>
      </c>
      <c r="AG1922" s="183" t="str">
        <f t="shared" si="19"/>
        <v/>
      </c>
    </row>
    <row r="1923" spans="5:33" ht="15" customHeight="1" x14ac:dyDescent="0.2">
      <c r="E1923" s="134" t="str">
        <f>IF(F1923="","",VLOOKUP(F1923,All_LTMN_Lookups!J1969:K3190,2))</f>
        <v/>
      </c>
      <c r="AG1923" s="183" t="str">
        <f t="shared" si="19"/>
        <v/>
      </c>
    </row>
    <row r="1924" spans="5:33" ht="15" customHeight="1" x14ac:dyDescent="0.2">
      <c r="E1924" s="134" t="str">
        <f>IF(F1924="","",VLOOKUP(F1924,All_LTMN_Lookups!J1970:K3191,2))</f>
        <v/>
      </c>
      <c r="AG1924" s="183" t="str">
        <f t="shared" si="19"/>
        <v/>
      </c>
    </row>
    <row r="1925" spans="5:33" ht="15" customHeight="1" x14ac:dyDescent="0.2">
      <c r="E1925" s="134" t="str">
        <f>IF(F1925="","",VLOOKUP(F1925,All_LTMN_Lookups!J1971:K3192,2))</f>
        <v/>
      </c>
      <c r="AG1925" s="183" t="str">
        <f t="shared" si="19"/>
        <v/>
      </c>
    </row>
    <row r="1926" spans="5:33" ht="15" customHeight="1" x14ac:dyDescent="0.2">
      <c r="E1926" s="134" t="str">
        <f>IF(F1926="","",VLOOKUP(F1926,All_LTMN_Lookups!J1972:K3193,2))</f>
        <v/>
      </c>
      <c r="AG1926" s="183" t="str">
        <f t="shared" si="19"/>
        <v/>
      </c>
    </row>
    <row r="1927" spans="5:33" ht="15" customHeight="1" x14ac:dyDescent="0.2">
      <c r="E1927" s="134" t="str">
        <f>IF(F1927="","",VLOOKUP(F1927,All_LTMN_Lookups!J1973:K3194,2))</f>
        <v/>
      </c>
      <c r="AG1927" s="183" t="str">
        <f t="shared" si="19"/>
        <v/>
      </c>
    </row>
    <row r="1928" spans="5:33" ht="15" customHeight="1" x14ac:dyDescent="0.2">
      <c r="E1928" s="134" t="str">
        <f>IF(F1928="","",VLOOKUP(F1928,All_LTMN_Lookups!J1974:K3195,2))</f>
        <v/>
      </c>
      <c r="AG1928" s="183" t="str">
        <f t="shared" si="19"/>
        <v/>
      </c>
    </row>
    <row r="1929" spans="5:33" ht="15" customHeight="1" x14ac:dyDescent="0.2">
      <c r="E1929" s="134" t="str">
        <f>IF(F1929="","",VLOOKUP(F1929,All_LTMN_Lookups!J1975:K3196,2))</f>
        <v/>
      </c>
      <c r="AG1929" s="183" t="str">
        <f t="shared" si="19"/>
        <v/>
      </c>
    </row>
    <row r="1930" spans="5:33" ht="15" customHeight="1" x14ac:dyDescent="0.2">
      <c r="E1930" s="134" t="str">
        <f>IF(F1930="","",VLOOKUP(F1930,All_LTMN_Lookups!J1976:K3197,2))</f>
        <v/>
      </c>
      <c r="AG1930" s="183" t="str">
        <f t="shared" si="19"/>
        <v/>
      </c>
    </row>
    <row r="1931" spans="5:33" ht="15" customHeight="1" x14ac:dyDescent="0.2">
      <c r="E1931" s="134" t="str">
        <f>IF(F1931="","",VLOOKUP(F1931,All_LTMN_Lookups!J1977:K3198,2))</f>
        <v/>
      </c>
      <c r="AG1931" s="183" t="str">
        <f t="shared" ref="AG1931:AG1954" si="20">IF(F1931&lt;&gt;"",SUM(G1931:AE1931), "")</f>
        <v/>
      </c>
    </row>
    <row r="1932" spans="5:33" ht="15" customHeight="1" x14ac:dyDescent="0.2">
      <c r="E1932" s="134" t="str">
        <f>IF(F1932="","",VLOOKUP(F1932,All_LTMN_Lookups!J1978:K3199,2))</f>
        <v/>
      </c>
      <c r="AG1932" s="183" t="str">
        <f t="shared" si="20"/>
        <v/>
      </c>
    </row>
    <row r="1933" spans="5:33" ht="15" customHeight="1" x14ac:dyDescent="0.2">
      <c r="E1933" s="134" t="str">
        <f>IF(F1933="","",VLOOKUP(F1933,All_LTMN_Lookups!J1979:K3200,2))</f>
        <v/>
      </c>
      <c r="AG1933" s="183" t="str">
        <f t="shared" si="20"/>
        <v/>
      </c>
    </row>
    <row r="1934" spans="5:33" ht="15" customHeight="1" x14ac:dyDescent="0.2">
      <c r="E1934" s="134" t="str">
        <f>IF(F1934="","",VLOOKUP(F1934,All_LTMN_Lookups!J1980:K3201,2))</f>
        <v/>
      </c>
      <c r="AG1934" s="183" t="str">
        <f t="shared" si="20"/>
        <v/>
      </c>
    </row>
    <row r="1935" spans="5:33" ht="15" customHeight="1" x14ac:dyDescent="0.2">
      <c r="E1935" s="134" t="str">
        <f>IF(F1935="","",VLOOKUP(F1935,All_LTMN_Lookups!J1981:K3202,2))</f>
        <v/>
      </c>
      <c r="AG1935" s="183" t="str">
        <f t="shared" si="20"/>
        <v/>
      </c>
    </row>
    <row r="1936" spans="5:33" ht="15" customHeight="1" x14ac:dyDescent="0.2">
      <c r="E1936" s="134" t="str">
        <f>IF(F1936="","",VLOOKUP(F1936,All_LTMN_Lookups!J1982:K3203,2))</f>
        <v/>
      </c>
      <c r="AG1936" s="183" t="str">
        <f t="shared" si="20"/>
        <v/>
      </c>
    </row>
    <row r="1937" spans="5:33" ht="15" customHeight="1" x14ac:dyDescent="0.2">
      <c r="E1937" s="134" t="str">
        <f>IF(F1937="","",VLOOKUP(F1937,All_LTMN_Lookups!J1983:K3204,2))</f>
        <v/>
      </c>
      <c r="AG1937" s="183" t="str">
        <f t="shared" si="20"/>
        <v/>
      </c>
    </row>
    <row r="1938" spans="5:33" ht="15" customHeight="1" x14ac:dyDescent="0.2">
      <c r="E1938" s="134" t="str">
        <f>IF(F1938="","",VLOOKUP(F1938,All_LTMN_Lookups!J1984:K3205,2))</f>
        <v/>
      </c>
      <c r="AG1938" s="183" t="str">
        <f t="shared" si="20"/>
        <v/>
      </c>
    </row>
    <row r="1939" spans="5:33" ht="15" customHeight="1" x14ac:dyDescent="0.2">
      <c r="E1939" s="134" t="str">
        <f>IF(F1939="","",VLOOKUP(F1939,All_LTMN_Lookups!J1985:K3206,2))</f>
        <v/>
      </c>
      <c r="AG1939" s="183" t="str">
        <f t="shared" si="20"/>
        <v/>
      </c>
    </row>
    <row r="1940" spans="5:33" ht="15" customHeight="1" x14ac:dyDescent="0.2">
      <c r="E1940" s="134" t="str">
        <f>IF(F1940="","",VLOOKUP(F1940,All_LTMN_Lookups!J1986:K3207,2))</f>
        <v/>
      </c>
      <c r="AG1940" s="183" t="str">
        <f t="shared" si="20"/>
        <v/>
      </c>
    </row>
    <row r="1941" spans="5:33" ht="15" customHeight="1" x14ac:dyDescent="0.2">
      <c r="E1941" s="134" t="str">
        <f>IF(F1941="","",VLOOKUP(F1941,All_LTMN_Lookups!J1987:K3208,2))</f>
        <v/>
      </c>
      <c r="AG1941" s="183" t="str">
        <f t="shared" si="20"/>
        <v/>
      </c>
    </row>
    <row r="1942" spans="5:33" ht="15" customHeight="1" x14ac:dyDescent="0.2">
      <c r="E1942" s="134" t="str">
        <f>IF(F1942="","",VLOOKUP(F1942,All_LTMN_Lookups!J1988:K3209,2))</f>
        <v/>
      </c>
      <c r="AG1942" s="183" t="str">
        <f t="shared" si="20"/>
        <v/>
      </c>
    </row>
    <row r="1943" spans="5:33" ht="15" customHeight="1" x14ac:dyDescent="0.2">
      <c r="E1943" s="134" t="str">
        <f>IF(F1943="","",VLOOKUP(F1943,All_LTMN_Lookups!J1989:K3210,2))</f>
        <v/>
      </c>
      <c r="AG1943" s="183" t="str">
        <f t="shared" si="20"/>
        <v/>
      </c>
    </row>
    <row r="1944" spans="5:33" ht="15" customHeight="1" x14ac:dyDescent="0.2">
      <c r="E1944" s="134" t="str">
        <f>IF(F1944="","",VLOOKUP(F1944,All_LTMN_Lookups!J1990:K3211,2))</f>
        <v/>
      </c>
      <c r="AG1944" s="183" t="str">
        <f t="shared" si="20"/>
        <v/>
      </c>
    </row>
    <row r="1945" spans="5:33" ht="15" customHeight="1" x14ac:dyDescent="0.2">
      <c r="E1945" s="134" t="str">
        <f>IF(F1945="","",VLOOKUP(F1945,All_LTMN_Lookups!J1991:K3212,2))</f>
        <v/>
      </c>
      <c r="AG1945" s="183" t="str">
        <f t="shared" si="20"/>
        <v/>
      </c>
    </row>
    <row r="1946" spans="5:33" ht="15" customHeight="1" x14ac:dyDescent="0.2">
      <c r="E1946" s="134" t="str">
        <f>IF(F1946="","",VLOOKUP(F1946,All_LTMN_Lookups!J1992:K3213,2))</f>
        <v/>
      </c>
      <c r="AG1946" s="183" t="str">
        <f t="shared" si="20"/>
        <v/>
      </c>
    </row>
    <row r="1947" spans="5:33" ht="15" customHeight="1" x14ac:dyDescent="0.2">
      <c r="E1947" s="134" t="str">
        <f>IF(F1947="","",VLOOKUP(F1947,All_LTMN_Lookups!J1993:K3214,2))</f>
        <v/>
      </c>
      <c r="AG1947" s="183" t="str">
        <f t="shared" si="20"/>
        <v/>
      </c>
    </row>
    <row r="1948" spans="5:33" ht="15" customHeight="1" x14ac:dyDescent="0.2">
      <c r="E1948" s="134" t="str">
        <f>IF(F1948="","",VLOOKUP(F1948,All_LTMN_Lookups!J1994:K3215,2))</f>
        <v/>
      </c>
      <c r="AG1948" s="183" t="str">
        <f t="shared" si="20"/>
        <v/>
      </c>
    </row>
    <row r="1949" spans="5:33" ht="15" customHeight="1" x14ac:dyDescent="0.2">
      <c r="E1949" s="134" t="str">
        <f>IF(F1949="","",VLOOKUP(F1949,All_LTMN_Lookups!J1995:K3216,2))</f>
        <v/>
      </c>
      <c r="AG1949" s="183" t="str">
        <f t="shared" si="20"/>
        <v/>
      </c>
    </row>
    <row r="1950" spans="5:33" ht="15" customHeight="1" x14ac:dyDescent="0.2">
      <c r="E1950" s="134" t="str">
        <f>IF(F1950="","",VLOOKUP(F1950,All_LTMN_Lookups!J1996:K3217,2))</f>
        <v/>
      </c>
      <c r="AG1950" s="183" t="str">
        <f t="shared" si="20"/>
        <v/>
      </c>
    </row>
    <row r="1951" spans="5:33" ht="15" customHeight="1" x14ac:dyDescent="0.2">
      <c r="E1951" s="134" t="str">
        <f>IF(F1951="","",VLOOKUP(F1951,All_LTMN_Lookups!J1997:K3218,2))</f>
        <v/>
      </c>
      <c r="AG1951" s="183" t="str">
        <f t="shared" si="20"/>
        <v/>
      </c>
    </row>
    <row r="1952" spans="5:33" ht="15" customHeight="1" x14ac:dyDescent="0.2">
      <c r="E1952" s="134" t="str">
        <f>IF(F1952="","",VLOOKUP(F1952,All_LTMN_Lookups!J1998:K3219,2))</f>
        <v/>
      </c>
      <c r="AG1952" s="183" t="str">
        <f t="shared" si="20"/>
        <v/>
      </c>
    </row>
    <row r="1953" spans="5:33" ht="15" customHeight="1" x14ac:dyDescent="0.2">
      <c r="E1953" s="134" t="str">
        <f>IF(F1953="","",VLOOKUP(F1953,All_LTMN_Lookups!J1999:K3220,2))</f>
        <v/>
      </c>
      <c r="AG1953" s="183" t="str">
        <f t="shared" si="20"/>
        <v/>
      </c>
    </row>
    <row r="1954" spans="5:33" ht="15" customHeight="1" x14ac:dyDescent="0.2">
      <c r="E1954" s="134" t="str">
        <f>IF(F1954="","",VLOOKUP(F1954,All_LTMN_Lookups!J2000:K3221,2))</f>
        <v/>
      </c>
      <c r="AG1954" s="183" t="str">
        <f t="shared" si="20"/>
        <v/>
      </c>
    </row>
  </sheetData>
  <sortState xmlns:xlrd2="http://schemas.microsoft.com/office/spreadsheetml/2017/richdata2" ref="A2:AO2000">
    <sortCondition ref="D1"/>
  </sortState>
  <phoneticPr fontId="0" type="noConversion"/>
  <pageMargins left="0.7" right="0.7" top="0.75" bottom="0.75" header="0.3" footer="0.3"/>
  <pageSetup paperSize="9" orientation="portrait" horizontalDpi="4294967292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/>
  <dimension ref="A1:AN143"/>
  <sheetViews>
    <sheetView zoomScaleNormal="100" workbookViewId="0">
      <pane ySplit="1" topLeftCell="A2" activePane="bottomLeft" state="frozen"/>
      <selection pane="bottomLeft"/>
    </sheetView>
  </sheetViews>
  <sheetFormatPr defaultColWidth="3" defaultRowHeight="15" customHeight="1" x14ac:dyDescent="0.2"/>
  <cols>
    <col min="1" max="1" width="7.6640625" style="5" bestFit="1" customWidth="1"/>
    <col min="2" max="2" width="5.77734375" style="5" bestFit="1" customWidth="1"/>
    <col min="3" max="3" width="5.5546875" style="5" bestFit="1" customWidth="1"/>
    <col min="4" max="4" width="6.6640625" style="5" bestFit="1" customWidth="1"/>
    <col min="5" max="5" width="13.77734375" style="150" bestFit="1" customWidth="1"/>
    <col min="6" max="14" width="5.5546875" style="5" customWidth="1"/>
    <col min="15" max="30" width="6.88671875" style="5" customWidth="1"/>
    <col min="31" max="31" width="11" style="121" customWidth="1"/>
    <col min="32" max="32" width="9.109375" style="5" bestFit="1" customWidth="1"/>
    <col min="33" max="33" width="32.6640625" style="5" customWidth="1"/>
    <col min="34" max="35" width="10" style="5" customWidth="1"/>
    <col min="36" max="36" width="10.21875" style="5" bestFit="1" customWidth="1"/>
    <col min="37" max="37" width="7.33203125" style="5" bestFit="1" customWidth="1"/>
    <col min="38" max="39" width="7.5546875" style="5" bestFit="1" customWidth="1"/>
    <col min="40" max="40" width="6.6640625" style="5" bestFit="1" customWidth="1"/>
    <col min="41" max="16384" width="3" style="22"/>
  </cols>
  <sheetData>
    <row r="1" spans="1:40" s="102" customFormat="1" ht="21.75" customHeight="1" x14ac:dyDescent="0.2">
      <c r="A1" s="208" t="s">
        <v>219</v>
      </c>
      <c r="B1" s="208" t="s">
        <v>220</v>
      </c>
      <c r="C1" s="208" t="s">
        <v>222</v>
      </c>
      <c r="D1" s="208" t="s">
        <v>223</v>
      </c>
      <c r="E1" s="209" t="s">
        <v>1682</v>
      </c>
      <c r="F1" s="208" t="s">
        <v>1686</v>
      </c>
      <c r="G1" s="208" t="s">
        <v>1687</v>
      </c>
      <c r="H1" s="208" t="s">
        <v>1688</v>
      </c>
      <c r="I1" s="208" t="s">
        <v>1689</v>
      </c>
      <c r="J1" s="208" t="s">
        <v>1690</v>
      </c>
      <c r="K1" s="208" t="s">
        <v>1691</v>
      </c>
      <c r="L1" s="208" t="s">
        <v>1692</v>
      </c>
      <c r="M1" s="208" t="s">
        <v>1693</v>
      </c>
      <c r="N1" s="208" t="s">
        <v>1694</v>
      </c>
      <c r="O1" s="208" t="s">
        <v>1695</v>
      </c>
      <c r="P1" s="208" t="s">
        <v>1696</v>
      </c>
      <c r="Q1" s="208" t="s">
        <v>1697</v>
      </c>
      <c r="R1" s="208" t="s">
        <v>1698</v>
      </c>
      <c r="S1" s="208" t="s">
        <v>1699</v>
      </c>
      <c r="T1" s="208" t="s">
        <v>1700</v>
      </c>
      <c r="U1" s="208" t="s">
        <v>1701</v>
      </c>
      <c r="V1" s="208" t="s">
        <v>1702</v>
      </c>
      <c r="W1" s="208" t="s">
        <v>1703</v>
      </c>
      <c r="X1" s="208" t="s">
        <v>1704</v>
      </c>
      <c r="Y1" s="208" t="s">
        <v>1705</v>
      </c>
      <c r="Z1" s="208" t="s">
        <v>1706</v>
      </c>
      <c r="AA1" s="208" t="s">
        <v>1707</v>
      </c>
      <c r="AB1" s="208" t="s">
        <v>1708</v>
      </c>
      <c r="AC1" s="208" t="s">
        <v>1709</v>
      </c>
      <c r="AD1" s="208" t="s">
        <v>1710</v>
      </c>
      <c r="AE1" s="210" t="s">
        <v>1681</v>
      </c>
      <c r="AF1" s="203" t="s">
        <v>1336</v>
      </c>
      <c r="AG1" s="203" t="s">
        <v>1446</v>
      </c>
      <c r="AH1" s="203" t="s">
        <v>1475</v>
      </c>
      <c r="AI1" s="203" t="s">
        <v>1476</v>
      </c>
      <c r="AJ1" s="203" t="s">
        <v>1477</v>
      </c>
      <c r="AK1" s="203" t="s">
        <v>1746</v>
      </c>
      <c r="AL1" s="203" t="s">
        <v>1747</v>
      </c>
      <c r="AM1" s="203" t="s">
        <v>1748</v>
      </c>
      <c r="AN1" s="205" t="s">
        <v>1474</v>
      </c>
    </row>
    <row r="2" spans="1:40" s="102" customFormat="1" ht="15" customHeight="1" x14ac:dyDescent="0.2">
      <c r="A2" s="144" t="s">
        <v>313</v>
      </c>
      <c r="B2" s="144" t="s">
        <v>1759</v>
      </c>
      <c r="C2" s="144">
        <v>2015</v>
      </c>
      <c r="D2" s="144">
        <v>2</v>
      </c>
      <c r="E2" s="163" t="s">
        <v>1735</v>
      </c>
      <c r="F2" s="164">
        <v>8</v>
      </c>
      <c r="G2" s="164">
        <v>33.5</v>
      </c>
      <c r="H2" s="164">
        <v>17</v>
      </c>
      <c r="I2" s="164">
        <v>20</v>
      </c>
      <c r="J2" s="164">
        <v>30</v>
      </c>
      <c r="K2" s="164">
        <v>2.5</v>
      </c>
      <c r="L2" s="164">
        <v>22</v>
      </c>
      <c r="M2" s="164">
        <v>12.5</v>
      </c>
      <c r="N2" s="164">
        <v>12.5</v>
      </c>
      <c r="O2" s="164">
        <v>7.5</v>
      </c>
      <c r="P2" s="164">
        <v>7.5</v>
      </c>
      <c r="Q2" s="164">
        <v>2</v>
      </c>
      <c r="R2" s="164">
        <v>2</v>
      </c>
      <c r="S2" s="164">
        <v>1.5</v>
      </c>
      <c r="T2" s="164">
        <v>4</v>
      </c>
      <c r="U2" s="164">
        <v>5</v>
      </c>
      <c r="V2" s="164">
        <v>9</v>
      </c>
      <c r="W2" s="164">
        <v>15.5</v>
      </c>
      <c r="X2" s="164">
        <v>7</v>
      </c>
      <c r="Y2" s="164">
        <v>1.5</v>
      </c>
      <c r="Z2" s="164">
        <v>10.5</v>
      </c>
      <c r="AA2" s="164">
        <v>38</v>
      </c>
      <c r="AB2" s="164">
        <v>7.5</v>
      </c>
      <c r="AC2" s="164">
        <v>6</v>
      </c>
      <c r="AD2" s="164">
        <v>12</v>
      </c>
      <c r="AE2" s="161"/>
      <c r="AF2" s="162"/>
      <c r="AG2" s="162"/>
      <c r="AH2" s="162"/>
      <c r="AI2" s="162"/>
      <c r="AJ2" s="162"/>
      <c r="AK2" s="162"/>
      <c r="AL2" s="162"/>
      <c r="AM2" s="162"/>
      <c r="AN2" s="83"/>
    </row>
    <row r="3" spans="1:40" ht="15" customHeight="1" x14ac:dyDescent="0.2">
      <c r="A3" s="143" t="s">
        <v>313</v>
      </c>
      <c r="B3" s="143" t="s">
        <v>1759</v>
      </c>
      <c r="C3" s="143">
        <v>2015</v>
      </c>
      <c r="D3" s="143">
        <v>2</v>
      </c>
      <c r="E3" s="144" t="s">
        <v>1730</v>
      </c>
      <c r="F3" s="143">
        <v>1</v>
      </c>
      <c r="G3" s="143">
        <v>1</v>
      </c>
      <c r="H3" s="143">
        <v>1</v>
      </c>
      <c r="I3" s="143">
        <v>1</v>
      </c>
      <c r="J3" s="143">
        <v>1</v>
      </c>
      <c r="K3" s="143">
        <v>1</v>
      </c>
      <c r="L3" s="143">
        <v>1</v>
      </c>
      <c r="M3" s="143">
        <v>1</v>
      </c>
      <c r="N3" s="143">
        <v>1</v>
      </c>
      <c r="O3" s="143">
        <v>1</v>
      </c>
      <c r="P3" s="143">
        <v>1</v>
      </c>
      <c r="Q3" s="143">
        <v>1</v>
      </c>
      <c r="R3" s="143">
        <v>1</v>
      </c>
      <c r="S3" s="143">
        <v>1</v>
      </c>
      <c r="T3" s="143">
        <v>1</v>
      </c>
      <c r="U3" s="143">
        <v>1</v>
      </c>
      <c r="V3" s="143">
        <v>1</v>
      </c>
      <c r="W3" s="143">
        <v>1</v>
      </c>
      <c r="X3" s="143">
        <v>1</v>
      </c>
      <c r="Y3" s="143">
        <v>1</v>
      </c>
      <c r="Z3" s="143">
        <v>1</v>
      </c>
      <c r="AA3" s="143">
        <v>1</v>
      </c>
      <c r="AB3" s="143">
        <v>1</v>
      </c>
      <c r="AC3" s="143">
        <v>1</v>
      </c>
      <c r="AD3" s="143">
        <v>1</v>
      </c>
      <c r="AE3" s="142">
        <v>60</v>
      </c>
      <c r="AF3" s="138">
        <v>25</v>
      </c>
      <c r="AG3" s="138"/>
      <c r="AH3" s="138"/>
      <c r="AI3" s="138"/>
      <c r="AJ3" s="138"/>
      <c r="AK3" s="138"/>
      <c r="AL3" s="138"/>
      <c r="AM3" s="138"/>
      <c r="AN3" s="138"/>
    </row>
    <row r="4" spans="1:40" ht="15" customHeight="1" x14ac:dyDescent="0.2">
      <c r="A4" s="143" t="s">
        <v>313</v>
      </c>
      <c r="B4" s="143" t="s">
        <v>1759</v>
      </c>
      <c r="C4" s="143">
        <v>2015</v>
      </c>
      <c r="D4" s="143">
        <v>2</v>
      </c>
      <c r="E4" s="144" t="s">
        <v>1821</v>
      </c>
      <c r="F4" s="144">
        <v>0</v>
      </c>
      <c r="G4" s="144">
        <v>0</v>
      </c>
      <c r="H4" s="144">
        <v>0</v>
      </c>
      <c r="I4" s="144">
        <v>0</v>
      </c>
      <c r="J4" s="144">
        <v>0</v>
      </c>
      <c r="K4" s="144">
        <v>0</v>
      </c>
      <c r="L4" s="144">
        <v>0</v>
      </c>
      <c r="M4" s="144">
        <v>0</v>
      </c>
      <c r="N4" s="144">
        <v>0</v>
      </c>
      <c r="O4" s="144">
        <v>0</v>
      </c>
      <c r="P4" s="144">
        <v>0</v>
      </c>
      <c r="Q4" s="144">
        <v>0</v>
      </c>
      <c r="R4" s="144">
        <v>0</v>
      </c>
      <c r="S4" s="144">
        <v>1</v>
      </c>
      <c r="T4" s="144">
        <v>1</v>
      </c>
      <c r="U4" s="144">
        <v>0</v>
      </c>
      <c r="V4" s="144">
        <v>0</v>
      </c>
      <c r="W4" s="144">
        <v>0</v>
      </c>
      <c r="X4" s="144">
        <v>0</v>
      </c>
      <c r="Y4" s="144">
        <v>0</v>
      </c>
      <c r="Z4" s="144">
        <v>0</v>
      </c>
      <c r="AA4" s="144">
        <v>0</v>
      </c>
      <c r="AB4" s="144">
        <v>0</v>
      </c>
      <c r="AC4" s="144">
        <v>0</v>
      </c>
      <c r="AD4" s="144">
        <v>0</v>
      </c>
      <c r="AE4" s="142">
        <v>0.1</v>
      </c>
      <c r="AF4" s="138">
        <v>2</v>
      </c>
      <c r="AG4" s="146"/>
      <c r="AH4" s="138" t="s">
        <v>1655</v>
      </c>
      <c r="AI4" s="138"/>
      <c r="AJ4" s="138"/>
      <c r="AK4" s="138" t="s">
        <v>1668</v>
      </c>
      <c r="AL4" s="138"/>
      <c r="AM4" s="138"/>
      <c r="AN4" s="138" t="s">
        <v>1668</v>
      </c>
    </row>
    <row r="5" spans="1:40" ht="15" customHeight="1" x14ac:dyDescent="0.2">
      <c r="A5" s="144" t="s">
        <v>313</v>
      </c>
      <c r="B5" s="144" t="s">
        <v>1759</v>
      </c>
      <c r="C5" s="144">
        <v>2015</v>
      </c>
      <c r="D5" s="143">
        <v>3</v>
      </c>
      <c r="E5" s="163" t="s">
        <v>1735</v>
      </c>
      <c r="F5" s="164">
        <v>6</v>
      </c>
      <c r="G5" s="164">
        <v>2.5</v>
      </c>
      <c r="H5" s="164">
        <v>1.5</v>
      </c>
      <c r="I5" s="164">
        <v>3</v>
      </c>
      <c r="J5" s="164">
        <v>6</v>
      </c>
      <c r="K5" s="164">
        <v>8</v>
      </c>
      <c r="L5" s="164">
        <v>3</v>
      </c>
      <c r="M5" s="164">
        <v>5</v>
      </c>
      <c r="N5" s="164">
        <v>17</v>
      </c>
      <c r="O5" s="164">
        <v>20</v>
      </c>
      <c r="P5" s="164">
        <v>7</v>
      </c>
      <c r="Q5" s="164">
        <v>4</v>
      </c>
      <c r="R5" s="164">
        <v>2</v>
      </c>
      <c r="S5" s="164">
        <v>9</v>
      </c>
      <c r="T5" s="164">
        <v>11.5</v>
      </c>
      <c r="U5" s="164">
        <v>4</v>
      </c>
      <c r="V5" s="164">
        <v>4.5</v>
      </c>
      <c r="W5" s="164">
        <v>3</v>
      </c>
      <c r="X5" s="164">
        <v>10</v>
      </c>
      <c r="Y5" s="164">
        <v>14</v>
      </c>
      <c r="Z5" s="164">
        <v>10</v>
      </c>
      <c r="AA5" s="164">
        <v>6</v>
      </c>
      <c r="AB5" s="164">
        <v>1.5</v>
      </c>
      <c r="AC5" s="164">
        <v>3</v>
      </c>
      <c r="AD5" s="164">
        <v>8</v>
      </c>
      <c r="AE5" s="142"/>
      <c r="AF5" s="138"/>
      <c r="AG5" s="146"/>
      <c r="AH5" s="138"/>
      <c r="AI5" s="138"/>
      <c r="AJ5" s="138"/>
      <c r="AK5" s="138"/>
      <c r="AL5" s="138"/>
      <c r="AM5" s="138"/>
      <c r="AN5" s="138"/>
    </row>
    <row r="6" spans="1:40" ht="15" customHeight="1" x14ac:dyDescent="0.2">
      <c r="A6" s="143" t="s">
        <v>313</v>
      </c>
      <c r="B6" s="143" t="s">
        <v>1759</v>
      </c>
      <c r="C6" s="143">
        <v>2015</v>
      </c>
      <c r="D6" s="143">
        <v>3</v>
      </c>
      <c r="E6" s="144" t="s">
        <v>1821</v>
      </c>
      <c r="F6" s="143">
        <v>0</v>
      </c>
      <c r="G6" s="143">
        <v>1</v>
      </c>
      <c r="H6" s="143">
        <v>1</v>
      </c>
      <c r="I6" s="143">
        <v>0</v>
      </c>
      <c r="J6" s="143">
        <v>0</v>
      </c>
      <c r="K6" s="143">
        <v>0</v>
      </c>
      <c r="L6" s="143">
        <v>1</v>
      </c>
      <c r="M6" s="143">
        <v>0</v>
      </c>
      <c r="N6" s="143">
        <v>0</v>
      </c>
      <c r="O6" s="143">
        <v>0</v>
      </c>
      <c r="P6" s="143">
        <v>0</v>
      </c>
      <c r="Q6" s="143">
        <v>0</v>
      </c>
      <c r="R6" s="143">
        <v>0</v>
      </c>
      <c r="S6" s="143">
        <v>0</v>
      </c>
      <c r="T6" s="143">
        <v>0</v>
      </c>
      <c r="U6" s="143">
        <v>0</v>
      </c>
      <c r="V6" s="143">
        <v>0</v>
      </c>
      <c r="W6" s="143">
        <v>0</v>
      </c>
      <c r="X6" s="143">
        <v>0</v>
      </c>
      <c r="Y6" s="143">
        <v>0</v>
      </c>
      <c r="Z6" s="143">
        <v>0</v>
      </c>
      <c r="AA6" s="143">
        <v>0</v>
      </c>
      <c r="AB6" s="143">
        <v>0</v>
      </c>
      <c r="AC6" s="143">
        <v>0</v>
      </c>
      <c r="AD6" s="143">
        <v>0</v>
      </c>
      <c r="AE6" s="142">
        <v>0.1</v>
      </c>
      <c r="AF6" s="138">
        <v>3</v>
      </c>
      <c r="AG6" s="138"/>
      <c r="AH6" s="138" t="s">
        <v>1655</v>
      </c>
      <c r="AI6" s="138"/>
      <c r="AJ6" s="138"/>
      <c r="AK6" s="138" t="s">
        <v>1668</v>
      </c>
      <c r="AL6" s="138"/>
      <c r="AM6" s="138"/>
      <c r="AN6" s="138" t="s">
        <v>1668</v>
      </c>
    </row>
    <row r="7" spans="1:40" ht="15" customHeight="1" x14ac:dyDescent="0.2">
      <c r="A7" s="143" t="s">
        <v>313</v>
      </c>
      <c r="B7" s="143" t="s">
        <v>1759</v>
      </c>
      <c r="C7" s="143">
        <v>2015</v>
      </c>
      <c r="D7" s="143">
        <v>3</v>
      </c>
      <c r="E7" s="144" t="s">
        <v>1730</v>
      </c>
      <c r="F7" s="3">
        <v>1</v>
      </c>
      <c r="G7" s="3">
        <v>1</v>
      </c>
      <c r="H7" s="3">
        <v>1</v>
      </c>
      <c r="I7" s="3">
        <v>1</v>
      </c>
      <c r="J7" s="3">
        <v>1</v>
      </c>
      <c r="K7" s="3">
        <v>1</v>
      </c>
      <c r="L7" s="3">
        <v>1</v>
      </c>
      <c r="M7" s="3">
        <v>1</v>
      </c>
      <c r="N7" s="3">
        <v>1</v>
      </c>
      <c r="O7" s="3">
        <v>1</v>
      </c>
      <c r="P7" s="3">
        <v>1</v>
      </c>
      <c r="Q7" s="3">
        <v>1</v>
      </c>
      <c r="R7" s="3">
        <v>1</v>
      </c>
      <c r="S7" s="3">
        <v>1</v>
      </c>
      <c r="T7" s="3">
        <v>1</v>
      </c>
      <c r="U7" s="3">
        <v>1</v>
      </c>
      <c r="V7" s="3">
        <v>1</v>
      </c>
      <c r="W7" s="3">
        <v>1</v>
      </c>
      <c r="X7" s="3">
        <v>1</v>
      </c>
      <c r="Y7" s="3">
        <v>1</v>
      </c>
      <c r="Z7" s="3">
        <v>1</v>
      </c>
      <c r="AA7" s="3">
        <v>1</v>
      </c>
      <c r="AB7" s="3">
        <v>1</v>
      </c>
      <c r="AC7" s="3">
        <v>1</v>
      </c>
      <c r="AD7" s="3">
        <v>1</v>
      </c>
      <c r="AE7" s="151">
        <v>4</v>
      </c>
      <c r="AF7" s="138">
        <v>25</v>
      </c>
      <c r="AG7" s="1"/>
      <c r="AH7" s="138"/>
      <c r="AI7" s="138"/>
      <c r="AJ7" s="138"/>
      <c r="AK7" s="138"/>
      <c r="AL7" s="138"/>
      <c r="AM7" s="138"/>
      <c r="AN7" s="138"/>
    </row>
    <row r="8" spans="1:40" ht="15" customHeight="1" x14ac:dyDescent="0.2">
      <c r="A8" s="144" t="s">
        <v>313</v>
      </c>
      <c r="B8" s="144" t="s">
        <v>1759</v>
      </c>
      <c r="C8" s="144">
        <v>2015</v>
      </c>
      <c r="D8" s="143">
        <v>6</v>
      </c>
      <c r="E8" s="163" t="s">
        <v>1735</v>
      </c>
      <c r="F8" s="164">
        <v>6</v>
      </c>
      <c r="G8" s="164">
        <v>10.5</v>
      </c>
      <c r="H8" s="164">
        <v>13</v>
      </c>
      <c r="I8" s="164">
        <v>5.5</v>
      </c>
      <c r="J8" s="164">
        <v>6.5</v>
      </c>
      <c r="K8" s="164">
        <v>10</v>
      </c>
      <c r="L8" s="164">
        <v>10</v>
      </c>
      <c r="M8" s="164">
        <v>8.5</v>
      </c>
      <c r="N8" s="164">
        <v>7.5</v>
      </c>
      <c r="O8" s="164">
        <v>10.5</v>
      </c>
      <c r="P8" s="164">
        <v>12.5</v>
      </c>
      <c r="Q8" s="164">
        <v>8.5</v>
      </c>
      <c r="R8" s="164">
        <v>6.5</v>
      </c>
      <c r="S8" s="164">
        <v>11.5</v>
      </c>
      <c r="T8" s="164">
        <v>8</v>
      </c>
      <c r="U8" s="164">
        <v>12.5</v>
      </c>
      <c r="V8" s="164">
        <v>9.5</v>
      </c>
      <c r="W8" s="164">
        <v>10.5</v>
      </c>
      <c r="X8" s="164">
        <v>13</v>
      </c>
      <c r="Y8" s="164">
        <v>7</v>
      </c>
      <c r="Z8" s="164">
        <v>10.5</v>
      </c>
      <c r="AA8" s="164">
        <v>10.5</v>
      </c>
      <c r="AB8" s="164">
        <v>11.5</v>
      </c>
      <c r="AC8" s="164">
        <v>13.5</v>
      </c>
      <c r="AD8" s="164">
        <v>10.5</v>
      </c>
      <c r="AE8" s="151"/>
      <c r="AF8" s="138"/>
      <c r="AG8" s="1"/>
      <c r="AH8" s="138"/>
      <c r="AI8" s="138"/>
      <c r="AJ8" s="138"/>
      <c r="AK8" s="138"/>
      <c r="AL8" s="138"/>
      <c r="AM8" s="138"/>
      <c r="AN8" s="138"/>
    </row>
    <row r="9" spans="1:40" ht="15" customHeight="1" x14ac:dyDescent="0.2">
      <c r="A9" s="143" t="s">
        <v>313</v>
      </c>
      <c r="B9" s="143" t="s">
        <v>1759</v>
      </c>
      <c r="C9" s="143">
        <v>2015</v>
      </c>
      <c r="D9" s="3">
        <v>6</v>
      </c>
      <c r="E9" s="144" t="s">
        <v>1730</v>
      </c>
      <c r="F9" s="3">
        <v>1</v>
      </c>
      <c r="G9" s="3">
        <v>1</v>
      </c>
      <c r="H9" s="3">
        <v>1</v>
      </c>
      <c r="I9" s="3">
        <v>1</v>
      </c>
      <c r="J9" s="3">
        <v>1</v>
      </c>
      <c r="K9" s="3">
        <v>1</v>
      </c>
      <c r="L9" s="3">
        <v>1</v>
      </c>
      <c r="M9" s="3">
        <v>1</v>
      </c>
      <c r="N9" s="3">
        <v>1</v>
      </c>
      <c r="O9" s="3">
        <v>1</v>
      </c>
      <c r="P9" s="3">
        <v>1</v>
      </c>
      <c r="Q9" s="3">
        <v>1</v>
      </c>
      <c r="R9" s="3">
        <v>1</v>
      </c>
      <c r="S9" s="3">
        <v>1</v>
      </c>
      <c r="T9" s="3">
        <v>1</v>
      </c>
      <c r="U9" s="3">
        <v>1</v>
      </c>
      <c r="V9" s="3">
        <v>1</v>
      </c>
      <c r="W9" s="3">
        <v>1</v>
      </c>
      <c r="X9" s="3">
        <v>1</v>
      </c>
      <c r="Y9" s="3">
        <v>1</v>
      </c>
      <c r="Z9" s="3">
        <v>1</v>
      </c>
      <c r="AA9" s="3">
        <v>1</v>
      </c>
      <c r="AB9" s="3">
        <v>1</v>
      </c>
      <c r="AC9" s="3">
        <v>1</v>
      </c>
      <c r="AD9" s="3">
        <v>1</v>
      </c>
      <c r="AE9" s="151">
        <v>10</v>
      </c>
      <c r="AF9" s="138">
        <v>25</v>
      </c>
      <c r="AG9" s="152"/>
      <c r="AH9" s="138"/>
      <c r="AI9" s="138"/>
      <c r="AJ9" s="138"/>
      <c r="AK9" s="138"/>
      <c r="AL9" s="138"/>
      <c r="AM9" s="138"/>
      <c r="AN9" s="138"/>
    </row>
    <row r="10" spans="1:40" ht="15" customHeight="1" x14ac:dyDescent="0.2">
      <c r="A10" s="143" t="s">
        <v>313</v>
      </c>
      <c r="B10" s="143" t="s">
        <v>1759</v>
      </c>
      <c r="C10" s="143">
        <v>2015</v>
      </c>
      <c r="D10" s="3">
        <v>6</v>
      </c>
      <c r="E10" s="144" t="s">
        <v>1822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1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151">
        <v>0.1</v>
      </c>
      <c r="AF10" s="138">
        <v>1</v>
      </c>
      <c r="AG10" s="1"/>
      <c r="AH10" s="138"/>
      <c r="AI10" s="138"/>
      <c r="AJ10" s="138"/>
      <c r="AK10" s="138"/>
      <c r="AL10" s="138"/>
      <c r="AM10" s="138"/>
      <c r="AN10" s="138"/>
    </row>
    <row r="11" spans="1:40" ht="15" customHeight="1" x14ac:dyDescent="0.2">
      <c r="A11" s="144" t="s">
        <v>313</v>
      </c>
      <c r="B11" s="144" t="s">
        <v>1759</v>
      </c>
      <c r="C11" s="144">
        <v>2015</v>
      </c>
      <c r="D11" s="3">
        <v>7</v>
      </c>
      <c r="E11" s="163" t="s">
        <v>1735</v>
      </c>
      <c r="F11" s="164">
        <v>14</v>
      </c>
      <c r="G11" s="164">
        <v>27</v>
      </c>
      <c r="H11" s="164">
        <v>35</v>
      </c>
      <c r="I11" s="164">
        <v>28</v>
      </c>
      <c r="J11" s="164">
        <v>7</v>
      </c>
      <c r="K11" s="164">
        <v>10</v>
      </c>
      <c r="L11" s="164">
        <v>11</v>
      </c>
      <c r="M11" s="164">
        <v>10</v>
      </c>
      <c r="N11" s="164">
        <v>28</v>
      </c>
      <c r="O11" s="164">
        <v>22</v>
      </c>
      <c r="P11" s="164">
        <v>20</v>
      </c>
      <c r="Q11" s="164">
        <v>8</v>
      </c>
      <c r="R11" s="164">
        <v>11</v>
      </c>
      <c r="S11" s="164">
        <v>39</v>
      </c>
      <c r="T11" s="164">
        <v>37</v>
      </c>
      <c r="U11" s="164">
        <v>17</v>
      </c>
      <c r="V11" s="164">
        <v>33</v>
      </c>
      <c r="W11" s="164">
        <v>23</v>
      </c>
      <c r="X11" s="164">
        <v>20</v>
      </c>
      <c r="Y11" s="164">
        <v>7</v>
      </c>
      <c r="Z11" s="164">
        <v>10</v>
      </c>
      <c r="AA11" s="164">
        <v>33</v>
      </c>
      <c r="AB11" s="164">
        <v>25</v>
      </c>
      <c r="AC11" s="164">
        <v>15</v>
      </c>
      <c r="AD11" s="164">
        <v>33</v>
      </c>
      <c r="AE11" s="151"/>
      <c r="AF11" s="138"/>
      <c r="AG11" s="1"/>
      <c r="AH11" s="138"/>
      <c r="AI11" s="138"/>
      <c r="AJ11" s="138"/>
      <c r="AK11" s="138"/>
      <c r="AL11" s="138"/>
      <c r="AM11" s="138"/>
      <c r="AN11" s="138"/>
    </row>
    <row r="12" spans="1:40" ht="15" customHeight="1" x14ac:dyDescent="0.2">
      <c r="A12" s="143" t="s">
        <v>313</v>
      </c>
      <c r="B12" s="143" t="s">
        <v>1759</v>
      </c>
      <c r="C12" s="143">
        <v>2015</v>
      </c>
      <c r="D12" s="3">
        <v>7</v>
      </c>
      <c r="E12" s="144" t="s">
        <v>1821</v>
      </c>
      <c r="F12" s="3">
        <v>1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1</v>
      </c>
      <c r="R12" s="3">
        <v>0</v>
      </c>
      <c r="S12" s="3">
        <v>1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151">
        <v>0.1</v>
      </c>
      <c r="AF12" s="138">
        <v>3</v>
      </c>
      <c r="AG12" s="152"/>
      <c r="AH12" s="138" t="s">
        <v>1655</v>
      </c>
      <c r="AI12" s="138"/>
      <c r="AJ12" s="138"/>
      <c r="AK12" s="138" t="s">
        <v>1668</v>
      </c>
      <c r="AL12" s="138"/>
      <c r="AM12" s="138"/>
      <c r="AN12" s="138" t="s">
        <v>1668</v>
      </c>
    </row>
    <row r="13" spans="1:40" ht="15" customHeight="1" x14ac:dyDescent="0.2">
      <c r="A13" s="143" t="s">
        <v>313</v>
      </c>
      <c r="B13" s="143" t="s">
        <v>1759</v>
      </c>
      <c r="C13" s="143">
        <v>2015</v>
      </c>
      <c r="D13" s="3">
        <v>7</v>
      </c>
      <c r="E13" s="144" t="s">
        <v>1730</v>
      </c>
      <c r="F13" s="3">
        <v>1</v>
      </c>
      <c r="G13" s="3">
        <v>1</v>
      </c>
      <c r="H13" s="3">
        <v>1</v>
      </c>
      <c r="I13" s="3">
        <v>1</v>
      </c>
      <c r="J13" s="3">
        <v>1</v>
      </c>
      <c r="K13" s="3">
        <v>1</v>
      </c>
      <c r="L13" s="3">
        <v>1</v>
      </c>
      <c r="M13" s="3">
        <v>1</v>
      </c>
      <c r="N13" s="3">
        <v>1</v>
      </c>
      <c r="O13" s="3">
        <v>1</v>
      </c>
      <c r="P13" s="3">
        <v>1</v>
      </c>
      <c r="Q13" s="3">
        <v>1</v>
      </c>
      <c r="R13" s="3">
        <v>0</v>
      </c>
      <c r="S13" s="3">
        <v>1</v>
      </c>
      <c r="T13" s="3">
        <v>1</v>
      </c>
      <c r="U13" s="3">
        <v>1</v>
      </c>
      <c r="V13" s="3">
        <v>1</v>
      </c>
      <c r="W13" s="3">
        <v>1</v>
      </c>
      <c r="X13" s="3">
        <v>1</v>
      </c>
      <c r="Y13" s="3">
        <v>1</v>
      </c>
      <c r="Z13" s="3">
        <v>1</v>
      </c>
      <c r="AA13" s="3">
        <v>1</v>
      </c>
      <c r="AB13" s="3">
        <v>0</v>
      </c>
      <c r="AC13" s="3">
        <v>0</v>
      </c>
      <c r="AD13" s="3">
        <v>0</v>
      </c>
      <c r="AE13" s="151">
        <v>75</v>
      </c>
      <c r="AF13" s="138">
        <v>21</v>
      </c>
      <c r="AG13" s="152"/>
      <c r="AH13" s="138"/>
      <c r="AI13" s="138"/>
      <c r="AJ13" s="138"/>
      <c r="AK13" s="138"/>
      <c r="AL13" s="138"/>
      <c r="AM13" s="138"/>
      <c r="AN13" s="138"/>
    </row>
    <row r="14" spans="1:40" ht="15" customHeight="1" x14ac:dyDescent="0.2">
      <c r="A14" s="144" t="s">
        <v>313</v>
      </c>
      <c r="B14" s="144" t="s">
        <v>1759</v>
      </c>
      <c r="C14" s="144">
        <v>2015</v>
      </c>
      <c r="D14" s="3">
        <v>8</v>
      </c>
      <c r="E14" s="163" t="s">
        <v>1735</v>
      </c>
      <c r="F14" s="164">
        <v>17.5</v>
      </c>
      <c r="G14" s="164">
        <v>15</v>
      </c>
      <c r="H14" s="164">
        <v>11.5</v>
      </c>
      <c r="I14" s="164">
        <v>11</v>
      </c>
      <c r="J14" s="164">
        <v>7.5</v>
      </c>
      <c r="K14" s="164">
        <v>23.5</v>
      </c>
      <c r="L14" s="164">
        <v>15</v>
      </c>
      <c r="M14" s="164">
        <v>18</v>
      </c>
      <c r="N14" s="164">
        <v>9</v>
      </c>
      <c r="O14" s="164">
        <v>9.5</v>
      </c>
      <c r="P14" s="164">
        <v>20</v>
      </c>
      <c r="Q14" s="164">
        <v>18</v>
      </c>
      <c r="R14" s="164">
        <v>26</v>
      </c>
      <c r="S14" s="164">
        <v>8</v>
      </c>
      <c r="T14" s="164">
        <v>6</v>
      </c>
      <c r="U14" s="164">
        <v>9</v>
      </c>
      <c r="V14" s="164">
        <v>26</v>
      </c>
      <c r="W14" s="164">
        <v>19</v>
      </c>
      <c r="X14" s="164">
        <v>9.5</v>
      </c>
      <c r="Y14" s="164">
        <v>4.5</v>
      </c>
      <c r="Z14" s="164">
        <v>8.5</v>
      </c>
      <c r="AA14" s="164">
        <v>11.5</v>
      </c>
      <c r="AB14" s="164">
        <v>9.5</v>
      </c>
      <c r="AC14" s="164">
        <v>14</v>
      </c>
      <c r="AD14" s="164">
        <v>6.5</v>
      </c>
      <c r="AE14" s="151"/>
      <c r="AF14" s="138"/>
      <c r="AG14" s="152"/>
      <c r="AH14" s="138"/>
      <c r="AI14" s="138"/>
      <c r="AJ14" s="138"/>
      <c r="AK14" s="138"/>
      <c r="AL14" s="138"/>
      <c r="AM14" s="138"/>
      <c r="AN14" s="138"/>
    </row>
    <row r="15" spans="1:40" ht="15" customHeight="1" x14ac:dyDescent="0.2">
      <c r="A15" s="143" t="s">
        <v>313</v>
      </c>
      <c r="B15" s="143" t="s">
        <v>1759</v>
      </c>
      <c r="C15" s="143">
        <v>2015</v>
      </c>
      <c r="D15" s="3">
        <v>8</v>
      </c>
      <c r="E15" s="144" t="s">
        <v>1821</v>
      </c>
      <c r="F15" s="3">
        <v>0</v>
      </c>
      <c r="G15" s="3">
        <v>1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151"/>
      <c r="AF15" s="138">
        <v>1</v>
      </c>
      <c r="AG15" s="1" t="s">
        <v>1870</v>
      </c>
      <c r="AH15" s="138" t="s">
        <v>1467</v>
      </c>
      <c r="AI15" s="138"/>
      <c r="AJ15" s="138"/>
      <c r="AK15" s="138"/>
      <c r="AL15" s="138"/>
      <c r="AM15" s="138"/>
      <c r="AN15" s="138"/>
    </row>
    <row r="16" spans="1:40" ht="15" customHeight="1" x14ac:dyDescent="0.2">
      <c r="A16" s="143" t="s">
        <v>313</v>
      </c>
      <c r="B16" s="143" t="s">
        <v>1759</v>
      </c>
      <c r="C16" s="143">
        <v>2015</v>
      </c>
      <c r="D16" s="3">
        <v>8</v>
      </c>
      <c r="E16" s="144" t="s">
        <v>1730</v>
      </c>
      <c r="F16" s="3">
        <v>1</v>
      </c>
      <c r="G16" s="3">
        <v>1</v>
      </c>
      <c r="H16" s="3">
        <v>1</v>
      </c>
      <c r="I16" s="3">
        <v>1</v>
      </c>
      <c r="J16" s="3">
        <v>1</v>
      </c>
      <c r="K16" s="3">
        <v>1</v>
      </c>
      <c r="L16" s="3">
        <v>1</v>
      </c>
      <c r="M16" s="3">
        <v>1</v>
      </c>
      <c r="N16" s="3">
        <v>1</v>
      </c>
      <c r="O16" s="3">
        <v>1</v>
      </c>
      <c r="P16" s="3">
        <v>1</v>
      </c>
      <c r="Q16" s="3">
        <v>1</v>
      </c>
      <c r="R16" s="3">
        <v>1</v>
      </c>
      <c r="S16" s="3">
        <v>1</v>
      </c>
      <c r="T16" s="3">
        <v>1</v>
      </c>
      <c r="U16" s="3">
        <v>1</v>
      </c>
      <c r="V16" s="3">
        <v>1</v>
      </c>
      <c r="W16" s="3">
        <v>1</v>
      </c>
      <c r="X16" s="3">
        <v>1</v>
      </c>
      <c r="Y16" s="3">
        <v>1</v>
      </c>
      <c r="Z16" s="3">
        <v>1</v>
      </c>
      <c r="AA16" s="3">
        <v>1</v>
      </c>
      <c r="AB16" s="3">
        <v>1</v>
      </c>
      <c r="AC16" s="3">
        <v>1</v>
      </c>
      <c r="AD16" s="3">
        <v>1</v>
      </c>
      <c r="AE16" s="151">
        <v>80</v>
      </c>
      <c r="AF16" s="138">
        <v>25</v>
      </c>
      <c r="AG16" s="152"/>
      <c r="AH16" s="138"/>
      <c r="AI16" s="138"/>
      <c r="AJ16" s="138"/>
      <c r="AK16" s="138"/>
      <c r="AL16" s="138"/>
      <c r="AM16" s="138"/>
      <c r="AN16" s="138"/>
    </row>
    <row r="17" spans="1:40" ht="15" customHeight="1" x14ac:dyDescent="0.2">
      <c r="A17" s="144" t="s">
        <v>313</v>
      </c>
      <c r="B17" s="144" t="s">
        <v>1759</v>
      </c>
      <c r="C17" s="144">
        <v>2015</v>
      </c>
      <c r="D17" s="3">
        <v>11</v>
      </c>
      <c r="E17" s="163" t="s">
        <v>1735</v>
      </c>
      <c r="F17" s="164">
        <v>15</v>
      </c>
      <c r="G17" s="164">
        <v>12</v>
      </c>
      <c r="H17" s="164">
        <v>19</v>
      </c>
      <c r="I17" s="164">
        <v>17</v>
      </c>
      <c r="J17" s="164">
        <v>27</v>
      </c>
      <c r="K17" s="164">
        <v>32</v>
      </c>
      <c r="L17" s="164">
        <v>37</v>
      </c>
      <c r="M17" s="164">
        <v>21</v>
      </c>
      <c r="N17" s="164">
        <v>20</v>
      </c>
      <c r="O17" s="164">
        <v>22</v>
      </c>
      <c r="P17" s="164">
        <v>13</v>
      </c>
      <c r="Q17" s="164">
        <v>13</v>
      </c>
      <c r="R17" s="164">
        <v>21</v>
      </c>
      <c r="S17" s="164">
        <v>30</v>
      </c>
      <c r="T17" s="164">
        <v>20</v>
      </c>
      <c r="U17" s="164">
        <v>21</v>
      </c>
      <c r="V17" s="164">
        <v>22</v>
      </c>
      <c r="W17" s="164">
        <v>11</v>
      </c>
      <c r="X17" s="164">
        <v>67</v>
      </c>
      <c r="Y17" s="164">
        <v>47</v>
      </c>
      <c r="Z17" s="164">
        <v>15</v>
      </c>
      <c r="AA17" s="164">
        <v>8</v>
      </c>
      <c r="AB17" s="164">
        <v>37</v>
      </c>
      <c r="AC17" s="164">
        <v>32</v>
      </c>
      <c r="AD17" s="164">
        <v>43</v>
      </c>
      <c r="AE17" s="151"/>
      <c r="AF17" s="138"/>
      <c r="AG17" s="152"/>
      <c r="AH17" s="138"/>
      <c r="AI17" s="138"/>
      <c r="AJ17" s="138"/>
      <c r="AK17" s="138"/>
      <c r="AL17" s="138"/>
      <c r="AM17" s="138"/>
      <c r="AN17" s="138"/>
    </row>
    <row r="18" spans="1:40" ht="15" customHeight="1" x14ac:dyDescent="0.2">
      <c r="A18" s="143" t="s">
        <v>313</v>
      </c>
      <c r="B18" s="143" t="s">
        <v>1759</v>
      </c>
      <c r="C18" s="143">
        <v>2015</v>
      </c>
      <c r="D18" s="3">
        <v>11</v>
      </c>
      <c r="E18" s="144" t="s">
        <v>1821</v>
      </c>
      <c r="F18" s="3">
        <v>0</v>
      </c>
      <c r="G18" s="3">
        <v>0</v>
      </c>
      <c r="H18" s="3">
        <v>1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1</v>
      </c>
      <c r="AB18" s="3">
        <v>0</v>
      </c>
      <c r="AC18" s="3">
        <v>0</v>
      </c>
      <c r="AD18" s="3">
        <v>0</v>
      </c>
      <c r="AE18" s="151">
        <v>0.1</v>
      </c>
      <c r="AF18" s="138">
        <v>2</v>
      </c>
      <c r="AG18" s="152"/>
      <c r="AH18" s="138" t="s">
        <v>1655</v>
      </c>
      <c r="AI18" s="138"/>
      <c r="AJ18" s="138"/>
      <c r="AK18" s="138" t="s">
        <v>1668</v>
      </c>
      <c r="AL18" s="138"/>
      <c r="AM18" s="138"/>
      <c r="AN18" s="138" t="s">
        <v>1668</v>
      </c>
    </row>
    <row r="19" spans="1:40" ht="15" customHeight="1" x14ac:dyDescent="0.2">
      <c r="A19" s="143" t="s">
        <v>313</v>
      </c>
      <c r="B19" s="143" t="s">
        <v>1759</v>
      </c>
      <c r="C19" s="143">
        <v>2015</v>
      </c>
      <c r="D19" s="3">
        <v>11</v>
      </c>
      <c r="E19" s="144" t="s">
        <v>1730</v>
      </c>
      <c r="F19" s="3">
        <v>1</v>
      </c>
      <c r="G19" s="3">
        <v>1</v>
      </c>
      <c r="H19" s="3">
        <v>1</v>
      </c>
      <c r="I19" s="3">
        <v>1</v>
      </c>
      <c r="J19" s="3">
        <v>1</v>
      </c>
      <c r="K19" s="3">
        <v>1</v>
      </c>
      <c r="L19" s="3">
        <v>1</v>
      </c>
      <c r="M19" s="3">
        <v>1</v>
      </c>
      <c r="N19" s="3">
        <v>1</v>
      </c>
      <c r="O19" s="3">
        <v>1</v>
      </c>
      <c r="P19" s="3">
        <v>1</v>
      </c>
      <c r="Q19" s="3">
        <v>1</v>
      </c>
      <c r="R19" s="3">
        <v>1</v>
      </c>
      <c r="S19" s="3">
        <v>1</v>
      </c>
      <c r="T19" s="3">
        <v>1</v>
      </c>
      <c r="U19" s="3">
        <v>1</v>
      </c>
      <c r="V19" s="3">
        <v>1</v>
      </c>
      <c r="W19" s="3">
        <v>1</v>
      </c>
      <c r="X19" s="3">
        <v>1</v>
      </c>
      <c r="Y19" s="3">
        <v>1</v>
      </c>
      <c r="Z19" s="3">
        <v>1</v>
      </c>
      <c r="AA19" s="3">
        <v>1</v>
      </c>
      <c r="AB19" s="3">
        <v>1</v>
      </c>
      <c r="AC19" s="3">
        <v>1</v>
      </c>
      <c r="AD19" s="3">
        <v>1</v>
      </c>
      <c r="AE19" s="151">
        <v>90</v>
      </c>
      <c r="AF19" s="138">
        <v>25</v>
      </c>
      <c r="AG19" s="152"/>
      <c r="AH19" s="138"/>
      <c r="AI19" s="138"/>
      <c r="AJ19" s="138"/>
      <c r="AK19" s="138"/>
      <c r="AL19" s="138"/>
      <c r="AM19" s="138"/>
      <c r="AN19" s="138"/>
    </row>
    <row r="20" spans="1:40" ht="15" customHeight="1" x14ac:dyDescent="0.2">
      <c r="A20" s="144" t="s">
        <v>313</v>
      </c>
      <c r="B20" s="144" t="s">
        <v>1759</v>
      </c>
      <c r="C20" s="144">
        <v>2015</v>
      </c>
      <c r="D20" s="3">
        <v>12</v>
      </c>
      <c r="E20" s="163" t="s">
        <v>1735</v>
      </c>
      <c r="F20" s="164">
        <v>18.5</v>
      </c>
      <c r="G20" s="164">
        <v>23.5</v>
      </c>
      <c r="H20" s="164">
        <v>15</v>
      </c>
      <c r="I20" s="164">
        <v>4</v>
      </c>
      <c r="J20" s="164">
        <v>20</v>
      </c>
      <c r="K20" s="164">
        <v>14.5</v>
      </c>
      <c r="L20" s="164">
        <v>18</v>
      </c>
      <c r="M20" s="164">
        <v>20.5</v>
      </c>
      <c r="N20" s="164">
        <v>15</v>
      </c>
      <c r="O20" s="164">
        <v>44</v>
      </c>
      <c r="P20" s="164">
        <v>22.5</v>
      </c>
      <c r="Q20" s="164">
        <v>19</v>
      </c>
      <c r="R20" s="164">
        <v>20</v>
      </c>
      <c r="S20" s="164">
        <v>15</v>
      </c>
      <c r="T20" s="164">
        <v>23.5</v>
      </c>
      <c r="U20" s="164">
        <v>15</v>
      </c>
      <c r="V20" s="164">
        <v>20</v>
      </c>
      <c r="W20" s="164">
        <v>17</v>
      </c>
      <c r="X20" s="164">
        <v>15</v>
      </c>
      <c r="Y20" s="164">
        <v>15.5</v>
      </c>
      <c r="Z20" s="164">
        <v>18.5</v>
      </c>
      <c r="AA20" s="164">
        <v>19</v>
      </c>
      <c r="AB20" s="164">
        <v>33</v>
      </c>
      <c r="AC20" s="164">
        <v>8.5</v>
      </c>
      <c r="AD20" s="164">
        <v>21</v>
      </c>
      <c r="AE20" s="151"/>
      <c r="AF20" s="138"/>
      <c r="AG20" s="152"/>
      <c r="AH20" s="138"/>
      <c r="AI20" s="138"/>
      <c r="AJ20" s="138"/>
      <c r="AK20" s="138"/>
      <c r="AL20" s="138"/>
      <c r="AM20" s="138"/>
      <c r="AN20" s="138"/>
    </row>
    <row r="21" spans="1:40" ht="15" customHeight="1" x14ac:dyDescent="0.2">
      <c r="A21" s="143" t="s">
        <v>313</v>
      </c>
      <c r="B21" s="143" t="s">
        <v>1759</v>
      </c>
      <c r="C21" s="143">
        <v>2015</v>
      </c>
      <c r="D21" s="3">
        <v>12</v>
      </c>
      <c r="E21" s="144" t="s">
        <v>1730</v>
      </c>
      <c r="F21" s="3">
        <v>0</v>
      </c>
      <c r="G21" s="3">
        <v>1</v>
      </c>
      <c r="H21" s="3">
        <v>1</v>
      </c>
      <c r="I21" s="3">
        <v>1</v>
      </c>
      <c r="J21" s="3">
        <v>1</v>
      </c>
      <c r="K21" s="3">
        <v>0</v>
      </c>
      <c r="L21" s="3">
        <v>1</v>
      </c>
      <c r="M21" s="3">
        <v>1</v>
      </c>
      <c r="N21" s="3">
        <v>1</v>
      </c>
      <c r="O21" s="3">
        <v>0</v>
      </c>
      <c r="P21" s="3">
        <v>0</v>
      </c>
      <c r="Q21" s="3">
        <v>1</v>
      </c>
      <c r="R21" s="3">
        <v>1</v>
      </c>
      <c r="S21" s="3">
        <v>1</v>
      </c>
      <c r="T21" s="3">
        <v>1</v>
      </c>
      <c r="U21" s="3">
        <v>1</v>
      </c>
      <c r="V21" s="3">
        <v>1</v>
      </c>
      <c r="W21" s="3">
        <v>0</v>
      </c>
      <c r="X21" s="3">
        <v>1</v>
      </c>
      <c r="Y21" s="3">
        <v>1</v>
      </c>
      <c r="Z21" s="3">
        <v>0</v>
      </c>
      <c r="AA21" s="3">
        <v>1</v>
      </c>
      <c r="AB21" s="3">
        <v>1</v>
      </c>
      <c r="AC21" s="3">
        <v>1</v>
      </c>
      <c r="AD21" s="3">
        <v>1</v>
      </c>
      <c r="AE21" s="151">
        <v>15</v>
      </c>
      <c r="AF21" s="138">
        <v>19</v>
      </c>
      <c r="AG21" s="152"/>
      <c r="AH21" s="138"/>
      <c r="AI21" s="138"/>
      <c r="AJ21" s="138"/>
      <c r="AK21" s="138"/>
      <c r="AL21" s="138"/>
      <c r="AM21" s="138"/>
      <c r="AN21" s="138"/>
    </row>
    <row r="22" spans="1:40" ht="15" customHeight="1" x14ac:dyDescent="0.2">
      <c r="A22" s="143" t="s">
        <v>313</v>
      </c>
      <c r="B22" s="143" t="s">
        <v>1759</v>
      </c>
      <c r="C22" s="143">
        <v>2015</v>
      </c>
      <c r="D22" s="3">
        <v>13</v>
      </c>
      <c r="E22" s="163" t="s">
        <v>1735</v>
      </c>
      <c r="F22" s="164">
        <v>2</v>
      </c>
      <c r="G22" s="164">
        <v>1</v>
      </c>
      <c r="H22" s="164">
        <v>3.5</v>
      </c>
      <c r="I22" s="164">
        <v>16.5</v>
      </c>
      <c r="J22" s="164">
        <v>2.5</v>
      </c>
      <c r="K22" s="164">
        <v>1.5</v>
      </c>
      <c r="L22" s="164">
        <v>1</v>
      </c>
      <c r="M22" s="164">
        <v>2</v>
      </c>
      <c r="N22" s="164">
        <v>3</v>
      </c>
      <c r="O22" s="164">
        <v>3</v>
      </c>
      <c r="P22" s="164">
        <v>2</v>
      </c>
      <c r="Q22" s="164">
        <v>30</v>
      </c>
      <c r="R22" s="164">
        <v>1.5</v>
      </c>
      <c r="S22" s="164">
        <v>13</v>
      </c>
      <c r="T22" s="164">
        <v>21.5</v>
      </c>
      <c r="U22" s="164">
        <v>2.5</v>
      </c>
      <c r="V22" s="164">
        <v>2.5</v>
      </c>
      <c r="W22" s="164">
        <v>8</v>
      </c>
      <c r="X22" s="164">
        <v>20</v>
      </c>
      <c r="Y22" s="164">
        <v>7.5</v>
      </c>
      <c r="Z22" s="164">
        <v>7.5</v>
      </c>
      <c r="AA22" s="164">
        <v>11</v>
      </c>
      <c r="AB22" s="164">
        <v>6.5</v>
      </c>
      <c r="AC22" s="164">
        <v>24</v>
      </c>
      <c r="AD22" s="164">
        <v>20.5</v>
      </c>
      <c r="AE22" s="151"/>
      <c r="AF22" s="138"/>
      <c r="AG22" s="152"/>
      <c r="AH22" s="138"/>
      <c r="AI22" s="138"/>
      <c r="AJ22" s="138"/>
      <c r="AK22" s="138"/>
      <c r="AL22" s="138"/>
      <c r="AM22" s="138"/>
      <c r="AN22" s="138"/>
    </row>
    <row r="23" spans="1:40" ht="15" customHeight="1" x14ac:dyDescent="0.2">
      <c r="A23" s="144" t="s">
        <v>313</v>
      </c>
      <c r="B23" s="144" t="s">
        <v>1759</v>
      </c>
      <c r="C23" s="144">
        <v>2015</v>
      </c>
      <c r="D23" s="143">
        <v>13</v>
      </c>
      <c r="E23" s="144" t="s">
        <v>1821</v>
      </c>
      <c r="F23" s="143">
        <v>1</v>
      </c>
      <c r="G23" s="143">
        <v>1</v>
      </c>
      <c r="H23" s="143">
        <v>1</v>
      </c>
      <c r="I23" s="143">
        <v>1</v>
      </c>
      <c r="J23" s="143">
        <v>0</v>
      </c>
      <c r="K23" s="143">
        <v>0</v>
      </c>
      <c r="L23" s="143">
        <v>0</v>
      </c>
      <c r="M23" s="143">
        <v>0</v>
      </c>
      <c r="N23" s="143">
        <v>0</v>
      </c>
      <c r="O23" s="143">
        <v>0</v>
      </c>
      <c r="P23" s="143">
        <v>0</v>
      </c>
      <c r="Q23" s="143">
        <v>0</v>
      </c>
      <c r="R23" s="143">
        <v>0</v>
      </c>
      <c r="S23" s="143">
        <v>0</v>
      </c>
      <c r="T23" s="143">
        <v>0</v>
      </c>
      <c r="U23" s="143">
        <v>0</v>
      </c>
      <c r="V23" s="143">
        <v>0</v>
      </c>
      <c r="W23" s="143">
        <v>0</v>
      </c>
      <c r="X23" s="143">
        <v>0</v>
      </c>
      <c r="Y23" s="143">
        <v>0</v>
      </c>
      <c r="Z23" s="143">
        <v>0</v>
      </c>
      <c r="AA23" s="143">
        <v>0</v>
      </c>
      <c r="AB23" s="143">
        <v>0</v>
      </c>
      <c r="AC23" s="143">
        <v>0</v>
      </c>
      <c r="AD23" s="143">
        <v>0</v>
      </c>
      <c r="AE23" s="145">
        <v>6</v>
      </c>
      <c r="AF23" s="138">
        <v>4</v>
      </c>
      <c r="AG23" s="138"/>
      <c r="AH23" s="138"/>
      <c r="AI23" s="138"/>
      <c r="AJ23" s="138"/>
      <c r="AK23" s="138"/>
      <c r="AL23" s="138"/>
      <c r="AM23" s="138"/>
      <c r="AN23" s="138"/>
    </row>
    <row r="24" spans="1:40" ht="15" customHeight="1" x14ac:dyDescent="0.2">
      <c r="A24" s="143" t="s">
        <v>313</v>
      </c>
      <c r="B24" s="143" t="s">
        <v>1759</v>
      </c>
      <c r="C24" s="143">
        <v>2015</v>
      </c>
      <c r="D24" s="144">
        <v>13</v>
      </c>
      <c r="E24" s="144" t="s">
        <v>1730</v>
      </c>
      <c r="F24" s="144">
        <v>1</v>
      </c>
      <c r="G24" s="144">
        <v>1</v>
      </c>
      <c r="H24" s="144">
        <v>1</v>
      </c>
      <c r="I24" s="144">
        <v>1</v>
      </c>
      <c r="J24" s="144">
        <v>0</v>
      </c>
      <c r="K24" s="144">
        <v>0</v>
      </c>
      <c r="L24" s="144">
        <v>0</v>
      </c>
      <c r="M24" s="144">
        <v>0</v>
      </c>
      <c r="N24" s="144">
        <v>0</v>
      </c>
      <c r="O24" s="144">
        <v>0</v>
      </c>
      <c r="P24" s="144">
        <v>0</v>
      </c>
      <c r="Q24" s="144">
        <v>0</v>
      </c>
      <c r="R24" s="144">
        <v>0</v>
      </c>
      <c r="S24" s="144">
        <v>0</v>
      </c>
      <c r="T24" s="144">
        <v>0</v>
      </c>
      <c r="U24" s="144">
        <v>0</v>
      </c>
      <c r="V24" s="144">
        <v>0</v>
      </c>
      <c r="W24" s="144">
        <v>0</v>
      </c>
      <c r="X24" s="144">
        <v>0</v>
      </c>
      <c r="Y24" s="144">
        <v>0</v>
      </c>
      <c r="Z24" s="144">
        <v>0</v>
      </c>
      <c r="AA24" s="144">
        <v>0</v>
      </c>
      <c r="AB24" s="144">
        <v>0</v>
      </c>
      <c r="AC24" s="144">
        <v>0</v>
      </c>
      <c r="AD24" s="144">
        <v>0</v>
      </c>
      <c r="AE24" s="147">
        <v>12</v>
      </c>
      <c r="AF24" s="138">
        <v>4</v>
      </c>
      <c r="AG24" s="146"/>
      <c r="AH24" s="138"/>
      <c r="AI24" s="138"/>
      <c r="AJ24" s="138"/>
      <c r="AK24" s="138"/>
      <c r="AL24" s="138"/>
      <c r="AM24" s="138"/>
      <c r="AN24" s="138"/>
    </row>
    <row r="25" spans="1:40" ht="15" customHeight="1" x14ac:dyDescent="0.2">
      <c r="A25" s="143" t="s">
        <v>313</v>
      </c>
      <c r="B25" s="143" t="s">
        <v>1759</v>
      </c>
      <c r="C25" s="143">
        <v>2015</v>
      </c>
      <c r="D25" s="144">
        <v>14</v>
      </c>
      <c r="E25" s="163" t="s">
        <v>1735</v>
      </c>
      <c r="F25" s="164">
        <v>250</v>
      </c>
      <c r="G25" s="164">
        <v>250</v>
      </c>
      <c r="H25" s="164">
        <v>250</v>
      </c>
      <c r="I25" s="164">
        <v>250</v>
      </c>
      <c r="J25" s="164">
        <v>250</v>
      </c>
      <c r="K25" s="164">
        <v>250</v>
      </c>
      <c r="L25" s="164">
        <v>250</v>
      </c>
      <c r="M25" s="164">
        <v>250</v>
      </c>
      <c r="N25" s="164">
        <v>250</v>
      </c>
      <c r="O25" s="164">
        <v>250</v>
      </c>
      <c r="P25" s="164">
        <v>250</v>
      </c>
      <c r="Q25" s="164">
        <v>250</v>
      </c>
      <c r="R25" s="164">
        <v>250</v>
      </c>
      <c r="S25" s="164">
        <v>250</v>
      </c>
      <c r="T25" s="164">
        <v>250</v>
      </c>
      <c r="U25" s="164">
        <v>250</v>
      </c>
      <c r="V25" s="164">
        <v>250</v>
      </c>
      <c r="W25" s="164">
        <v>250</v>
      </c>
      <c r="X25" s="164">
        <v>250</v>
      </c>
      <c r="Y25" s="164">
        <v>250</v>
      </c>
      <c r="Z25" s="164">
        <v>250</v>
      </c>
      <c r="AA25" s="164">
        <v>250</v>
      </c>
      <c r="AB25" s="164">
        <v>250</v>
      </c>
      <c r="AC25" s="164">
        <v>250</v>
      </c>
      <c r="AD25" s="164">
        <v>250</v>
      </c>
      <c r="AE25" s="147"/>
      <c r="AF25" s="138"/>
      <c r="AG25" s="146" t="s">
        <v>1890</v>
      </c>
      <c r="AH25" s="138" t="s">
        <v>1664</v>
      </c>
      <c r="AI25" s="138"/>
      <c r="AJ25" s="138"/>
      <c r="AK25" s="138"/>
      <c r="AL25" s="138"/>
      <c r="AM25" s="138"/>
      <c r="AN25" s="138"/>
    </row>
    <row r="26" spans="1:40" ht="15" customHeight="1" x14ac:dyDescent="0.2">
      <c r="A26" s="144" t="s">
        <v>313</v>
      </c>
      <c r="B26" s="144" t="s">
        <v>1759</v>
      </c>
      <c r="C26" s="144">
        <v>2015</v>
      </c>
      <c r="D26" s="143">
        <v>14</v>
      </c>
      <c r="E26" s="144" t="s">
        <v>1821</v>
      </c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3"/>
      <c r="T26" s="143"/>
      <c r="U26" s="143"/>
      <c r="V26" s="143"/>
      <c r="W26" s="143"/>
      <c r="X26" s="143"/>
      <c r="Y26" s="143"/>
      <c r="Z26" s="143"/>
      <c r="AA26" s="143"/>
      <c r="AB26" s="143"/>
      <c r="AC26" s="143"/>
      <c r="AD26" s="143"/>
      <c r="AE26" s="145">
        <v>12</v>
      </c>
      <c r="AF26" s="138">
        <v>0</v>
      </c>
      <c r="AG26" s="138" t="s">
        <v>1826</v>
      </c>
      <c r="AH26" s="138" t="s">
        <v>1652</v>
      </c>
      <c r="AI26" s="138" t="s">
        <v>1665</v>
      </c>
      <c r="AJ26" s="138"/>
      <c r="AK26" s="138" t="s">
        <v>1676</v>
      </c>
      <c r="AL26" s="138"/>
      <c r="AM26" s="138"/>
      <c r="AN26" s="138" t="s">
        <v>1676</v>
      </c>
    </row>
    <row r="27" spans="1:40" ht="15" customHeight="1" x14ac:dyDescent="0.2">
      <c r="A27" s="143" t="s">
        <v>313</v>
      </c>
      <c r="B27" s="143" t="s">
        <v>1759</v>
      </c>
      <c r="C27" s="143">
        <v>2015</v>
      </c>
      <c r="D27" s="143">
        <v>14</v>
      </c>
      <c r="E27" s="144" t="s">
        <v>1730</v>
      </c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43"/>
      <c r="AE27" s="145">
        <v>90</v>
      </c>
      <c r="AF27" s="138">
        <v>0</v>
      </c>
      <c r="AG27" s="138" t="s">
        <v>1826</v>
      </c>
      <c r="AH27" s="138" t="s">
        <v>1652</v>
      </c>
      <c r="AI27" s="138" t="s">
        <v>1665</v>
      </c>
      <c r="AJ27" s="138"/>
      <c r="AK27" s="138" t="s">
        <v>1676</v>
      </c>
      <c r="AL27" s="138"/>
      <c r="AM27" s="138"/>
      <c r="AN27" s="138" t="s">
        <v>1676</v>
      </c>
    </row>
    <row r="28" spans="1:40" ht="15" customHeight="1" x14ac:dyDescent="0.2">
      <c r="A28" s="143" t="s">
        <v>313</v>
      </c>
      <c r="B28" s="143" t="s">
        <v>1759</v>
      </c>
      <c r="C28" s="143">
        <v>2015</v>
      </c>
      <c r="D28" s="143">
        <v>16</v>
      </c>
      <c r="E28" s="163" t="s">
        <v>1735</v>
      </c>
      <c r="F28" s="164">
        <v>5</v>
      </c>
      <c r="G28" s="164">
        <v>10</v>
      </c>
      <c r="H28" s="164">
        <v>19</v>
      </c>
      <c r="I28" s="164">
        <v>14</v>
      </c>
      <c r="J28" s="164">
        <v>9</v>
      </c>
      <c r="K28" s="164">
        <v>12</v>
      </c>
      <c r="L28" s="164">
        <v>7</v>
      </c>
      <c r="M28" s="164">
        <v>12</v>
      </c>
      <c r="N28" s="164">
        <v>5</v>
      </c>
      <c r="O28" s="164">
        <v>6</v>
      </c>
      <c r="P28" s="164">
        <v>6</v>
      </c>
      <c r="Q28" s="164">
        <v>6</v>
      </c>
      <c r="R28" s="164">
        <v>7</v>
      </c>
      <c r="S28" s="164">
        <v>9</v>
      </c>
      <c r="T28" s="164">
        <v>11</v>
      </c>
      <c r="U28" s="164">
        <v>12</v>
      </c>
      <c r="V28" s="164">
        <v>11</v>
      </c>
      <c r="W28" s="164">
        <v>5</v>
      </c>
      <c r="X28" s="164">
        <v>6</v>
      </c>
      <c r="Y28" s="164">
        <v>10</v>
      </c>
      <c r="Z28" s="164">
        <v>9</v>
      </c>
      <c r="AA28" s="164">
        <v>8</v>
      </c>
      <c r="AB28" s="164">
        <v>6</v>
      </c>
      <c r="AC28" s="164">
        <v>8</v>
      </c>
      <c r="AD28" s="164">
        <v>6</v>
      </c>
      <c r="AE28" s="145"/>
      <c r="AF28" s="138"/>
      <c r="AG28" s="138"/>
      <c r="AH28" s="138"/>
      <c r="AI28" s="138"/>
      <c r="AJ28" s="138"/>
      <c r="AK28" s="138"/>
      <c r="AL28" s="138"/>
      <c r="AM28" s="138"/>
      <c r="AN28" s="138"/>
    </row>
    <row r="29" spans="1:40" ht="15" customHeight="1" x14ac:dyDescent="0.2">
      <c r="A29" s="144" t="s">
        <v>313</v>
      </c>
      <c r="B29" s="144" t="s">
        <v>1759</v>
      </c>
      <c r="C29" s="144">
        <v>2015</v>
      </c>
      <c r="D29" s="144">
        <v>16</v>
      </c>
      <c r="E29" s="144" t="s">
        <v>1734</v>
      </c>
      <c r="F29" s="144">
        <v>0</v>
      </c>
      <c r="G29" s="144">
        <v>0</v>
      </c>
      <c r="H29" s="144">
        <v>0</v>
      </c>
      <c r="I29" s="144">
        <v>0</v>
      </c>
      <c r="J29" s="144">
        <v>0</v>
      </c>
      <c r="K29" s="144">
        <v>0</v>
      </c>
      <c r="L29" s="144">
        <v>0</v>
      </c>
      <c r="M29" s="144">
        <v>0</v>
      </c>
      <c r="N29" s="144">
        <v>0</v>
      </c>
      <c r="O29" s="144">
        <v>0</v>
      </c>
      <c r="P29" s="144">
        <v>0</v>
      </c>
      <c r="Q29" s="144">
        <v>0</v>
      </c>
      <c r="R29" s="144">
        <v>0</v>
      </c>
      <c r="S29" s="144">
        <v>0</v>
      </c>
      <c r="T29" s="144">
        <v>0</v>
      </c>
      <c r="U29" s="144">
        <v>0</v>
      </c>
      <c r="V29" s="144">
        <v>0</v>
      </c>
      <c r="W29" s="144">
        <v>0</v>
      </c>
      <c r="X29" s="144">
        <v>0</v>
      </c>
      <c r="Y29" s="144">
        <v>0</v>
      </c>
      <c r="Z29" s="144">
        <v>0</v>
      </c>
      <c r="AA29" s="144">
        <v>0</v>
      </c>
      <c r="AB29" s="144">
        <v>0</v>
      </c>
      <c r="AC29" s="144">
        <v>0</v>
      </c>
      <c r="AD29" s="144">
        <v>1</v>
      </c>
      <c r="AE29" s="147">
        <v>1</v>
      </c>
      <c r="AF29" s="138">
        <v>1</v>
      </c>
      <c r="AG29" s="146"/>
      <c r="AH29" s="138"/>
      <c r="AI29" s="138"/>
      <c r="AJ29" s="138"/>
      <c r="AK29" s="138"/>
      <c r="AL29" s="138"/>
      <c r="AM29" s="138"/>
      <c r="AN29" s="138"/>
    </row>
    <row r="30" spans="1:40" ht="15" customHeight="1" x14ac:dyDescent="0.2">
      <c r="A30" s="143" t="s">
        <v>313</v>
      </c>
      <c r="B30" s="143" t="s">
        <v>1759</v>
      </c>
      <c r="C30" s="143">
        <v>2015</v>
      </c>
      <c r="D30" s="143">
        <v>16</v>
      </c>
      <c r="E30" s="144" t="s">
        <v>1822</v>
      </c>
      <c r="F30" s="143">
        <v>1</v>
      </c>
      <c r="G30" s="143">
        <v>1</v>
      </c>
      <c r="H30" s="143">
        <v>0</v>
      </c>
      <c r="I30" s="143">
        <v>0</v>
      </c>
      <c r="J30" s="143">
        <v>1</v>
      </c>
      <c r="K30" s="143">
        <v>0</v>
      </c>
      <c r="L30" s="143">
        <v>1</v>
      </c>
      <c r="M30" s="143">
        <v>1</v>
      </c>
      <c r="N30" s="143">
        <v>1</v>
      </c>
      <c r="O30" s="143">
        <v>0</v>
      </c>
      <c r="P30" s="143">
        <v>1</v>
      </c>
      <c r="Q30" s="143">
        <v>0</v>
      </c>
      <c r="R30" s="143">
        <v>0</v>
      </c>
      <c r="S30" s="143">
        <v>0</v>
      </c>
      <c r="T30" s="143">
        <v>0</v>
      </c>
      <c r="U30" s="143">
        <v>1</v>
      </c>
      <c r="V30" s="143">
        <v>1</v>
      </c>
      <c r="W30" s="143">
        <v>1</v>
      </c>
      <c r="X30" s="143">
        <v>1</v>
      </c>
      <c r="Y30" s="143">
        <v>1</v>
      </c>
      <c r="Z30" s="143">
        <v>1</v>
      </c>
      <c r="AA30" s="143">
        <v>1</v>
      </c>
      <c r="AB30" s="143">
        <v>1</v>
      </c>
      <c r="AC30" s="143">
        <v>1</v>
      </c>
      <c r="AD30" s="143">
        <v>1</v>
      </c>
      <c r="AE30" s="145">
        <v>10</v>
      </c>
      <c r="AF30" s="138">
        <v>17</v>
      </c>
      <c r="AG30" s="1"/>
      <c r="AH30" s="138"/>
      <c r="AI30" s="138"/>
      <c r="AJ30" s="138"/>
      <c r="AK30" s="138"/>
      <c r="AL30" s="138"/>
      <c r="AM30" s="138"/>
      <c r="AN30" s="138"/>
    </row>
    <row r="31" spans="1:40" ht="15" customHeight="1" x14ac:dyDescent="0.2">
      <c r="A31" s="143" t="s">
        <v>313</v>
      </c>
      <c r="B31" s="143" t="s">
        <v>1759</v>
      </c>
      <c r="C31" s="143">
        <v>2015</v>
      </c>
      <c r="D31" s="143">
        <v>18</v>
      </c>
      <c r="E31" s="163" t="s">
        <v>1735</v>
      </c>
      <c r="F31" s="164">
        <v>17</v>
      </c>
      <c r="G31" s="164">
        <v>24</v>
      </c>
      <c r="H31" s="164">
        <v>42</v>
      </c>
      <c r="I31" s="164">
        <v>37</v>
      </c>
      <c r="J31" s="164">
        <v>40</v>
      </c>
      <c r="K31" s="164">
        <v>20</v>
      </c>
      <c r="L31" s="164">
        <v>28</v>
      </c>
      <c r="M31" s="164">
        <v>34</v>
      </c>
      <c r="N31" s="164">
        <v>41</v>
      </c>
      <c r="O31" s="164">
        <v>52</v>
      </c>
      <c r="P31" s="164">
        <v>25</v>
      </c>
      <c r="Q31" s="164">
        <v>20</v>
      </c>
      <c r="R31" s="164">
        <v>20</v>
      </c>
      <c r="S31" s="164">
        <v>24</v>
      </c>
      <c r="T31" s="164">
        <v>38</v>
      </c>
      <c r="U31" s="164">
        <v>14</v>
      </c>
      <c r="V31" s="164">
        <v>18</v>
      </c>
      <c r="W31" s="164">
        <v>8</v>
      </c>
      <c r="X31" s="164">
        <v>8</v>
      </c>
      <c r="Y31" s="164">
        <v>20</v>
      </c>
      <c r="Z31" s="164">
        <v>21</v>
      </c>
      <c r="AA31" s="164">
        <v>15</v>
      </c>
      <c r="AB31" s="164">
        <v>6</v>
      </c>
      <c r="AC31" s="164">
        <v>14</v>
      </c>
      <c r="AD31" s="164">
        <v>34</v>
      </c>
      <c r="AE31" s="145"/>
      <c r="AF31" s="138"/>
      <c r="AG31" s="1"/>
      <c r="AH31" s="138"/>
      <c r="AI31" s="138"/>
      <c r="AJ31" s="138"/>
      <c r="AK31" s="138"/>
      <c r="AL31" s="138"/>
      <c r="AM31" s="138"/>
      <c r="AN31" s="138"/>
    </row>
    <row r="32" spans="1:40" ht="15" customHeight="1" x14ac:dyDescent="0.2">
      <c r="A32" s="144" t="s">
        <v>313</v>
      </c>
      <c r="B32" s="144" t="s">
        <v>1759</v>
      </c>
      <c r="C32" s="144">
        <v>2015</v>
      </c>
      <c r="D32" s="143">
        <v>18</v>
      </c>
      <c r="E32" s="144" t="s">
        <v>1730</v>
      </c>
      <c r="F32" s="143">
        <v>1</v>
      </c>
      <c r="G32" s="143">
        <v>1</v>
      </c>
      <c r="H32" s="143">
        <v>1</v>
      </c>
      <c r="I32" s="143">
        <v>1</v>
      </c>
      <c r="J32" s="143">
        <v>1</v>
      </c>
      <c r="K32" s="143">
        <v>1</v>
      </c>
      <c r="L32" s="143">
        <v>1</v>
      </c>
      <c r="M32" s="143">
        <v>1</v>
      </c>
      <c r="N32" s="143">
        <v>1</v>
      </c>
      <c r="O32" s="143">
        <v>1</v>
      </c>
      <c r="P32" s="143">
        <v>1</v>
      </c>
      <c r="Q32" s="143">
        <v>1</v>
      </c>
      <c r="R32" s="143">
        <v>1</v>
      </c>
      <c r="S32" s="143">
        <v>1</v>
      </c>
      <c r="T32" s="143">
        <v>1</v>
      </c>
      <c r="U32" s="143">
        <v>1</v>
      </c>
      <c r="V32" s="143">
        <v>1</v>
      </c>
      <c r="W32" s="143">
        <v>1</v>
      </c>
      <c r="X32" s="143">
        <v>1</v>
      </c>
      <c r="Y32" s="143">
        <v>1</v>
      </c>
      <c r="Z32" s="143">
        <v>1</v>
      </c>
      <c r="AA32" s="143">
        <v>1</v>
      </c>
      <c r="AB32" s="143">
        <v>1</v>
      </c>
      <c r="AC32" s="143">
        <v>1</v>
      </c>
      <c r="AD32" s="143">
        <v>1</v>
      </c>
      <c r="AE32" s="145">
        <v>90</v>
      </c>
      <c r="AF32" s="138">
        <v>25</v>
      </c>
      <c r="AG32" s="138"/>
      <c r="AH32" s="138"/>
      <c r="AI32" s="138"/>
      <c r="AJ32" s="138"/>
      <c r="AK32" s="138"/>
      <c r="AL32" s="138"/>
      <c r="AM32" s="138"/>
      <c r="AN32" s="138"/>
    </row>
    <row r="33" spans="1:40" ht="15" customHeight="1" x14ac:dyDescent="0.2">
      <c r="A33" s="143" t="s">
        <v>313</v>
      </c>
      <c r="B33" s="143" t="s">
        <v>1759</v>
      </c>
      <c r="C33" s="143">
        <v>2015</v>
      </c>
      <c r="D33" s="143">
        <v>20</v>
      </c>
      <c r="E33" s="163" t="s">
        <v>1735</v>
      </c>
      <c r="F33" s="164">
        <v>4</v>
      </c>
      <c r="G33" s="164">
        <v>5</v>
      </c>
      <c r="H33" s="164">
        <v>7</v>
      </c>
      <c r="I33" s="164">
        <v>7</v>
      </c>
      <c r="J33" s="164">
        <v>2.5</v>
      </c>
      <c r="K33" s="164">
        <v>6</v>
      </c>
      <c r="L33" s="164">
        <v>9.5</v>
      </c>
      <c r="M33" s="164">
        <v>3.5</v>
      </c>
      <c r="N33" s="164">
        <v>3</v>
      </c>
      <c r="O33" s="164">
        <v>3.5</v>
      </c>
      <c r="P33" s="164">
        <v>9</v>
      </c>
      <c r="Q33" s="164">
        <v>3.5</v>
      </c>
      <c r="R33" s="164">
        <v>4</v>
      </c>
      <c r="S33" s="164">
        <v>6</v>
      </c>
      <c r="T33" s="164">
        <v>4.5</v>
      </c>
      <c r="U33" s="164">
        <v>4.5</v>
      </c>
      <c r="V33" s="164">
        <v>11.5</v>
      </c>
      <c r="W33" s="164">
        <v>7.5</v>
      </c>
      <c r="X33" s="164">
        <v>10.5</v>
      </c>
      <c r="Y33" s="164">
        <v>6.5</v>
      </c>
      <c r="Z33" s="164">
        <v>15</v>
      </c>
      <c r="AA33" s="164">
        <v>4.5</v>
      </c>
      <c r="AB33" s="164">
        <v>10</v>
      </c>
      <c r="AC33" s="164">
        <v>3</v>
      </c>
      <c r="AD33" s="164">
        <v>4.5</v>
      </c>
      <c r="AE33" s="145"/>
      <c r="AF33" s="138"/>
      <c r="AG33" s="138"/>
      <c r="AH33" s="138"/>
      <c r="AI33" s="138"/>
      <c r="AJ33" s="138"/>
      <c r="AK33" s="138"/>
      <c r="AL33" s="138"/>
      <c r="AM33" s="138"/>
      <c r="AN33" s="138"/>
    </row>
    <row r="34" spans="1:40" ht="15" customHeight="1" x14ac:dyDescent="0.2">
      <c r="A34" s="143" t="s">
        <v>313</v>
      </c>
      <c r="B34" s="143" t="s">
        <v>1759</v>
      </c>
      <c r="C34" s="143">
        <v>2015</v>
      </c>
      <c r="D34" s="144">
        <v>20</v>
      </c>
      <c r="E34" s="144" t="s">
        <v>1823</v>
      </c>
      <c r="F34" s="144">
        <v>1</v>
      </c>
      <c r="G34" s="144">
        <v>1</v>
      </c>
      <c r="H34" s="144">
        <v>1</v>
      </c>
      <c r="I34" s="144">
        <v>1</v>
      </c>
      <c r="J34" s="144">
        <v>1</v>
      </c>
      <c r="K34" s="144">
        <v>1</v>
      </c>
      <c r="L34" s="144">
        <v>1</v>
      </c>
      <c r="M34" s="144">
        <v>1</v>
      </c>
      <c r="N34" s="144">
        <v>1</v>
      </c>
      <c r="O34" s="144">
        <v>1</v>
      </c>
      <c r="P34" s="144">
        <v>1</v>
      </c>
      <c r="Q34" s="144">
        <v>1</v>
      </c>
      <c r="R34" s="144">
        <v>1</v>
      </c>
      <c r="S34" s="144">
        <v>1</v>
      </c>
      <c r="T34" s="144">
        <v>1</v>
      </c>
      <c r="U34" s="144">
        <v>1</v>
      </c>
      <c r="V34" s="144">
        <v>1</v>
      </c>
      <c r="W34" s="144">
        <v>1</v>
      </c>
      <c r="X34" s="144">
        <v>1</v>
      </c>
      <c r="Y34" s="144">
        <v>1</v>
      </c>
      <c r="Z34" s="144">
        <v>0</v>
      </c>
      <c r="AA34" s="144">
        <v>0</v>
      </c>
      <c r="AB34" s="144">
        <v>1</v>
      </c>
      <c r="AC34" s="144">
        <v>0</v>
      </c>
      <c r="AD34" s="144">
        <v>0</v>
      </c>
      <c r="AE34" s="147">
        <v>10</v>
      </c>
      <c r="AF34" s="138">
        <v>21</v>
      </c>
      <c r="AG34" s="146"/>
      <c r="AH34" s="138"/>
      <c r="AI34" s="138"/>
      <c r="AJ34" s="138"/>
      <c r="AK34" s="138"/>
      <c r="AL34" s="138"/>
      <c r="AM34" s="138"/>
      <c r="AN34" s="138"/>
    </row>
    <row r="35" spans="1:40" ht="15" customHeight="1" x14ac:dyDescent="0.2">
      <c r="A35" s="144" t="s">
        <v>313</v>
      </c>
      <c r="B35" s="144" t="s">
        <v>1759</v>
      </c>
      <c r="C35" s="144">
        <v>2015</v>
      </c>
      <c r="D35" s="143">
        <v>20</v>
      </c>
      <c r="E35" s="144" t="s">
        <v>1730</v>
      </c>
      <c r="F35" s="143">
        <v>1</v>
      </c>
      <c r="G35" s="143">
        <v>1</v>
      </c>
      <c r="H35" s="143">
        <v>1</v>
      </c>
      <c r="I35" s="143">
        <v>1</v>
      </c>
      <c r="J35" s="143">
        <v>1</v>
      </c>
      <c r="K35" s="143">
        <v>1</v>
      </c>
      <c r="L35" s="143">
        <v>1</v>
      </c>
      <c r="M35" s="143">
        <v>1</v>
      </c>
      <c r="N35" s="143">
        <v>1</v>
      </c>
      <c r="O35" s="143">
        <v>1</v>
      </c>
      <c r="P35" s="143">
        <v>1</v>
      </c>
      <c r="Q35" s="143">
        <v>1</v>
      </c>
      <c r="R35" s="143">
        <v>1</v>
      </c>
      <c r="S35" s="143">
        <v>1</v>
      </c>
      <c r="T35" s="143">
        <v>1</v>
      </c>
      <c r="U35" s="143">
        <v>1</v>
      </c>
      <c r="V35" s="143">
        <v>1</v>
      </c>
      <c r="W35" s="143">
        <v>1</v>
      </c>
      <c r="X35" s="143">
        <v>1</v>
      </c>
      <c r="Y35" s="143">
        <v>1</v>
      </c>
      <c r="Z35" s="143">
        <v>1</v>
      </c>
      <c r="AA35" s="143">
        <v>1</v>
      </c>
      <c r="AB35" s="143">
        <v>1</v>
      </c>
      <c r="AC35" s="143">
        <v>1</v>
      </c>
      <c r="AD35" s="143">
        <v>1</v>
      </c>
      <c r="AE35" s="145">
        <v>15</v>
      </c>
      <c r="AF35" s="138">
        <v>25</v>
      </c>
      <c r="AG35" s="138"/>
      <c r="AH35" s="138"/>
      <c r="AI35" s="138"/>
      <c r="AJ35" s="138"/>
      <c r="AK35" s="138"/>
      <c r="AL35" s="138"/>
      <c r="AM35" s="138"/>
      <c r="AN35" s="138"/>
    </row>
    <row r="36" spans="1:40" ht="15" customHeight="1" x14ac:dyDescent="0.2">
      <c r="A36" s="143" t="s">
        <v>313</v>
      </c>
      <c r="B36" s="143" t="s">
        <v>1759</v>
      </c>
      <c r="C36" s="143">
        <v>2015</v>
      </c>
      <c r="D36" s="143">
        <v>20</v>
      </c>
      <c r="E36" s="144" t="s">
        <v>1731</v>
      </c>
      <c r="F36" s="143">
        <v>0</v>
      </c>
      <c r="G36" s="143">
        <v>0</v>
      </c>
      <c r="H36" s="143">
        <v>0</v>
      </c>
      <c r="I36" s="143">
        <v>0</v>
      </c>
      <c r="J36" s="143">
        <v>0</v>
      </c>
      <c r="K36" s="143">
        <v>0</v>
      </c>
      <c r="L36" s="143">
        <v>0</v>
      </c>
      <c r="M36" s="143">
        <v>0</v>
      </c>
      <c r="N36" s="143">
        <v>0</v>
      </c>
      <c r="O36" s="143">
        <v>0</v>
      </c>
      <c r="P36" s="143">
        <v>0</v>
      </c>
      <c r="Q36" s="143">
        <v>0</v>
      </c>
      <c r="R36" s="143">
        <v>0</v>
      </c>
      <c r="S36" s="143">
        <v>0</v>
      </c>
      <c r="T36" s="143">
        <v>0</v>
      </c>
      <c r="U36" s="143">
        <v>0</v>
      </c>
      <c r="V36" s="143">
        <v>0</v>
      </c>
      <c r="W36" s="143">
        <v>0</v>
      </c>
      <c r="X36" s="143">
        <v>0</v>
      </c>
      <c r="Y36" s="143">
        <v>0</v>
      </c>
      <c r="Z36" s="143">
        <v>0</v>
      </c>
      <c r="AA36" s="143">
        <v>0</v>
      </c>
      <c r="AB36" s="143">
        <v>0</v>
      </c>
      <c r="AC36" s="143">
        <v>0</v>
      </c>
      <c r="AD36" s="143">
        <v>1</v>
      </c>
      <c r="AE36" s="145">
        <v>0.1</v>
      </c>
      <c r="AF36" s="138">
        <v>1</v>
      </c>
      <c r="AG36" s="138" t="s">
        <v>1827</v>
      </c>
      <c r="AH36" s="138" t="s">
        <v>1655</v>
      </c>
      <c r="AI36" s="138" t="s">
        <v>1665</v>
      </c>
      <c r="AJ36" s="138"/>
      <c r="AK36" s="138" t="s">
        <v>1668</v>
      </c>
      <c r="AL36" s="138" t="s">
        <v>1677</v>
      </c>
      <c r="AM36" s="138"/>
      <c r="AN36" s="138" t="s">
        <v>1677</v>
      </c>
    </row>
    <row r="37" spans="1:40" ht="15" customHeight="1" x14ac:dyDescent="0.2">
      <c r="A37" s="143" t="s">
        <v>313</v>
      </c>
      <c r="B37" s="143" t="s">
        <v>1759</v>
      </c>
      <c r="C37" s="143">
        <v>2015</v>
      </c>
      <c r="D37" s="143">
        <v>21</v>
      </c>
      <c r="E37" s="163" t="s">
        <v>1735</v>
      </c>
      <c r="F37" s="164">
        <v>21.5</v>
      </c>
      <c r="G37" s="164">
        <v>21.5</v>
      </c>
      <c r="H37" s="164">
        <v>15</v>
      </c>
      <c r="I37" s="164">
        <v>13</v>
      </c>
      <c r="J37" s="164">
        <v>21</v>
      </c>
      <c r="K37" s="164">
        <v>16</v>
      </c>
      <c r="L37" s="164">
        <v>22</v>
      </c>
      <c r="M37" s="164">
        <v>16</v>
      </c>
      <c r="N37" s="164">
        <v>20.5</v>
      </c>
      <c r="O37" s="164">
        <v>17.5</v>
      </c>
      <c r="P37" s="164">
        <v>9</v>
      </c>
      <c r="Q37" s="164">
        <v>19</v>
      </c>
      <c r="R37" s="164">
        <v>11</v>
      </c>
      <c r="S37" s="164">
        <v>19</v>
      </c>
      <c r="T37" s="164">
        <v>18</v>
      </c>
      <c r="U37" s="164">
        <v>14</v>
      </c>
      <c r="V37" s="164">
        <v>18</v>
      </c>
      <c r="W37" s="164">
        <v>19.5</v>
      </c>
      <c r="X37" s="164">
        <v>21</v>
      </c>
      <c r="Y37" s="164">
        <v>19</v>
      </c>
      <c r="Z37" s="164">
        <v>15</v>
      </c>
      <c r="AA37" s="164">
        <v>20.5</v>
      </c>
      <c r="AB37" s="164">
        <v>29</v>
      </c>
      <c r="AC37" s="164">
        <v>27</v>
      </c>
      <c r="AD37" s="164">
        <v>19</v>
      </c>
      <c r="AE37" s="145"/>
      <c r="AF37" s="138"/>
      <c r="AG37" s="138"/>
      <c r="AH37" s="138"/>
      <c r="AI37" s="138"/>
      <c r="AJ37" s="138"/>
      <c r="AK37" s="138"/>
      <c r="AL37" s="138"/>
      <c r="AM37" s="138"/>
      <c r="AN37" s="138"/>
    </row>
    <row r="38" spans="1:40" ht="15" customHeight="1" x14ac:dyDescent="0.2">
      <c r="A38" s="144" t="s">
        <v>313</v>
      </c>
      <c r="B38" s="144" t="s">
        <v>1759</v>
      </c>
      <c r="C38" s="144">
        <v>2015</v>
      </c>
      <c r="D38" s="144">
        <v>21</v>
      </c>
      <c r="E38" s="144" t="s">
        <v>1822</v>
      </c>
      <c r="F38" s="144">
        <v>0</v>
      </c>
      <c r="G38" s="144">
        <v>0</v>
      </c>
      <c r="H38" s="144">
        <v>0</v>
      </c>
      <c r="I38" s="144">
        <v>0</v>
      </c>
      <c r="J38" s="144">
        <v>0</v>
      </c>
      <c r="K38" s="144">
        <v>0</v>
      </c>
      <c r="L38" s="144">
        <v>0</v>
      </c>
      <c r="M38" s="144">
        <v>0</v>
      </c>
      <c r="N38" s="144">
        <v>0</v>
      </c>
      <c r="O38" s="144">
        <v>0</v>
      </c>
      <c r="P38" s="144">
        <v>0</v>
      </c>
      <c r="Q38" s="144">
        <v>0</v>
      </c>
      <c r="R38" s="144">
        <v>0</v>
      </c>
      <c r="S38" s="144">
        <v>0</v>
      </c>
      <c r="T38" s="144">
        <v>0</v>
      </c>
      <c r="U38" s="144">
        <v>0</v>
      </c>
      <c r="V38" s="144">
        <v>0</v>
      </c>
      <c r="W38" s="144">
        <v>0</v>
      </c>
      <c r="X38" s="144">
        <v>1</v>
      </c>
      <c r="Y38" s="144">
        <v>0</v>
      </c>
      <c r="Z38" s="144">
        <v>1</v>
      </c>
      <c r="AA38" s="144">
        <v>1</v>
      </c>
      <c r="AB38" s="144">
        <v>0</v>
      </c>
      <c r="AC38" s="144">
        <v>0</v>
      </c>
      <c r="AD38" s="144">
        <v>0</v>
      </c>
      <c r="AE38" s="147">
        <v>0.1</v>
      </c>
      <c r="AF38" s="138">
        <v>3</v>
      </c>
      <c r="AG38" s="1"/>
      <c r="AH38" s="138"/>
      <c r="AI38" s="138"/>
      <c r="AJ38" s="138"/>
      <c r="AK38" s="138"/>
      <c r="AL38" s="138"/>
      <c r="AM38" s="138"/>
      <c r="AN38" s="138"/>
    </row>
    <row r="39" spans="1:40" ht="15" customHeight="1" x14ac:dyDescent="0.2">
      <c r="A39" s="143" t="s">
        <v>313</v>
      </c>
      <c r="B39" s="143" t="s">
        <v>1759</v>
      </c>
      <c r="C39" s="143">
        <v>2015</v>
      </c>
      <c r="D39" s="143">
        <v>21</v>
      </c>
      <c r="E39" s="144" t="s">
        <v>1730</v>
      </c>
      <c r="F39" s="143">
        <v>1</v>
      </c>
      <c r="G39" s="143">
        <v>1</v>
      </c>
      <c r="H39" s="143">
        <v>1</v>
      </c>
      <c r="I39" s="143">
        <v>1</v>
      </c>
      <c r="J39" s="143">
        <v>1</v>
      </c>
      <c r="K39" s="143">
        <v>1</v>
      </c>
      <c r="L39" s="143">
        <v>1</v>
      </c>
      <c r="M39" s="143">
        <v>1</v>
      </c>
      <c r="N39" s="143">
        <v>1</v>
      </c>
      <c r="O39" s="143">
        <v>1</v>
      </c>
      <c r="P39" s="143">
        <v>1</v>
      </c>
      <c r="Q39" s="143">
        <v>1</v>
      </c>
      <c r="R39" s="143">
        <v>1</v>
      </c>
      <c r="S39" s="143">
        <v>1</v>
      </c>
      <c r="T39" s="143">
        <v>1</v>
      </c>
      <c r="U39" s="143">
        <v>1</v>
      </c>
      <c r="V39" s="143">
        <v>1</v>
      </c>
      <c r="W39" s="143">
        <v>1</v>
      </c>
      <c r="X39" s="143">
        <v>1</v>
      </c>
      <c r="Y39" s="143">
        <v>1</v>
      </c>
      <c r="Z39" s="143">
        <v>1</v>
      </c>
      <c r="AA39" s="143">
        <v>1</v>
      </c>
      <c r="AB39" s="143">
        <v>1</v>
      </c>
      <c r="AC39" s="143">
        <v>1</v>
      </c>
      <c r="AD39" s="143">
        <v>1</v>
      </c>
      <c r="AE39" s="145">
        <v>15</v>
      </c>
      <c r="AF39" s="138">
        <v>25</v>
      </c>
      <c r="AG39" s="138"/>
      <c r="AH39" s="138"/>
      <c r="AI39" s="138"/>
      <c r="AJ39" s="138"/>
      <c r="AK39" s="138"/>
      <c r="AL39" s="138"/>
      <c r="AM39" s="138"/>
      <c r="AN39" s="138"/>
    </row>
    <row r="40" spans="1:40" ht="15" customHeight="1" x14ac:dyDescent="0.2">
      <c r="A40" s="143" t="s">
        <v>313</v>
      </c>
      <c r="B40" s="143" t="s">
        <v>1759</v>
      </c>
      <c r="C40" s="143">
        <v>2015</v>
      </c>
      <c r="D40" s="143">
        <v>24</v>
      </c>
      <c r="E40" s="163" t="s">
        <v>1735</v>
      </c>
      <c r="F40" s="164">
        <v>16</v>
      </c>
      <c r="G40" s="164">
        <v>10</v>
      </c>
      <c r="H40" s="164">
        <v>16</v>
      </c>
      <c r="I40" s="164">
        <v>16</v>
      </c>
      <c r="J40" s="164">
        <v>15</v>
      </c>
      <c r="K40" s="164">
        <v>13</v>
      </c>
      <c r="L40" s="164">
        <v>15</v>
      </c>
      <c r="M40" s="164">
        <v>10</v>
      </c>
      <c r="N40" s="164">
        <v>11</v>
      </c>
      <c r="O40" s="164">
        <v>14</v>
      </c>
      <c r="P40" s="164">
        <v>13</v>
      </c>
      <c r="Q40" s="164">
        <v>21</v>
      </c>
      <c r="R40" s="164">
        <v>14</v>
      </c>
      <c r="S40" s="164">
        <v>10</v>
      </c>
      <c r="T40" s="164">
        <v>7</v>
      </c>
      <c r="U40" s="164">
        <v>7</v>
      </c>
      <c r="V40" s="164">
        <v>19</v>
      </c>
      <c r="W40" s="164">
        <v>11</v>
      </c>
      <c r="X40" s="164">
        <v>16</v>
      </c>
      <c r="Y40" s="164">
        <v>10</v>
      </c>
      <c r="Z40" s="164">
        <v>10</v>
      </c>
      <c r="AA40" s="164">
        <v>14</v>
      </c>
      <c r="AB40" s="164">
        <v>17</v>
      </c>
      <c r="AC40" s="164">
        <v>12</v>
      </c>
      <c r="AD40" s="164">
        <v>22</v>
      </c>
      <c r="AE40" s="145"/>
      <c r="AF40" s="138"/>
      <c r="AG40" s="138"/>
      <c r="AH40" s="138"/>
      <c r="AI40" s="138"/>
      <c r="AJ40" s="138"/>
      <c r="AK40" s="138"/>
      <c r="AL40" s="138"/>
      <c r="AM40" s="138"/>
      <c r="AN40" s="138"/>
    </row>
    <row r="41" spans="1:40" ht="15" customHeight="1" x14ac:dyDescent="0.2">
      <c r="A41" s="144" t="s">
        <v>313</v>
      </c>
      <c r="B41" s="144" t="s">
        <v>1759</v>
      </c>
      <c r="C41" s="144">
        <v>2015</v>
      </c>
      <c r="D41" s="143">
        <v>24</v>
      </c>
      <c r="E41" s="144" t="s">
        <v>1730</v>
      </c>
      <c r="F41" s="143">
        <v>1</v>
      </c>
      <c r="G41" s="143">
        <v>1</v>
      </c>
      <c r="H41" s="143">
        <v>1</v>
      </c>
      <c r="I41" s="143">
        <v>1</v>
      </c>
      <c r="J41" s="143">
        <v>1</v>
      </c>
      <c r="K41" s="143">
        <v>1</v>
      </c>
      <c r="L41" s="143">
        <v>1</v>
      </c>
      <c r="M41" s="143">
        <v>1</v>
      </c>
      <c r="N41" s="143">
        <v>1</v>
      </c>
      <c r="O41" s="143">
        <v>1</v>
      </c>
      <c r="P41" s="143">
        <v>1</v>
      </c>
      <c r="Q41" s="143">
        <v>1</v>
      </c>
      <c r="R41" s="143">
        <v>1</v>
      </c>
      <c r="S41" s="143">
        <v>1</v>
      </c>
      <c r="T41" s="143">
        <v>1</v>
      </c>
      <c r="U41" s="143">
        <v>1</v>
      </c>
      <c r="V41" s="143">
        <v>1</v>
      </c>
      <c r="W41" s="143">
        <v>1</v>
      </c>
      <c r="X41" s="143">
        <v>1</v>
      </c>
      <c r="Y41" s="143">
        <v>1</v>
      </c>
      <c r="Z41" s="143">
        <v>1</v>
      </c>
      <c r="AA41" s="143">
        <v>1</v>
      </c>
      <c r="AB41" s="143">
        <v>1</v>
      </c>
      <c r="AC41" s="143">
        <v>1</v>
      </c>
      <c r="AD41" s="143">
        <v>1</v>
      </c>
      <c r="AE41" s="145">
        <v>30</v>
      </c>
      <c r="AF41" s="138">
        <v>25</v>
      </c>
      <c r="AG41" s="138"/>
      <c r="AH41" s="138"/>
      <c r="AI41" s="138"/>
      <c r="AJ41" s="138"/>
      <c r="AK41" s="138"/>
      <c r="AL41" s="138"/>
      <c r="AM41" s="138"/>
      <c r="AN41" s="138"/>
    </row>
    <row r="42" spans="1:40" ht="15" customHeight="1" x14ac:dyDescent="0.2">
      <c r="A42" s="143" t="s">
        <v>313</v>
      </c>
      <c r="B42" s="143" t="s">
        <v>1759</v>
      </c>
      <c r="C42" s="143">
        <v>2015</v>
      </c>
      <c r="D42" s="143">
        <v>26</v>
      </c>
      <c r="E42" s="163" t="s">
        <v>1735</v>
      </c>
      <c r="F42" s="164">
        <v>12.5</v>
      </c>
      <c r="G42" s="164">
        <v>13.5</v>
      </c>
      <c r="H42" s="164">
        <v>6</v>
      </c>
      <c r="I42" s="164">
        <v>12.5</v>
      </c>
      <c r="J42" s="164">
        <v>22</v>
      </c>
      <c r="K42" s="164">
        <v>8</v>
      </c>
      <c r="L42" s="164">
        <v>9</v>
      </c>
      <c r="M42" s="164">
        <v>6.5</v>
      </c>
      <c r="N42" s="164">
        <v>19.5</v>
      </c>
      <c r="O42" s="164">
        <v>25.5</v>
      </c>
      <c r="P42" s="164">
        <v>11.5</v>
      </c>
      <c r="Q42" s="164">
        <v>16.5</v>
      </c>
      <c r="R42" s="164">
        <v>19</v>
      </c>
      <c r="S42" s="164">
        <v>12</v>
      </c>
      <c r="T42" s="164">
        <v>21.5</v>
      </c>
      <c r="U42" s="164">
        <v>5.5</v>
      </c>
      <c r="V42" s="164">
        <v>19</v>
      </c>
      <c r="W42" s="164">
        <v>35.5</v>
      </c>
      <c r="X42" s="164">
        <v>26.5</v>
      </c>
      <c r="Y42" s="164">
        <v>17.5</v>
      </c>
      <c r="Z42" s="164">
        <v>11</v>
      </c>
      <c r="AA42" s="164">
        <v>13</v>
      </c>
      <c r="AB42" s="164">
        <v>20.5</v>
      </c>
      <c r="AC42" s="164">
        <v>22.5</v>
      </c>
      <c r="AD42" s="164">
        <v>13</v>
      </c>
      <c r="AE42" s="145"/>
      <c r="AF42" s="138"/>
      <c r="AG42" s="138"/>
      <c r="AH42" s="138"/>
      <c r="AI42" s="138"/>
      <c r="AJ42" s="138"/>
      <c r="AK42" s="138"/>
      <c r="AL42" s="138"/>
      <c r="AM42" s="138"/>
      <c r="AN42" s="138"/>
    </row>
    <row r="43" spans="1:40" ht="15" customHeight="1" x14ac:dyDescent="0.2">
      <c r="A43" s="143" t="s">
        <v>313</v>
      </c>
      <c r="B43" s="143" t="s">
        <v>1759</v>
      </c>
      <c r="C43" s="143">
        <v>2015</v>
      </c>
      <c r="D43" s="143">
        <v>26</v>
      </c>
      <c r="E43" s="144" t="s">
        <v>1821</v>
      </c>
      <c r="F43" s="143">
        <v>0</v>
      </c>
      <c r="G43" s="143">
        <v>0</v>
      </c>
      <c r="H43" s="143">
        <v>0</v>
      </c>
      <c r="I43" s="143">
        <v>0</v>
      </c>
      <c r="J43" s="143">
        <v>0</v>
      </c>
      <c r="K43" s="143">
        <v>1</v>
      </c>
      <c r="L43" s="143">
        <v>0</v>
      </c>
      <c r="M43" s="143">
        <v>0</v>
      </c>
      <c r="N43" s="143">
        <v>1</v>
      </c>
      <c r="O43" s="143">
        <v>0</v>
      </c>
      <c r="P43" s="143">
        <v>0</v>
      </c>
      <c r="Q43" s="143">
        <v>0</v>
      </c>
      <c r="R43" s="143">
        <v>0</v>
      </c>
      <c r="S43" s="143">
        <v>1</v>
      </c>
      <c r="T43" s="143">
        <v>0</v>
      </c>
      <c r="U43" s="143">
        <v>1</v>
      </c>
      <c r="V43" s="143">
        <v>0</v>
      </c>
      <c r="W43" s="143">
        <v>0</v>
      </c>
      <c r="X43" s="143">
        <v>0</v>
      </c>
      <c r="Y43" s="143">
        <v>0</v>
      </c>
      <c r="Z43" s="143">
        <v>1</v>
      </c>
      <c r="AA43" s="143">
        <v>0</v>
      </c>
      <c r="AB43" s="143">
        <v>0</v>
      </c>
      <c r="AC43" s="143">
        <v>0</v>
      </c>
      <c r="AD43" s="143">
        <v>0</v>
      </c>
      <c r="AE43" s="145">
        <v>0.1</v>
      </c>
      <c r="AF43" s="138">
        <v>5</v>
      </c>
      <c r="AG43" s="138" t="s">
        <v>1789</v>
      </c>
      <c r="AH43" s="138" t="s">
        <v>1665</v>
      </c>
      <c r="AI43" s="138" t="s">
        <v>1655</v>
      </c>
      <c r="AJ43" s="138"/>
      <c r="AK43" s="138" t="s">
        <v>1668</v>
      </c>
      <c r="AL43" s="138"/>
      <c r="AM43" s="138"/>
      <c r="AN43" s="138" t="s">
        <v>1668</v>
      </c>
    </row>
    <row r="44" spans="1:40" ht="15" customHeight="1" x14ac:dyDescent="0.2">
      <c r="A44" s="144" t="s">
        <v>313</v>
      </c>
      <c r="B44" s="144" t="s">
        <v>1759</v>
      </c>
      <c r="C44" s="144">
        <v>2015</v>
      </c>
      <c r="D44" s="143">
        <v>26</v>
      </c>
      <c r="E44" s="144" t="s">
        <v>1730</v>
      </c>
      <c r="F44" s="143">
        <v>1</v>
      </c>
      <c r="G44" s="143">
        <v>1</v>
      </c>
      <c r="H44" s="143">
        <v>1</v>
      </c>
      <c r="I44" s="143">
        <v>1</v>
      </c>
      <c r="J44" s="143">
        <v>1</v>
      </c>
      <c r="K44" s="143">
        <v>1</v>
      </c>
      <c r="L44" s="143">
        <v>1</v>
      </c>
      <c r="M44" s="143">
        <v>1</v>
      </c>
      <c r="N44" s="143">
        <v>1</v>
      </c>
      <c r="O44" s="143">
        <v>1</v>
      </c>
      <c r="P44" s="143">
        <v>1</v>
      </c>
      <c r="Q44" s="143">
        <v>1</v>
      </c>
      <c r="R44" s="143">
        <v>1</v>
      </c>
      <c r="S44" s="143">
        <v>1</v>
      </c>
      <c r="T44" s="143">
        <v>1</v>
      </c>
      <c r="U44" s="143">
        <v>1</v>
      </c>
      <c r="V44" s="143">
        <v>1</v>
      </c>
      <c r="W44" s="143">
        <v>1</v>
      </c>
      <c r="X44" s="143">
        <v>1</v>
      </c>
      <c r="Y44" s="143">
        <v>1</v>
      </c>
      <c r="Z44" s="143">
        <v>1</v>
      </c>
      <c r="AA44" s="143">
        <v>1</v>
      </c>
      <c r="AB44" s="143">
        <v>1</v>
      </c>
      <c r="AC44" s="143">
        <v>1</v>
      </c>
      <c r="AD44" s="143">
        <v>1</v>
      </c>
      <c r="AE44" s="145">
        <v>80</v>
      </c>
      <c r="AF44" s="138">
        <v>25</v>
      </c>
      <c r="AG44" s="138" t="s">
        <v>1789</v>
      </c>
      <c r="AH44" s="138" t="s">
        <v>1665</v>
      </c>
      <c r="AI44" s="138"/>
      <c r="AJ44" s="138"/>
      <c r="AK44" s="138"/>
      <c r="AL44" s="138"/>
      <c r="AM44" s="138"/>
      <c r="AN44" s="138"/>
    </row>
    <row r="45" spans="1:40" ht="15" customHeight="1" x14ac:dyDescent="0.2">
      <c r="A45" s="143" t="s">
        <v>313</v>
      </c>
      <c r="B45" s="143" t="s">
        <v>1759</v>
      </c>
      <c r="C45" s="143">
        <v>2015</v>
      </c>
      <c r="D45" s="143">
        <v>27</v>
      </c>
      <c r="E45" s="163" t="s">
        <v>1735</v>
      </c>
      <c r="F45" s="164">
        <v>1</v>
      </c>
      <c r="G45" s="164">
        <v>4</v>
      </c>
      <c r="H45" s="164">
        <v>6</v>
      </c>
      <c r="I45" s="164">
        <v>13</v>
      </c>
      <c r="J45" s="164">
        <v>9</v>
      </c>
      <c r="K45" s="164">
        <v>2</v>
      </c>
      <c r="L45" s="164">
        <v>2</v>
      </c>
      <c r="M45" s="164">
        <v>4</v>
      </c>
      <c r="N45" s="164">
        <v>13</v>
      </c>
      <c r="O45" s="164">
        <v>8</v>
      </c>
      <c r="P45" s="164">
        <v>12</v>
      </c>
      <c r="Q45" s="164">
        <v>16</v>
      </c>
      <c r="R45" s="164">
        <v>13</v>
      </c>
      <c r="S45" s="164">
        <v>6</v>
      </c>
      <c r="T45" s="164">
        <v>12</v>
      </c>
      <c r="U45" s="164">
        <v>5</v>
      </c>
      <c r="V45" s="164">
        <v>9</v>
      </c>
      <c r="W45" s="164">
        <v>16</v>
      </c>
      <c r="X45" s="164">
        <v>27</v>
      </c>
      <c r="Y45" s="164">
        <v>3</v>
      </c>
      <c r="Z45" s="164">
        <v>2</v>
      </c>
      <c r="AA45" s="164">
        <v>12</v>
      </c>
      <c r="AB45" s="164">
        <v>37</v>
      </c>
      <c r="AC45" s="164">
        <v>34</v>
      </c>
      <c r="AD45" s="164">
        <v>3</v>
      </c>
      <c r="AE45" s="145"/>
      <c r="AF45" s="138"/>
      <c r="AG45" s="138"/>
      <c r="AH45" s="138"/>
      <c r="AI45" s="138"/>
      <c r="AJ45" s="138"/>
      <c r="AK45" s="138"/>
      <c r="AL45" s="138"/>
      <c r="AM45" s="138"/>
      <c r="AN45" s="138"/>
    </row>
    <row r="46" spans="1:40" ht="15" customHeight="1" x14ac:dyDescent="0.2">
      <c r="A46" s="143" t="s">
        <v>313</v>
      </c>
      <c r="B46" s="143" t="s">
        <v>1759</v>
      </c>
      <c r="C46" s="143">
        <v>2015</v>
      </c>
      <c r="D46" s="144">
        <v>27</v>
      </c>
      <c r="E46" s="144" t="s">
        <v>1822</v>
      </c>
      <c r="F46" s="144">
        <v>1</v>
      </c>
      <c r="G46" s="144">
        <v>0</v>
      </c>
      <c r="H46" s="144">
        <v>0</v>
      </c>
      <c r="I46" s="144">
        <v>1</v>
      </c>
      <c r="J46" s="144">
        <v>0</v>
      </c>
      <c r="K46" s="144">
        <v>0</v>
      </c>
      <c r="L46" s="144">
        <v>1</v>
      </c>
      <c r="M46" s="144">
        <v>1</v>
      </c>
      <c r="N46" s="144">
        <v>0</v>
      </c>
      <c r="O46" s="144">
        <v>0</v>
      </c>
      <c r="P46" s="144">
        <v>0</v>
      </c>
      <c r="Q46" s="144">
        <v>0</v>
      </c>
      <c r="R46" s="144">
        <v>1</v>
      </c>
      <c r="S46" s="144">
        <v>0</v>
      </c>
      <c r="T46" s="144">
        <v>0</v>
      </c>
      <c r="U46" s="144">
        <v>1</v>
      </c>
      <c r="V46" s="144">
        <v>0</v>
      </c>
      <c r="W46" s="144">
        <v>0</v>
      </c>
      <c r="X46" s="144">
        <v>0</v>
      </c>
      <c r="Y46" s="144">
        <v>1</v>
      </c>
      <c r="Z46" s="144">
        <v>0</v>
      </c>
      <c r="AA46" s="144">
        <v>0</v>
      </c>
      <c r="AB46" s="144">
        <v>0</v>
      </c>
      <c r="AC46" s="144">
        <v>0</v>
      </c>
      <c r="AD46" s="144">
        <v>1</v>
      </c>
      <c r="AE46" s="147">
        <v>12</v>
      </c>
      <c r="AF46" s="138">
        <v>8</v>
      </c>
      <c r="AG46" s="1"/>
      <c r="AH46" s="138"/>
      <c r="AI46" s="138"/>
      <c r="AJ46" s="138"/>
      <c r="AK46" s="138"/>
      <c r="AL46" s="138"/>
      <c r="AM46" s="138"/>
      <c r="AN46" s="138"/>
    </row>
    <row r="47" spans="1:40" ht="15" customHeight="1" x14ac:dyDescent="0.2">
      <c r="A47" s="144" t="s">
        <v>313</v>
      </c>
      <c r="B47" s="144" t="s">
        <v>1759</v>
      </c>
      <c r="C47" s="144">
        <v>2015</v>
      </c>
      <c r="D47" s="144">
        <v>29</v>
      </c>
      <c r="E47" s="163" t="s">
        <v>1735</v>
      </c>
      <c r="F47" s="164">
        <v>8</v>
      </c>
      <c r="G47" s="164">
        <v>15</v>
      </c>
      <c r="H47" s="164">
        <v>8</v>
      </c>
      <c r="I47" s="164">
        <v>8</v>
      </c>
      <c r="J47" s="164">
        <v>8</v>
      </c>
      <c r="K47" s="164">
        <v>12</v>
      </c>
      <c r="L47" s="164">
        <v>13</v>
      </c>
      <c r="M47" s="164">
        <v>14</v>
      </c>
      <c r="N47" s="164">
        <v>11</v>
      </c>
      <c r="O47" s="164">
        <v>17</v>
      </c>
      <c r="P47" s="164">
        <v>10</v>
      </c>
      <c r="Q47" s="164">
        <v>10</v>
      </c>
      <c r="R47" s="164">
        <v>23</v>
      </c>
      <c r="S47" s="164">
        <v>8</v>
      </c>
      <c r="T47" s="164">
        <v>15</v>
      </c>
      <c r="U47" s="164">
        <v>10</v>
      </c>
      <c r="V47" s="164">
        <v>14</v>
      </c>
      <c r="W47" s="164">
        <v>12</v>
      </c>
      <c r="X47" s="164">
        <v>14</v>
      </c>
      <c r="Y47" s="164">
        <v>11</v>
      </c>
      <c r="Z47" s="164">
        <v>10</v>
      </c>
      <c r="AA47" s="164">
        <v>9</v>
      </c>
      <c r="AB47" s="164">
        <v>11</v>
      </c>
      <c r="AC47" s="164">
        <v>13</v>
      </c>
      <c r="AD47" s="164">
        <v>5</v>
      </c>
      <c r="AE47" s="147"/>
      <c r="AF47" s="138"/>
      <c r="AG47" s="1"/>
      <c r="AH47" s="138"/>
      <c r="AI47" s="138"/>
      <c r="AJ47" s="138"/>
      <c r="AK47" s="138"/>
      <c r="AL47" s="138"/>
      <c r="AM47" s="138"/>
      <c r="AN47" s="138"/>
    </row>
    <row r="48" spans="1:40" ht="15" customHeight="1" x14ac:dyDescent="0.2">
      <c r="A48" s="143" t="s">
        <v>313</v>
      </c>
      <c r="B48" s="143" t="s">
        <v>1759</v>
      </c>
      <c r="C48" s="143">
        <v>2015</v>
      </c>
      <c r="D48" s="143">
        <v>29</v>
      </c>
      <c r="E48" s="144" t="s">
        <v>1730</v>
      </c>
      <c r="F48" s="143">
        <v>1</v>
      </c>
      <c r="G48" s="143">
        <v>1</v>
      </c>
      <c r="H48" s="143">
        <v>1</v>
      </c>
      <c r="I48" s="143">
        <v>1</v>
      </c>
      <c r="J48" s="143">
        <v>1</v>
      </c>
      <c r="K48" s="143">
        <v>1</v>
      </c>
      <c r="L48" s="143">
        <v>1</v>
      </c>
      <c r="M48" s="143">
        <v>1</v>
      </c>
      <c r="N48" s="143">
        <v>1</v>
      </c>
      <c r="O48" s="143">
        <v>1</v>
      </c>
      <c r="P48" s="143">
        <v>1</v>
      </c>
      <c r="Q48" s="143">
        <v>1</v>
      </c>
      <c r="R48" s="143">
        <v>1</v>
      </c>
      <c r="S48" s="143">
        <v>1</v>
      </c>
      <c r="T48" s="143">
        <v>1</v>
      </c>
      <c r="U48" s="143">
        <v>1</v>
      </c>
      <c r="V48" s="143">
        <v>1</v>
      </c>
      <c r="W48" s="143">
        <v>1</v>
      </c>
      <c r="X48" s="143">
        <v>1</v>
      </c>
      <c r="Y48" s="143">
        <v>1</v>
      </c>
      <c r="Z48" s="143">
        <v>1</v>
      </c>
      <c r="AA48" s="143">
        <v>1</v>
      </c>
      <c r="AB48" s="143">
        <v>1</v>
      </c>
      <c r="AC48" s="143">
        <v>1</v>
      </c>
      <c r="AD48" s="143">
        <v>1</v>
      </c>
      <c r="AE48" s="145">
        <v>15</v>
      </c>
      <c r="AF48" s="138">
        <v>25</v>
      </c>
      <c r="AG48" s="138"/>
      <c r="AH48" s="138"/>
      <c r="AI48" s="138"/>
      <c r="AJ48" s="138"/>
      <c r="AK48" s="138"/>
      <c r="AL48" s="138"/>
      <c r="AM48" s="138"/>
      <c r="AN48" s="138"/>
    </row>
    <row r="49" spans="1:40" ht="15" customHeight="1" x14ac:dyDescent="0.2">
      <c r="A49" s="143" t="s">
        <v>313</v>
      </c>
      <c r="B49" s="143" t="s">
        <v>1759</v>
      </c>
      <c r="C49" s="143">
        <v>2015</v>
      </c>
      <c r="D49" s="143">
        <v>30</v>
      </c>
      <c r="E49" s="163" t="s">
        <v>1735</v>
      </c>
      <c r="F49" s="164">
        <v>1</v>
      </c>
      <c r="G49" s="164">
        <v>9</v>
      </c>
      <c r="H49" s="164">
        <v>17</v>
      </c>
      <c r="I49" s="164">
        <v>8</v>
      </c>
      <c r="J49" s="164">
        <v>18</v>
      </c>
      <c r="K49" s="164">
        <v>8</v>
      </c>
      <c r="L49" s="164">
        <v>7</v>
      </c>
      <c r="M49" s="164">
        <v>6.5</v>
      </c>
      <c r="N49" s="164">
        <v>10</v>
      </c>
      <c r="O49" s="164">
        <v>10</v>
      </c>
      <c r="P49" s="164">
        <v>10</v>
      </c>
      <c r="Q49" s="164">
        <v>10.5</v>
      </c>
      <c r="R49" s="164">
        <v>3.5</v>
      </c>
      <c r="S49" s="164">
        <v>5</v>
      </c>
      <c r="T49" s="164">
        <v>9</v>
      </c>
      <c r="U49" s="164">
        <v>6</v>
      </c>
      <c r="V49" s="164">
        <v>6</v>
      </c>
      <c r="W49" s="164">
        <v>3.5</v>
      </c>
      <c r="X49" s="164">
        <v>5</v>
      </c>
      <c r="Y49" s="164">
        <v>9.5</v>
      </c>
      <c r="Z49" s="164">
        <v>7.5</v>
      </c>
      <c r="AA49" s="164">
        <v>6.5</v>
      </c>
      <c r="AB49" s="164">
        <v>10</v>
      </c>
      <c r="AC49" s="164">
        <v>12.5</v>
      </c>
      <c r="AD49" s="164">
        <v>5</v>
      </c>
      <c r="AE49" s="145"/>
      <c r="AF49" s="138"/>
      <c r="AG49" s="138"/>
      <c r="AH49" s="138"/>
      <c r="AI49" s="138"/>
      <c r="AJ49" s="138"/>
      <c r="AK49" s="138"/>
      <c r="AL49" s="138"/>
      <c r="AM49" s="138"/>
      <c r="AN49" s="138"/>
    </row>
    <row r="50" spans="1:40" ht="15" customHeight="1" x14ac:dyDescent="0.2">
      <c r="A50" s="144" t="s">
        <v>313</v>
      </c>
      <c r="B50" s="144" t="s">
        <v>1759</v>
      </c>
      <c r="C50" s="144">
        <v>2015</v>
      </c>
      <c r="D50" s="143">
        <v>30</v>
      </c>
      <c r="E50" s="144" t="s">
        <v>1822</v>
      </c>
      <c r="F50" s="143">
        <v>1</v>
      </c>
      <c r="G50" s="143">
        <v>1</v>
      </c>
      <c r="H50" s="143">
        <v>1</v>
      </c>
      <c r="I50" s="143">
        <v>1</v>
      </c>
      <c r="J50" s="143">
        <v>1</v>
      </c>
      <c r="K50" s="143">
        <v>1</v>
      </c>
      <c r="L50" s="143">
        <v>1</v>
      </c>
      <c r="M50" s="143">
        <v>1</v>
      </c>
      <c r="N50" s="143">
        <v>1</v>
      </c>
      <c r="O50" s="143">
        <v>1</v>
      </c>
      <c r="P50" s="143">
        <v>1</v>
      </c>
      <c r="Q50" s="143">
        <v>1</v>
      </c>
      <c r="R50" s="143">
        <v>1</v>
      </c>
      <c r="S50" s="143">
        <v>1</v>
      </c>
      <c r="T50" s="143">
        <v>1</v>
      </c>
      <c r="U50" s="143">
        <v>1</v>
      </c>
      <c r="V50" s="143">
        <v>1</v>
      </c>
      <c r="W50" s="143">
        <v>1</v>
      </c>
      <c r="X50" s="143">
        <v>1</v>
      </c>
      <c r="Y50" s="143">
        <v>1</v>
      </c>
      <c r="Z50" s="143">
        <v>1</v>
      </c>
      <c r="AA50" s="143">
        <v>1</v>
      </c>
      <c r="AB50" s="143">
        <v>1</v>
      </c>
      <c r="AC50" s="143">
        <v>1</v>
      </c>
      <c r="AD50" s="143">
        <v>1</v>
      </c>
      <c r="AE50" s="145">
        <v>80</v>
      </c>
      <c r="AF50" s="138">
        <v>25</v>
      </c>
      <c r="AG50" s="1"/>
      <c r="AH50" s="138"/>
      <c r="AI50" s="138"/>
      <c r="AJ50" s="138"/>
      <c r="AK50" s="138"/>
      <c r="AL50" s="138"/>
      <c r="AM50" s="138"/>
      <c r="AN50" s="138"/>
    </row>
    <row r="51" spans="1:40" ht="15" customHeight="1" x14ac:dyDescent="0.2">
      <c r="A51" s="143" t="s">
        <v>313</v>
      </c>
      <c r="B51" s="143" t="s">
        <v>1759</v>
      </c>
      <c r="C51" s="143">
        <v>2015</v>
      </c>
      <c r="D51" s="143">
        <v>30</v>
      </c>
      <c r="E51" s="144" t="s">
        <v>1730</v>
      </c>
      <c r="F51" s="143">
        <v>0</v>
      </c>
      <c r="G51" s="143">
        <v>1</v>
      </c>
      <c r="H51" s="143">
        <v>1</v>
      </c>
      <c r="I51" s="143">
        <v>1</v>
      </c>
      <c r="J51" s="143">
        <v>1</v>
      </c>
      <c r="K51" s="143">
        <v>1</v>
      </c>
      <c r="L51" s="143">
        <v>1</v>
      </c>
      <c r="M51" s="143">
        <v>1</v>
      </c>
      <c r="N51" s="143">
        <v>1</v>
      </c>
      <c r="O51" s="143">
        <v>1</v>
      </c>
      <c r="P51" s="143">
        <v>1</v>
      </c>
      <c r="Q51" s="143">
        <v>1</v>
      </c>
      <c r="R51" s="143">
        <v>1</v>
      </c>
      <c r="S51" s="143">
        <v>1</v>
      </c>
      <c r="T51" s="143">
        <v>1</v>
      </c>
      <c r="U51" s="143">
        <v>1</v>
      </c>
      <c r="V51" s="143">
        <v>1</v>
      </c>
      <c r="W51" s="143">
        <v>1</v>
      </c>
      <c r="X51" s="143">
        <v>1</v>
      </c>
      <c r="Y51" s="143">
        <v>1</v>
      </c>
      <c r="Z51" s="143">
        <v>1</v>
      </c>
      <c r="AA51" s="143">
        <v>1</v>
      </c>
      <c r="AB51" s="143">
        <v>1</v>
      </c>
      <c r="AC51" s="143">
        <v>1</v>
      </c>
      <c r="AD51" s="143">
        <v>1</v>
      </c>
      <c r="AE51" s="145">
        <v>1</v>
      </c>
      <c r="AF51" s="138">
        <v>24</v>
      </c>
      <c r="AG51" s="138"/>
      <c r="AH51" s="138"/>
      <c r="AI51" s="138"/>
      <c r="AJ51" s="138"/>
      <c r="AK51" s="138"/>
      <c r="AL51" s="138"/>
      <c r="AM51" s="138"/>
      <c r="AN51" s="138"/>
    </row>
    <row r="52" spans="1:40" ht="15" customHeight="1" x14ac:dyDescent="0.2">
      <c r="A52" s="143" t="s">
        <v>313</v>
      </c>
      <c r="B52" s="143" t="s">
        <v>1759</v>
      </c>
      <c r="C52" s="143">
        <v>2015</v>
      </c>
      <c r="D52" s="144">
        <v>30</v>
      </c>
      <c r="E52" s="144" t="s">
        <v>1734</v>
      </c>
      <c r="F52" s="144">
        <v>1</v>
      </c>
      <c r="G52" s="144">
        <v>1</v>
      </c>
      <c r="H52" s="144">
        <v>0</v>
      </c>
      <c r="I52" s="144">
        <v>1</v>
      </c>
      <c r="J52" s="144">
        <v>1</v>
      </c>
      <c r="K52" s="144">
        <v>0</v>
      </c>
      <c r="L52" s="144">
        <v>0</v>
      </c>
      <c r="M52" s="144">
        <v>1</v>
      </c>
      <c r="N52" s="144">
        <v>1</v>
      </c>
      <c r="O52" s="144">
        <v>1</v>
      </c>
      <c r="P52" s="144">
        <v>0</v>
      </c>
      <c r="Q52" s="144">
        <v>0</v>
      </c>
      <c r="R52" s="144">
        <v>0</v>
      </c>
      <c r="S52" s="144">
        <v>1</v>
      </c>
      <c r="T52" s="144">
        <v>1</v>
      </c>
      <c r="U52" s="144">
        <v>0</v>
      </c>
      <c r="V52" s="144">
        <v>0</v>
      </c>
      <c r="W52" s="144">
        <v>1</v>
      </c>
      <c r="X52" s="144">
        <v>1</v>
      </c>
      <c r="Y52" s="144">
        <v>0</v>
      </c>
      <c r="Z52" s="144">
        <v>0</v>
      </c>
      <c r="AA52" s="144">
        <v>0</v>
      </c>
      <c r="AB52" s="144">
        <v>0</v>
      </c>
      <c r="AC52" s="144">
        <v>1</v>
      </c>
      <c r="AD52" s="144">
        <v>1</v>
      </c>
      <c r="AE52" s="147">
        <v>5</v>
      </c>
      <c r="AF52" s="138">
        <v>13</v>
      </c>
      <c r="AG52" s="146"/>
      <c r="AH52" s="138"/>
      <c r="AI52" s="138"/>
      <c r="AJ52" s="138"/>
      <c r="AK52" s="138"/>
      <c r="AL52" s="138"/>
      <c r="AM52" s="138"/>
      <c r="AN52" s="138"/>
    </row>
    <row r="53" spans="1:40" ht="15" customHeight="1" x14ac:dyDescent="0.2">
      <c r="A53" s="144" t="s">
        <v>313</v>
      </c>
      <c r="B53" s="144" t="s">
        <v>1759</v>
      </c>
      <c r="C53" s="144">
        <v>2015</v>
      </c>
      <c r="D53" s="144">
        <v>35</v>
      </c>
      <c r="E53" s="163" t="s">
        <v>1735</v>
      </c>
      <c r="F53" s="164">
        <v>11</v>
      </c>
      <c r="G53" s="164">
        <v>9</v>
      </c>
      <c r="H53" s="164">
        <v>8</v>
      </c>
      <c r="I53" s="164">
        <v>4</v>
      </c>
      <c r="J53" s="164">
        <v>2</v>
      </c>
      <c r="K53" s="164">
        <v>19</v>
      </c>
      <c r="L53" s="164">
        <v>18</v>
      </c>
      <c r="M53" s="164">
        <v>18</v>
      </c>
      <c r="N53" s="164">
        <v>12</v>
      </c>
      <c r="O53" s="164">
        <v>8</v>
      </c>
      <c r="P53" s="164">
        <v>5</v>
      </c>
      <c r="Q53" s="164">
        <v>6</v>
      </c>
      <c r="R53" s="164">
        <v>17</v>
      </c>
      <c r="S53" s="164">
        <v>2</v>
      </c>
      <c r="T53" s="164">
        <v>19</v>
      </c>
      <c r="U53" s="164">
        <v>15</v>
      </c>
      <c r="V53" s="164">
        <v>25</v>
      </c>
      <c r="W53" s="164">
        <v>21</v>
      </c>
      <c r="X53" s="164">
        <v>9</v>
      </c>
      <c r="Y53" s="164">
        <v>16</v>
      </c>
      <c r="Z53" s="164">
        <v>28</v>
      </c>
      <c r="AA53" s="164">
        <v>22</v>
      </c>
      <c r="AB53" s="164">
        <v>19</v>
      </c>
      <c r="AC53" s="164">
        <v>16</v>
      </c>
      <c r="AD53" s="164">
        <v>11</v>
      </c>
      <c r="AE53" s="147"/>
      <c r="AF53" s="138"/>
      <c r="AG53" s="146"/>
      <c r="AH53" s="138"/>
      <c r="AI53" s="138"/>
      <c r="AJ53" s="138"/>
      <c r="AK53" s="138"/>
      <c r="AL53" s="138"/>
      <c r="AM53" s="138"/>
      <c r="AN53" s="138"/>
    </row>
    <row r="54" spans="1:40" ht="15" customHeight="1" x14ac:dyDescent="0.2">
      <c r="A54" s="143" t="s">
        <v>313</v>
      </c>
      <c r="B54" s="143" t="s">
        <v>1759</v>
      </c>
      <c r="C54" s="143">
        <v>2015</v>
      </c>
      <c r="D54" s="143">
        <v>35</v>
      </c>
      <c r="E54" s="144" t="s">
        <v>1730</v>
      </c>
      <c r="F54" s="143">
        <v>0</v>
      </c>
      <c r="G54" s="143">
        <v>1</v>
      </c>
      <c r="H54" s="143">
        <v>1</v>
      </c>
      <c r="I54" s="143">
        <v>1</v>
      </c>
      <c r="J54" s="143">
        <v>1</v>
      </c>
      <c r="K54" s="143">
        <v>1</v>
      </c>
      <c r="L54" s="143">
        <v>1</v>
      </c>
      <c r="M54" s="143">
        <v>0</v>
      </c>
      <c r="N54" s="143">
        <v>1</v>
      </c>
      <c r="O54" s="143">
        <v>0</v>
      </c>
      <c r="P54" s="143">
        <v>1</v>
      </c>
      <c r="Q54" s="143">
        <v>1</v>
      </c>
      <c r="R54" s="143">
        <v>0</v>
      </c>
      <c r="S54" s="143">
        <v>0</v>
      </c>
      <c r="T54" s="143">
        <v>1</v>
      </c>
      <c r="U54" s="143">
        <v>0</v>
      </c>
      <c r="V54" s="143">
        <v>0</v>
      </c>
      <c r="W54" s="143">
        <v>0</v>
      </c>
      <c r="X54" s="143">
        <v>0</v>
      </c>
      <c r="Y54" s="143">
        <v>0</v>
      </c>
      <c r="Z54" s="143">
        <v>0</v>
      </c>
      <c r="AA54" s="143">
        <v>0</v>
      </c>
      <c r="AB54" s="143">
        <v>0</v>
      </c>
      <c r="AC54" s="143">
        <v>0</v>
      </c>
      <c r="AD54" s="143">
        <v>1</v>
      </c>
      <c r="AE54" s="145"/>
      <c r="AF54" s="138">
        <v>11</v>
      </c>
      <c r="AG54" s="138" t="s">
        <v>1870</v>
      </c>
      <c r="AH54" s="138" t="s">
        <v>1467</v>
      </c>
      <c r="AI54" s="138"/>
      <c r="AJ54" s="138"/>
      <c r="AK54" s="138"/>
      <c r="AL54" s="138"/>
      <c r="AM54" s="138"/>
      <c r="AN54" s="138"/>
    </row>
    <row r="55" spans="1:40" ht="15" customHeight="1" x14ac:dyDescent="0.2">
      <c r="A55" s="143" t="s">
        <v>313</v>
      </c>
      <c r="B55" s="143" t="s">
        <v>1759</v>
      </c>
      <c r="C55" s="143">
        <v>2015</v>
      </c>
      <c r="D55" s="143">
        <v>36</v>
      </c>
      <c r="E55" s="163" t="s">
        <v>1735</v>
      </c>
      <c r="F55" s="164">
        <v>10.5</v>
      </c>
      <c r="G55" s="164">
        <v>20.5</v>
      </c>
      <c r="H55" s="164">
        <v>8.5</v>
      </c>
      <c r="I55" s="164">
        <v>8.5</v>
      </c>
      <c r="J55" s="164">
        <v>6.5</v>
      </c>
      <c r="K55" s="164">
        <v>18</v>
      </c>
      <c r="L55" s="164">
        <v>11.5</v>
      </c>
      <c r="M55" s="164">
        <v>9.5</v>
      </c>
      <c r="N55" s="164">
        <v>12.5</v>
      </c>
      <c r="O55" s="164">
        <v>12</v>
      </c>
      <c r="P55" s="164">
        <v>12.5</v>
      </c>
      <c r="Q55" s="164">
        <v>14</v>
      </c>
      <c r="R55" s="164">
        <v>12</v>
      </c>
      <c r="S55" s="164">
        <v>9.5</v>
      </c>
      <c r="T55" s="164">
        <v>11.5</v>
      </c>
      <c r="U55" s="164">
        <v>9</v>
      </c>
      <c r="V55" s="164">
        <v>11.5</v>
      </c>
      <c r="W55" s="164">
        <v>11.5</v>
      </c>
      <c r="X55" s="164">
        <v>8.5</v>
      </c>
      <c r="Y55" s="164">
        <v>9.5</v>
      </c>
      <c r="Z55" s="164">
        <v>5.5</v>
      </c>
      <c r="AA55" s="164">
        <v>10.5</v>
      </c>
      <c r="AB55" s="164">
        <v>11.5</v>
      </c>
      <c r="AC55" s="164">
        <v>9.5</v>
      </c>
      <c r="AD55" s="164">
        <v>9.5</v>
      </c>
      <c r="AE55" s="145"/>
      <c r="AF55" s="138"/>
      <c r="AG55" s="138"/>
      <c r="AH55" s="138"/>
      <c r="AI55" s="138"/>
      <c r="AJ55" s="138"/>
      <c r="AK55" s="138"/>
      <c r="AL55" s="138"/>
      <c r="AM55" s="138"/>
      <c r="AN55" s="138"/>
    </row>
    <row r="56" spans="1:40" ht="15" customHeight="1" x14ac:dyDescent="0.2">
      <c r="A56" s="144" t="s">
        <v>313</v>
      </c>
      <c r="B56" s="144" t="s">
        <v>1759</v>
      </c>
      <c r="C56" s="144">
        <v>2015</v>
      </c>
      <c r="D56" s="143">
        <v>36</v>
      </c>
      <c r="E56" s="144" t="s">
        <v>1730</v>
      </c>
      <c r="F56" s="143">
        <v>1</v>
      </c>
      <c r="G56" s="143">
        <v>1</v>
      </c>
      <c r="H56" s="143">
        <v>1</v>
      </c>
      <c r="I56" s="143">
        <v>1</v>
      </c>
      <c r="J56" s="143">
        <v>1</v>
      </c>
      <c r="K56" s="143">
        <v>1</v>
      </c>
      <c r="L56" s="143">
        <v>1</v>
      </c>
      <c r="M56" s="143">
        <v>1</v>
      </c>
      <c r="N56" s="143">
        <v>1</v>
      </c>
      <c r="O56" s="143">
        <v>1</v>
      </c>
      <c r="P56" s="143">
        <v>1</v>
      </c>
      <c r="Q56" s="143">
        <v>1</v>
      </c>
      <c r="R56" s="143">
        <v>1</v>
      </c>
      <c r="S56" s="143">
        <v>1</v>
      </c>
      <c r="T56" s="143">
        <v>1</v>
      </c>
      <c r="U56" s="143">
        <v>1</v>
      </c>
      <c r="V56" s="143">
        <v>1</v>
      </c>
      <c r="W56" s="143">
        <v>1</v>
      </c>
      <c r="X56" s="143">
        <v>1</v>
      </c>
      <c r="Y56" s="143">
        <v>1</v>
      </c>
      <c r="Z56" s="143">
        <v>1</v>
      </c>
      <c r="AA56" s="143">
        <v>1</v>
      </c>
      <c r="AB56" s="143">
        <v>1</v>
      </c>
      <c r="AC56" s="143">
        <v>1</v>
      </c>
      <c r="AD56" s="143">
        <v>1</v>
      </c>
      <c r="AE56" s="145">
        <v>4</v>
      </c>
      <c r="AF56" s="138">
        <v>25</v>
      </c>
      <c r="AG56" s="138"/>
      <c r="AH56" s="138"/>
      <c r="AI56" s="138"/>
      <c r="AJ56" s="138"/>
      <c r="AK56" s="138"/>
      <c r="AL56" s="138"/>
      <c r="AM56" s="138"/>
      <c r="AN56" s="138"/>
    </row>
    <row r="57" spans="1:40" ht="15" customHeight="1" x14ac:dyDescent="0.2">
      <c r="A57" s="143" t="s">
        <v>313</v>
      </c>
      <c r="B57" s="143" t="s">
        <v>1759</v>
      </c>
      <c r="C57" s="143">
        <v>2015</v>
      </c>
      <c r="D57" s="143">
        <v>37</v>
      </c>
      <c r="E57" s="163" t="s">
        <v>1735</v>
      </c>
      <c r="F57" s="164">
        <v>29</v>
      </c>
      <c r="G57" s="164">
        <v>27</v>
      </c>
      <c r="H57" s="164">
        <v>12</v>
      </c>
      <c r="I57" s="164">
        <v>28</v>
      </c>
      <c r="J57" s="164">
        <v>30</v>
      </c>
      <c r="K57" s="164">
        <v>23</v>
      </c>
      <c r="L57" s="164">
        <v>28</v>
      </c>
      <c r="M57" s="164">
        <v>61</v>
      </c>
      <c r="N57" s="164">
        <v>25</v>
      </c>
      <c r="O57" s="164">
        <v>44</v>
      </c>
      <c r="P57" s="164">
        <v>18</v>
      </c>
      <c r="Q57" s="164">
        <v>26</v>
      </c>
      <c r="R57" s="164">
        <v>41</v>
      </c>
      <c r="S57" s="164">
        <v>25</v>
      </c>
      <c r="T57" s="164">
        <v>1</v>
      </c>
      <c r="U57" s="164">
        <v>30</v>
      </c>
      <c r="V57" s="164">
        <v>18.5</v>
      </c>
      <c r="W57" s="164">
        <v>17</v>
      </c>
      <c r="X57" s="164">
        <v>13</v>
      </c>
      <c r="Y57" s="164">
        <v>22</v>
      </c>
      <c r="Z57" s="164">
        <v>18</v>
      </c>
      <c r="AA57" s="164">
        <v>1</v>
      </c>
      <c r="AB57" s="164">
        <v>7</v>
      </c>
      <c r="AC57" s="164">
        <v>41</v>
      </c>
      <c r="AD57" s="164">
        <v>39</v>
      </c>
      <c r="AE57" s="145"/>
      <c r="AF57" s="138"/>
      <c r="AG57" s="138"/>
      <c r="AH57" s="138"/>
      <c r="AI57" s="138"/>
      <c r="AJ57" s="138"/>
      <c r="AK57" s="138"/>
      <c r="AL57" s="138"/>
      <c r="AM57" s="138"/>
      <c r="AN57" s="138"/>
    </row>
    <row r="58" spans="1:40" ht="15" customHeight="1" x14ac:dyDescent="0.2">
      <c r="A58" s="143" t="s">
        <v>313</v>
      </c>
      <c r="B58" s="143" t="s">
        <v>1759</v>
      </c>
      <c r="C58" s="143">
        <v>2015</v>
      </c>
      <c r="D58" s="144">
        <v>37</v>
      </c>
      <c r="E58" s="144" t="s">
        <v>1824</v>
      </c>
      <c r="F58" s="144">
        <v>0</v>
      </c>
      <c r="G58" s="144">
        <v>1</v>
      </c>
      <c r="H58" s="144">
        <v>0</v>
      </c>
      <c r="I58" s="144">
        <v>0</v>
      </c>
      <c r="J58" s="144">
        <v>0</v>
      </c>
      <c r="K58" s="144">
        <v>0</v>
      </c>
      <c r="L58" s="144">
        <v>0</v>
      </c>
      <c r="M58" s="144">
        <v>0</v>
      </c>
      <c r="N58" s="144">
        <v>0</v>
      </c>
      <c r="O58" s="144">
        <v>0</v>
      </c>
      <c r="P58" s="144">
        <v>0</v>
      </c>
      <c r="Q58" s="144">
        <v>0</v>
      </c>
      <c r="R58" s="144">
        <v>0</v>
      </c>
      <c r="S58" s="144">
        <v>0</v>
      </c>
      <c r="T58" s="144">
        <v>0</v>
      </c>
      <c r="U58" s="144">
        <v>0</v>
      </c>
      <c r="V58" s="144">
        <v>0</v>
      </c>
      <c r="W58" s="144">
        <v>0</v>
      </c>
      <c r="X58" s="144">
        <v>0</v>
      </c>
      <c r="Y58" s="144">
        <v>0</v>
      </c>
      <c r="Z58" s="144">
        <v>0</v>
      </c>
      <c r="AA58" s="144">
        <v>0</v>
      </c>
      <c r="AB58" s="144">
        <v>0</v>
      </c>
      <c r="AC58" s="144">
        <v>0</v>
      </c>
      <c r="AD58" s="144">
        <v>0</v>
      </c>
      <c r="AE58" s="147">
        <v>0.1</v>
      </c>
      <c r="AF58" s="138">
        <v>1</v>
      </c>
      <c r="AG58" s="146"/>
      <c r="AH58" s="138" t="s">
        <v>1655</v>
      </c>
      <c r="AI58" s="138"/>
      <c r="AJ58" s="138"/>
      <c r="AK58" s="138" t="s">
        <v>1668</v>
      </c>
      <c r="AL58" s="138"/>
      <c r="AM58" s="138"/>
      <c r="AN58" s="138" t="s">
        <v>1668</v>
      </c>
    </row>
    <row r="59" spans="1:40" ht="15" customHeight="1" x14ac:dyDescent="0.2">
      <c r="A59" s="144" t="s">
        <v>313</v>
      </c>
      <c r="B59" s="144" t="s">
        <v>1759</v>
      </c>
      <c r="C59" s="144">
        <v>2015</v>
      </c>
      <c r="D59" s="143">
        <v>37</v>
      </c>
      <c r="E59" s="144" t="s">
        <v>1730</v>
      </c>
      <c r="F59" s="143">
        <v>1</v>
      </c>
      <c r="G59" s="143">
        <v>1</v>
      </c>
      <c r="H59" s="143">
        <v>1</v>
      </c>
      <c r="I59" s="143">
        <v>1</v>
      </c>
      <c r="J59" s="143">
        <v>1</v>
      </c>
      <c r="K59" s="143">
        <v>1</v>
      </c>
      <c r="L59" s="143">
        <v>1</v>
      </c>
      <c r="M59" s="143">
        <v>1</v>
      </c>
      <c r="N59" s="143">
        <v>1</v>
      </c>
      <c r="O59" s="143">
        <v>1</v>
      </c>
      <c r="P59" s="143">
        <v>1</v>
      </c>
      <c r="Q59" s="143">
        <v>1</v>
      </c>
      <c r="R59" s="143">
        <v>1</v>
      </c>
      <c r="S59" s="143">
        <v>1</v>
      </c>
      <c r="T59" s="143">
        <v>1</v>
      </c>
      <c r="U59" s="143">
        <v>1</v>
      </c>
      <c r="V59" s="143">
        <v>1</v>
      </c>
      <c r="W59" s="143">
        <v>1</v>
      </c>
      <c r="X59" s="143">
        <v>1</v>
      </c>
      <c r="Y59" s="143">
        <v>1</v>
      </c>
      <c r="Z59" s="143">
        <v>1</v>
      </c>
      <c r="AA59" s="143">
        <v>1</v>
      </c>
      <c r="AB59" s="143">
        <v>1</v>
      </c>
      <c r="AC59" s="143">
        <v>1</v>
      </c>
      <c r="AD59" s="143">
        <v>1</v>
      </c>
      <c r="AE59" s="145">
        <v>80</v>
      </c>
      <c r="AF59" s="138">
        <v>25</v>
      </c>
      <c r="AG59" s="138"/>
      <c r="AH59" s="138"/>
      <c r="AI59" s="138"/>
      <c r="AJ59" s="138"/>
      <c r="AK59" s="138"/>
      <c r="AL59" s="138"/>
      <c r="AM59" s="138"/>
      <c r="AN59" s="138"/>
    </row>
    <row r="60" spans="1:40" ht="15" customHeight="1" x14ac:dyDescent="0.2">
      <c r="A60" s="143" t="s">
        <v>313</v>
      </c>
      <c r="B60" s="143" t="s">
        <v>1759</v>
      </c>
      <c r="C60" s="143">
        <v>2015</v>
      </c>
      <c r="D60" s="144">
        <v>37</v>
      </c>
      <c r="E60" s="144" t="s">
        <v>1821</v>
      </c>
      <c r="F60" s="144">
        <v>0</v>
      </c>
      <c r="G60" s="144">
        <v>0</v>
      </c>
      <c r="H60" s="144">
        <v>0</v>
      </c>
      <c r="I60" s="144">
        <v>0</v>
      </c>
      <c r="J60" s="144">
        <v>0</v>
      </c>
      <c r="K60" s="144">
        <v>0</v>
      </c>
      <c r="L60" s="144">
        <v>0</v>
      </c>
      <c r="M60" s="144">
        <v>0</v>
      </c>
      <c r="N60" s="144">
        <v>0</v>
      </c>
      <c r="O60" s="144">
        <v>1</v>
      </c>
      <c r="P60" s="144">
        <v>1</v>
      </c>
      <c r="Q60" s="144">
        <v>0</v>
      </c>
      <c r="R60" s="144">
        <v>0</v>
      </c>
      <c r="S60" s="144">
        <v>0</v>
      </c>
      <c r="T60" s="144">
        <v>0</v>
      </c>
      <c r="U60" s="144">
        <v>0</v>
      </c>
      <c r="V60" s="144">
        <v>0</v>
      </c>
      <c r="W60" s="144">
        <v>0</v>
      </c>
      <c r="X60" s="144">
        <v>0</v>
      </c>
      <c r="Y60" s="144">
        <v>0</v>
      </c>
      <c r="Z60" s="144">
        <v>0</v>
      </c>
      <c r="AA60" s="144">
        <v>0</v>
      </c>
      <c r="AB60" s="144">
        <v>0</v>
      </c>
      <c r="AC60" s="144">
        <v>0</v>
      </c>
      <c r="AD60" s="144">
        <v>0</v>
      </c>
      <c r="AE60" s="147">
        <v>0.1</v>
      </c>
      <c r="AF60" s="138">
        <v>2</v>
      </c>
      <c r="AG60" s="146"/>
      <c r="AH60" s="138" t="s">
        <v>1655</v>
      </c>
      <c r="AI60" s="138"/>
      <c r="AJ60" s="138"/>
      <c r="AK60" s="138" t="s">
        <v>1668</v>
      </c>
      <c r="AL60" s="138"/>
      <c r="AM60" s="138"/>
      <c r="AN60" s="138" t="s">
        <v>1668</v>
      </c>
    </row>
    <row r="61" spans="1:40" ht="15" customHeight="1" x14ac:dyDescent="0.2">
      <c r="A61" s="143" t="s">
        <v>313</v>
      </c>
      <c r="B61" s="143" t="s">
        <v>1759</v>
      </c>
      <c r="C61" s="143">
        <v>2015</v>
      </c>
      <c r="D61" s="144">
        <v>38</v>
      </c>
      <c r="E61" s="163" t="s">
        <v>1735</v>
      </c>
      <c r="F61" s="164">
        <v>11.5</v>
      </c>
      <c r="G61" s="164">
        <v>19</v>
      </c>
      <c r="H61" s="164">
        <v>12</v>
      </c>
      <c r="I61" s="164">
        <v>15</v>
      </c>
      <c r="J61" s="164">
        <v>19.5</v>
      </c>
      <c r="K61" s="164">
        <v>18</v>
      </c>
      <c r="L61" s="164">
        <v>20</v>
      </c>
      <c r="M61" s="164">
        <v>24.5</v>
      </c>
      <c r="N61" s="164">
        <v>14</v>
      </c>
      <c r="O61" s="164">
        <v>20</v>
      </c>
      <c r="P61" s="164">
        <v>30</v>
      </c>
      <c r="Q61" s="164">
        <v>19</v>
      </c>
      <c r="R61" s="164">
        <v>15</v>
      </c>
      <c r="S61" s="164">
        <v>15</v>
      </c>
      <c r="T61" s="164">
        <v>18</v>
      </c>
      <c r="U61" s="164">
        <v>10.5</v>
      </c>
      <c r="V61" s="164">
        <v>16.5</v>
      </c>
      <c r="W61" s="164">
        <v>31.5</v>
      </c>
      <c r="X61" s="164">
        <v>16.5</v>
      </c>
      <c r="Y61" s="164">
        <v>0.5</v>
      </c>
      <c r="Z61" s="164">
        <v>9.5</v>
      </c>
      <c r="AA61" s="164">
        <v>9.5</v>
      </c>
      <c r="AB61" s="164">
        <v>24</v>
      </c>
      <c r="AC61" s="164">
        <v>14</v>
      </c>
      <c r="AD61" s="164">
        <v>31</v>
      </c>
      <c r="AE61" s="147"/>
      <c r="AF61" s="138"/>
      <c r="AG61" s="146"/>
      <c r="AH61" s="138"/>
      <c r="AI61" s="138"/>
      <c r="AJ61" s="138"/>
      <c r="AK61" s="138"/>
      <c r="AL61" s="138"/>
      <c r="AM61" s="138"/>
      <c r="AN61" s="138"/>
    </row>
    <row r="62" spans="1:40" ht="15" customHeight="1" x14ac:dyDescent="0.2">
      <c r="A62" s="144" t="s">
        <v>313</v>
      </c>
      <c r="B62" s="144" t="s">
        <v>1759</v>
      </c>
      <c r="C62" s="144">
        <v>2015</v>
      </c>
      <c r="D62" s="144">
        <v>38</v>
      </c>
      <c r="E62" s="144" t="s">
        <v>1730</v>
      </c>
      <c r="F62" s="144">
        <v>1</v>
      </c>
      <c r="G62" s="144">
        <v>1</v>
      </c>
      <c r="H62" s="144">
        <v>1</v>
      </c>
      <c r="I62" s="144">
        <v>1</v>
      </c>
      <c r="J62" s="144">
        <v>1</v>
      </c>
      <c r="K62" s="144">
        <v>1</v>
      </c>
      <c r="L62" s="144">
        <v>1</v>
      </c>
      <c r="M62" s="144">
        <v>1</v>
      </c>
      <c r="N62" s="144">
        <v>1</v>
      </c>
      <c r="O62" s="144">
        <v>1</v>
      </c>
      <c r="P62" s="144">
        <v>1</v>
      </c>
      <c r="Q62" s="144">
        <v>1</v>
      </c>
      <c r="R62" s="144">
        <v>1</v>
      </c>
      <c r="S62" s="144">
        <v>1</v>
      </c>
      <c r="T62" s="144">
        <v>1</v>
      </c>
      <c r="U62" s="144">
        <v>1</v>
      </c>
      <c r="V62" s="144">
        <v>1</v>
      </c>
      <c r="W62" s="144">
        <v>1</v>
      </c>
      <c r="X62" s="144">
        <v>1</v>
      </c>
      <c r="Y62" s="144">
        <v>1</v>
      </c>
      <c r="Z62" s="144">
        <v>1</v>
      </c>
      <c r="AA62" s="144">
        <v>1</v>
      </c>
      <c r="AB62" s="144">
        <v>1</v>
      </c>
      <c r="AC62" s="144">
        <v>1</v>
      </c>
      <c r="AD62" s="144">
        <v>1</v>
      </c>
      <c r="AE62" s="147">
        <v>25</v>
      </c>
      <c r="AF62" s="138">
        <v>25</v>
      </c>
      <c r="AG62" s="146"/>
      <c r="AH62" s="138"/>
      <c r="AI62" s="138"/>
      <c r="AJ62" s="138"/>
      <c r="AK62" s="138"/>
      <c r="AL62" s="138"/>
      <c r="AM62" s="138"/>
      <c r="AN62" s="138"/>
    </row>
    <row r="63" spans="1:40" ht="15" customHeight="1" x14ac:dyDescent="0.2">
      <c r="A63" s="143" t="s">
        <v>313</v>
      </c>
      <c r="B63" s="143" t="s">
        <v>1759</v>
      </c>
      <c r="C63" s="143">
        <v>2015</v>
      </c>
      <c r="D63" s="144">
        <v>40</v>
      </c>
      <c r="E63" s="163" t="s">
        <v>1735</v>
      </c>
      <c r="F63" s="164">
        <v>10</v>
      </c>
      <c r="G63" s="164">
        <v>4</v>
      </c>
      <c r="H63" s="164">
        <v>8</v>
      </c>
      <c r="I63" s="164">
        <v>6</v>
      </c>
      <c r="J63" s="164">
        <v>10.5</v>
      </c>
      <c r="K63" s="164">
        <v>12</v>
      </c>
      <c r="L63" s="164">
        <v>9.5</v>
      </c>
      <c r="M63" s="164">
        <v>12.5</v>
      </c>
      <c r="N63" s="164">
        <v>5.5</v>
      </c>
      <c r="O63" s="164">
        <v>8</v>
      </c>
      <c r="P63" s="164">
        <v>12.5</v>
      </c>
      <c r="Q63" s="164">
        <v>10</v>
      </c>
      <c r="R63" s="164">
        <v>11.5</v>
      </c>
      <c r="S63" s="164">
        <v>10.5</v>
      </c>
      <c r="T63" s="164">
        <v>13.5</v>
      </c>
      <c r="U63" s="164">
        <v>9.5</v>
      </c>
      <c r="V63" s="164">
        <v>12.5</v>
      </c>
      <c r="W63" s="164">
        <v>12.5</v>
      </c>
      <c r="X63" s="164">
        <v>6</v>
      </c>
      <c r="Y63" s="164">
        <v>17</v>
      </c>
      <c r="Z63" s="164">
        <v>22</v>
      </c>
      <c r="AA63" s="164">
        <v>16</v>
      </c>
      <c r="AB63" s="164">
        <v>7.5</v>
      </c>
      <c r="AC63" s="164">
        <v>10</v>
      </c>
      <c r="AD63" s="164">
        <v>12</v>
      </c>
      <c r="AE63" s="147"/>
      <c r="AF63" s="138"/>
      <c r="AG63" s="146"/>
      <c r="AH63" s="138"/>
      <c r="AI63" s="138"/>
      <c r="AJ63" s="138"/>
      <c r="AK63" s="138"/>
      <c r="AL63" s="138"/>
      <c r="AM63" s="138"/>
      <c r="AN63" s="138"/>
    </row>
    <row r="64" spans="1:40" ht="15" customHeight="1" x14ac:dyDescent="0.2">
      <c r="A64" s="143" t="s">
        <v>313</v>
      </c>
      <c r="B64" s="143" t="s">
        <v>1759</v>
      </c>
      <c r="C64" s="143">
        <v>2015</v>
      </c>
      <c r="D64" s="143">
        <v>40</v>
      </c>
      <c r="E64" s="144" t="s">
        <v>1821</v>
      </c>
      <c r="F64" s="143">
        <v>0</v>
      </c>
      <c r="G64" s="143">
        <v>0</v>
      </c>
      <c r="H64" s="143">
        <v>0</v>
      </c>
      <c r="I64" s="143">
        <v>0</v>
      </c>
      <c r="J64" s="143">
        <v>1</v>
      </c>
      <c r="K64" s="143">
        <v>0</v>
      </c>
      <c r="L64" s="143">
        <v>1</v>
      </c>
      <c r="M64" s="143">
        <v>0</v>
      </c>
      <c r="N64" s="143">
        <v>0</v>
      </c>
      <c r="O64" s="143">
        <v>0</v>
      </c>
      <c r="P64" s="143">
        <v>0</v>
      </c>
      <c r="Q64" s="143">
        <v>0</v>
      </c>
      <c r="R64" s="143">
        <v>0</v>
      </c>
      <c r="S64" s="143">
        <v>0</v>
      </c>
      <c r="T64" s="143">
        <v>0</v>
      </c>
      <c r="U64" s="143">
        <v>0</v>
      </c>
      <c r="V64" s="143">
        <v>0</v>
      </c>
      <c r="W64" s="143">
        <v>0</v>
      </c>
      <c r="X64" s="143">
        <v>0</v>
      </c>
      <c r="Y64" s="143">
        <v>0</v>
      </c>
      <c r="Z64" s="143">
        <v>0</v>
      </c>
      <c r="AA64" s="143">
        <v>0</v>
      </c>
      <c r="AB64" s="143">
        <v>0</v>
      </c>
      <c r="AC64" s="143">
        <v>0</v>
      </c>
      <c r="AD64" s="143">
        <v>1</v>
      </c>
      <c r="AE64" s="145">
        <v>0.1</v>
      </c>
      <c r="AF64" s="138">
        <v>3</v>
      </c>
      <c r="AG64" s="138"/>
      <c r="AH64" s="138" t="s">
        <v>1655</v>
      </c>
      <c r="AI64" s="138"/>
      <c r="AJ64" s="138"/>
      <c r="AK64" s="138" t="s">
        <v>1668</v>
      </c>
      <c r="AL64" s="138"/>
      <c r="AM64" s="138"/>
      <c r="AN64" s="138" t="s">
        <v>1668</v>
      </c>
    </row>
    <row r="65" spans="1:40" ht="15" customHeight="1" x14ac:dyDescent="0.2">
      <c r="A65" s="144" t="s">
        <v>313</v>
      </c>
      <c r="B65" s="144" t="s">
        <v>1759</v>
      </c>
      <c r="C65" s="144">
        <v>2015</v>
      </c>
      <c r="D65" s="143">
        <v>40</v>
      </c>
      <c r="E65" s="144" t="s">
        <v>1730</v>
      </c>
      <c r="F65" s="143">
        <v>1</v>
      </c>
      <c r="G65" s="143">
        <v>1</v>
      </c>
      <c r="H65" s="143">
        <v>1</v>
      </c>
      <c r="I65" s="143">
        <v>1</v>
      </c>
      <c r="J65" s="143">
        <v>1</v>
      </c>
      <c r="K65" s="143">
        <v>1</v>
      </c>
      <c r="L65" s="143">
        <v>1</v>
      </c>
      <c r="M65" s="143">
        <v>1</v>
      </c>
      <c r="N65" s="143">
        <v>1</v>
      </c>
      <c r="O65" s="143">
        <v>1</v>
      </c>
      <c r="P65" s="143">
        <v>1</v>
      </c>
      <c r="Q65" s="143">
        <v>1</v>
      </c>
      <c r="R65" s="143">
        <v>1</v>
      </c>
      <c r="S65" s="143">
        <v>1</v>
      </c>
      <c r="T65" s="143">
        <v>1</v>
      </c>
      <c r="U65" s="143">
        <v>1</v>
      </c>
      <c r="V65" s="143">
        <v>1</v>
      </c>
      <c r="W65" s="143">
        <v>1</v>
      </c>
      <c r="X65" s="143">
        <v>1</v>
      </c>
      <c r="Y65" s="143">
        <v>1</v>
      </c>
      <c r="Z65" s="143">
        <v>1</v>
      </c>
      <c r="AA65" s="143">
        <v>1</v>
      </c>
      <c r="AB65" s="143">
        <v>1</v>
      </c>
      <c r="AC65" s="143">
        <v>1</v>
      </c>
      <c r="AD65" s="143">
        <v>1</v>
      </c>
      <c r="AE65" s="145">
        <v>70</v>
      </c>
      <c r="AF65" s="138">
        <v>25</v>
      </c>
      <c r="AG65" s="138"/>
      <c r="AH65" s="138"/>
      <c r="AI65" s="138"/>
      <c r="AJ65" s="138"/>
      <c r="AK65" s="138"/>
      <c r="AL65" s="138"/>
      <c r="AM65" s="138"/>
      <c r="AN65" s="138"/>
    </row>
    <row r="66" spans="1:40" ht="15" customHeight="1" x14ac:dyDescent="0.2">
      <c r="A66" s="143" t="s">
        <v>313</v>
      </c>
      <c r="B66" s="143" t="s">
        <v>1759</v>
      </c>
      <c r="C66" s="143">
        <v>2015</v>
      </c>
      <c r="D66" s="143">
        <v>42</v>
      </c>
      <c r="E66" s="163" t="s">
        <v>1735</v>
      </c>
      <c r="F66" s="164">
        <v>2.5</v>
      </c>
      <c r="G66" s="164">
        <v>1.5</v>
      </c>
      <c r="H66" s="164">
        <v>1</v>
      </c>
      <c r="I66" s="164">
        <v>1.5</v>
      </c>
      <c r="J66" s="164">
        <v>2.5</v>
      </c>
      <c r="K66" s="164">
        <v>2</v>
      </c>
      <c r="L66" s="164">
        <v>2</v>
      </c>
      <c r="M66" s="164">
        <v>1</v>
      </c>
      <c r="N66" s="164">
        <v>3</v>
      </c>
      <c r="O66" s="164">
        <v>2.5</v>
      </c>
      <c r="P66" s="164">
        <v>5.5</v>
      </c>
      <c r="Q66" s="164">
        <v>2.5</v>
      </c>
      <c r="R66" s="164">
        <v>4</v>
      </c>
      <c r="S66" s="164">
        <v>4</v>
      </c>
      <c r="T66" s="164">
        <v>2.5</v>
      </c>
      <c r="U66" s="164">
        <v>4</v>
      </c>
      <c r="V66" s="164">
        <v>3.5</v>
      </c>
      <c r="W66" s="164">
        <v>4</v>
      </c>
      <c r="X66" s="164">
        <v>4.5</v>
      </c>
      <c r="Y66" s="164">
        <v>2.5</v>
      </c>
      <c r="Z66" s="164">
        <v>2</v>
      </c>
      <c r="AA66" s="164">
        <v>1</v>
      </c>
      <c r="AB66" s="164">
        <v>1</v>
      </c>
      <c r="AC66" s="164">
        <v>2</v>
      </c>
      <c r="AD66" s="164">
        <v>4.5</v>
      </c>
      <c r="AE66" s="145"/>
      <c r="AF66" s="138"/>
      <c r="AG66" s="138"/>
      <c r="AH66" s="138"/>
      <c r="AI66" s="138"/>
      <c r="AJ66" s="138"/>
      <c r="AK66" s="138"/>
      <c r="AL66" s="138"/>
      <c r="AM66" s="138"/>
      <c r="AN66" s="138"/>
    </row>
    <row r="67" spans="1:40" ht="15" customHeight="1" x14ac:dyDescent="0.2">
      <c r="A67" s="143" t="s">
        <v>313</v>
      </c>
      <c r="B67" s="143" t="s">
        <v>1759</v>
      </c>
      <c r="C67" s="143">
        <v>2015</v>
      </c>
      <c r="D67" s="144">
        <v>42</v>
      </c>
      <c r="E67" s="144" t="s">
        <v>1821</v>
      </c>
      <c r="F67" s="144">
        <v>1</v>
      </c>
      <c r="G67" s="144">
        <v>1</v>
      </c>
      <c r="H67" s="144">
        <v>1</v>
      </c>
      <c r="I67" s="144">
        <v>1</v>
      </c>
      <c r="J67" s="144">
        <v>1</v>
      </c>
      <c r="K67" s="144">
        <v>1</v>
      </c>
      <c r="L67" s="144">
        <v>1</v>
      </c>
      <c r="M67" s="144">
        <v>1</v>
      </c>
      <c r="N67" s="144">
        <v>1</v>
      </c>
      <c r="O67" s="144">
        <v>1</v>
      </c>
      <c r="P67" s="144">
        <v>1</v>
      </c>
      <c r="Q67" s="144">
        <v>1</v>
      </c>
      <c r="R67" s="144">
        <v>1</v>
      </c>
      <c r="S67" s="144">
        <v>1</v>
      </c>
      <c r="T67" s="144">
        <v>1</v>
      </c>
      <c r="U67" s="144">
        <v>0</v>
      </c>
      <c r="V67" s="144">
        <v>1</v>
      </c>
      <c r="W67" s="144">
        <v>0</v>
      </c>
      <c r="X67" s="144">
        <v>0</v>
      </c>
      <c r="Y67" s="144">
        <v>0</v>
      </c>
      <c r="Z67" s="144">
        <v>0</v>
      </c>
      <c r="AA67" s="144">
        <v>0</v>
      </c>
      <c r="AB67" s="144">
        <v>0</v>
      </c>
      <c r="AC67" s="144">
        <v>0</v>
      </c>
      <c r="AD67" s="144">
        <v>0</v>
      </c>
      <c r="AE67" s="147">
        <v>8</v>
      </c>
      <c r="AF67" s="138">
        <v>16</v>
      </c>
      <c r="AG67" s="146"/>
      <c r="AH67" s="138"/>
      <c r="AI67" s="138"/>
      <c r="AJ67" s="138"/>
      <c r="AK67" s="138"/>
      <c r="AL67" s="138"/>
      <c r="AM67" s="138"/>
      <c r="AN67" s="138"/>
    </row>
    <row r="68" spans="1:40" ht="15" customHeight="1" x14ac:dyDescent="0.2">
      <c r="A68" s="144" t="s">
        <v>313</v>
      </c>
      <c r="B68" s="144" t="s">
        <v>1759</v>
      </c>
      <c r="C68" s="144">
        <v>2015</v>
      </c>
      <c r="D68" s="143">
        <v>42</v>
      </c>
      <c r="E68" s="144" t="s">
        <v>1730</v>
      </c>
      <c r="F68" s="143">
        <v>1</v>
      </c>
      <c r="G68" s="143">
        <v>1</v>
      </c>
      <c r="H68" s="143">
        <v>1</v>
      </c>
      <c r="I68" s="143">
        <v>1</v>
      </c>
      <c r="J68" s="143">
        <v>1</v>
      </c>
      <c r="K68" s="143">
        <v>1</v>
      </c>
      <c r="L68" s="143">
        <v>1</v>
      </c>
      <c r="M68" s="143">
        <v>1</v>
      </c>
      <c r="N68" s="143">
        <v>1</v>
      </c>
      <c r="O68" s="143">
        <v>1</v>
      </c>
      <c r="P68" s="143">
        <v>1</v>
      </c>
      <c r="Q68" s="143">
        <v>1</v>
      </c>
      <c r="R68" s="143">
        <v>1</v>
      </c>
      <c r="S68" s="143">
        <v>1</v>
      </c>
      <c r="T68" s="143">
        <v>1</v>
      </c>
      <c r="U68" s="143">
        <v>1</v>
      </c>
      <c r="V68" s="143">
        <v>1</v>
      </c>
      <c r="W68" s="143">
        <v>1</v>
      </c>
      <c r="X68" s="143">
        <v>1</v>
      </c>
      <c r="Y68" s="143">
        <v>1</v>
      </c>
      <c r="Z68" s="143">
        <v>1</v>
      </c>
      <c r="AA68" s="143">
        <v>1</v>
      </c>
      <c r="AB68" s="143">
        <v>1</v>
      </c>
      <c r="AC68" s="143">
        <v>1</v>
      </c>
      <c r="AD68" s="143">
        <v>1</v>
      </c>
      <c r="AE68" s="145">
        <v>6</v>
      </c>
      <c r="AF68" s="138">
        <v>25</v>
      </c>
      <c r="AG68" s="138"/>
      <c r="AH68" s="138"/>
      <c r="AI68" s="138"/>
      <c r="AJ68" s="138"/>
      <c r="AK68" s="138"/>
      <c r="AL68" s="138"/>
      <c r="AM68" s="138"/>
      <c r="AN68" s="138"/>
    </row>
    <row r="69" spans="1:40" ht="15" customHeight="1" x14ac:dyDescent="0.2">
      <c r="A69" s="143" t="s">
        <v>313</v>
      </c>
      <c r="B69" s="143" t="s">
        <v>1759</v>
      </c>
      <c r="C69" s="143">
        <v>2015</v>
      </c>
      <c r="D69" s="143">
        <v>44</v>
      </c>
      <c r="E69" s="163" t="s">
        <v>1735</v>
      </c>
      <c r="F69" s="164">
        <v>12</v>
      </c>
      <c r="G69" s="164">
        <v>17</v>
      </c>
      <c r="H69" s="164">
        <v>25</v>
      </c>
      <c r="I69" s="164">
        <v>22</v>
      </c>
      <c r="J69" s="164">
        <v>13</v>
      </c>
      <c r="K69" s="164">
        <v>36</v>
      </c>
      <c r="L69" s="164">
        <v>20</v>
      </c>
      <c r="M69" s="164">
        <v>16</v>
      </c>
      <c r="N69" s="164">
        <v>22</v>
      </c>
      <c r="O69" s="164">
        <v>20</v>
      </c>
      <c r="P69" s="164">
        <v>42</v>
      </c>
      <c r="Q69" s="164">
        <v>38</v>
      </c>
      <c r="R69" s="164">
        <v>29</v>
      </c>
      <c r="S69" s="164">
        <v>33</v>
      </c>
      <c r="T69" s="164">
        <v>13</v>
      </c>
      <c r="U69" s="164">
        <v>38</v>
      </c>
      <c r="V69" s="164">
        <v>45</v>
      </c>
      <c r="W69" s="164">
        <v>34</v>
      </c>
      <c r="X69" s="164">
        <v>55</v>
      </c>
      <c r="Y69" s="164">
        <v>25</v>
      </c>
      <c r="Z69" s="164">
        <v>32</v>
      </c>
      <c r="AA69" s="164">
        <v>42</v>
      </c>
      <c r="AB69" s="164">
        <v>34</v>
      </c>
      <c r="AC69" s="164">
        <v>73</v>
      </c>
      <c r="AD69" s="164">
        <v>80</v>
      </c>
      <c r="AE69" s="145"/>
      <c r="AF69" s="138"/>
      <c r="AG69" s="138"/>
      <c r="AH69" s="138"/>
      <c r="AI69" s="138"/>
      <c r="AJ69" s="138"/>
      <c r="AK69" s="138"/>
      <c r="AL69" s="138"/>
      <c r="AM69" s="138"/>
      <c r="AN69" s="138"/>
    </row>
    <row r="70" spans="1:40" ht="15" customHeight="1" x14ac:dyDescent="0.2">
      <c r="A70" s="143" t="s">
        <v>313</v>
      </c>
      <c r="B70" s="143" t="s">
        <v>1759</v>
      </c>
      <c r="C70" s="143">
        <v>2015</v>
      </c>
      <c r="D70" s="143">
        <v>44</v>
      </c>
      <c r="E70" s="144" t="s">
        <v>1730</v>
      </c>
      <c r="F70" s="143">
        <v>0</v>
      </c>
      <c r="G70" s="143">
        <v>0</v>
      </c>
      <c r="H70" s="143">
        <v>0</v>
      </c>
      <c r="I70" s="143">
        <v>0</v>
      </c>
      <c r="J70" s="143">
        <v>1</v>
      </c>
      <c r="K70" s="143">
        <v>0</v>
      </c>
      <c r="L70" s="143">
        <v>1</v>
      </c>
      <c r="M70" s="143">
        <v>0</v>
      </c>
      <c r="N70" s="143">
        <v>0</v>
      </c>
      <c r="O70" s="143">
        <v>0</v>
      </c>
      <c r="P70" s="143">
        <v>0</v>
      </c>
      <c r="Q70" s="143">
        <v>0</v>
      </c>
      <c r="R70" s="143">
        <v>0</v>
      </c>
      <c r="S70" s="143">
        <v>0</v>
      </c>
      <c r="T70" s="143">
        <v>0</v>
      </c>
      <c r="U70" s="143">
        <v>0</v>
      </c>
      <c r="V70" s="143">
        <v>0</v>
      </c>
      <c r="W70" s="143">
        <v>0</v>
      </c>
      <c r="X70" s="143">
        <v>0</v>
      </c>
      <c r="Y70" s="143">
        <v>0</v>
      </c>
      <c r="Z70" s="143">
        <v>0</v>
      </c>
      <c r="AA70" s="143">
        <v>0</v>
      </c>
      <c r="AB70" s="143">
        <v>0</v>
      </c>
      <c r="AC70" s="143">
        <v>0</v>
      </c>
      <c r="AD70" s="143">
        <v>0</v>
      </c>
      <c r="AE70" s="145"/>
      <c r="AF70" s="138">
        <v>2</v>
      </c>
      <c r="AG70" s="138" t="s">
        <v>1870</v>
      </c>
      <c r="AH70" s="138" t="s">
        <v>1467</v>
      </c>
      <c r="AI70" s="138"/>
      <c r="AJ70" s="138"/>
      <c r="AK70" s="138"/>
      <c r="AL70" s="138"/>
      <c r="AM70" s="138"/>
      <c r="AN70" s="138"/>
    </row>
    <row r="71" spans="1:40" ht="15" customHeight="1" x14ac:dyDescent="0.2">
      <c r="A71" s="144" t="s">
        <v>313</v>
      </c>
      <c r="B71" s="144" t="s">
        <v>1761</v>
      </c>
      <c r="C71" s="144">
        <v>2015</v>
      </c>
      <c r="D71" s="143">
        <v>45</v>
      </c>
      <c r="E71" s="163" t="s">
        <v>1735</v>
      </c>
      <c r="F71" s="164">
        <v>6</v>
      </c>
      <c r="G71" s="164">
        <v>5.5</v>
      </c>
      <c r="H71" s="164">
        <v>15</v>
      </c>
      <c r="I71" s="164">
        <v>46</v>
      </c>
      <c r="J71" s="164">
        <v>58</v>
      </c>
      <c r="K71" s="164">
        <v>5</v>
      </c>
      <c r="L71" s="164">
        <v>4.5</v>
      </c>
      <c r="M71" s="164">
        <v>48</v>
      </c>
      <c r="N71" s="164">
        <v>130</v>
      </c>
      <c r="O71" s="164">
        <v>150</v>
      </c>
      <c r="P71" s="164">
        <v>5</v>
      </c>
      <c r="Q71" s="164">
        <v>5</v>
      </c>
      <c r="R71" s="164">
        <v>45</v>
      </c>
      <c r="S71" s="164">
        <v>104</v>
      </c>
      <c r="T71" s="164">
        <v>72</v>
      </c>
      <c r="U71" s="164">
        <v>3</v>
      </c>
      <c r="V71" s="164">
        <v>3</v>
      </c>
      <c r="W71" s="164">
        <v>54</v>
      </c>
      <c r="X71" s="164">
        <v>65</v>
      </c>
      <c r="Y71" s="164">
        <v>33</v>
      </c>
      <c r="Z71" s="164">
        <v>4</v>
      </c>
      <c r="AA71" s="164">
        <v>5</v>
      </c>
      <c r="AB71" s="164">
        <v>5</v>
      </c>
      <c r="AC71" s="164">
        <v>9</v>
      </c>
      <c r="AD71" s="164">
        <v>32</v>
      </c>
      <c r="AE71" s="145"/>
      <c r="AF71" s="138"/>
      <c r="AG71" s="138"/>
      <c r="AH71" s="138"/>
      <c r="AI71" s="138"/>
      <c r="AJ71" s="138"/>
      <c r="AK71" s="138"/>
      <c r="AL71" s="138"/>
      <c r="AM71" s="138"/>
      <c r="AN71" s="138"/>
    </row>
    <row r="72" spans="1:40" ht="15" customHeight="1" x14ac:dyDescent="0.2">
      <c r="A72" s="143" t="s">
        <v>313</v>
      </c>
      <c r="B72" s="143" t="s">
        <v>1761</v>
      </c>
      <c r="C72" s="143">
        <v>2015</v>
      </c>
      <c r="D72" s="143">
        <v>45</v>
      </c>
      <c r="E72" s="144" t="s">
        <v>1730</v>
      </c>
      <c r="F72" s="143">
        <v>1</v>
      </c>
      <c r="G72" s="143">
        <v>1</v>
      </c>
      <c r="H72" s="143">
        <v>1</v>
      </c>
      <c r="I72" s="143">
        <v>1</v>
      </c>
      <c r="J72" s="143">
        <v>1</v>
      </c>
      <c r="K72" s="143">
        <v>1</v>
      </c>
      <c r="L72" s="143">
        <v>1</v>
      </c>
      <c r="M72" s="143">
        <v>1</v>
      </c>
      <c r="N72" s="143">
        <v>1</v>
      </c>
      <c r="O72" s="143">
        <v>1</v>
      </c>
      <c r="P72" s="143">
        <v>1</v>
      </c>
      <c r="Q72" s="143">
        <v>1</v>
      </c>
      <c r="R72" s="143">
        <v>1</v>
      </c>
      <c r="S72" s="143">
        <v>1</v>
      </c>
      <c r="T72" s="143">
        <v>1</v>
      </c>
      <c r="U72" s="143">
        <v>1</v>
      </c>
      <c r="V72" s="143">
        <v>1</v>
      </c>
      <c r="W72" s="143">
        <v>1</v>
      </c>
      <c r="X72" s="143">
        <v>1</v>
      </c>
      <c r="Y72" s="143">
        <v>1</v>
      </c>
      <c r="Z72" s="143">
        <v>1</v>
      </c>
      <c r="AA72" s="143">
        <v>1</v>
      </c>
      <c r="AB72" s="143">
        <v>1</v>
      </c>
      <c r="AC72" s="143">
        <v>1</v>
      </c>
      <c r="AD72" s="143">
        <v>1</v>
      </c>
      <c r="AE72" s="145">
        <v>35</v>
      </c>
      <c r="AF72" s="138">
        <v>25</v>
      </c>
      <c r="AG72" s="138"/>
      <c r="AH72" s="138"/>
      <c r="AI72" s="138"/>
      <c r="AJ72" s="138"/>
      <c r="AK72" s="138"/>
      <c r="AL72" s="138"/>
      <c r="AM72" s="138"/>
      <c r="AN72" s="138"/>
    </row>
    <row r="73" spans="1:40" ht="15" customHeight="1" x14ac:dyDescent="0.2">
      <c r="A73" s="143" t="s">
        <v>313</v>
      </c>
      <c r="B73" s="143" t="s">
        <v>1759</v>
      </c>
      <c r="C73" s="143">
        <v>2015</v>
      </c>
      <c r="D73" s="143">
        <v>46</v>
      </c>
      <c r="E73" s="163" t="s">
        <v>1735</v>
      </c>
      <c r="F73" s="164">
        <v>27</v>
      </c>
      <c r="G73" s="164">
        <v>75</v>
      </c>
      <c r="H73" s="164">
        <v>6.5</v>
      </c>
      <c r="I73" s="164">
        <v>4</v>
      </c>
      <c r="J73" s="164">
        <v>21</v>
      </c>
      <c r="K73" s="164">
        <v>19.5</v>
      </c>
      <c r="L73" s="164">
        <v>20.5</v>
      </c>
      <c r="M73" s="164">
        <v>7</v>
      </c>
      <c r="N73" s="164">
        <v>4</v>
      </c>
      <c r="O73" s="164">
        <v>4</v>
      </c>
      <c r="P73" s="164">
        <v>24</v>
      </c>
      <c r="Q73" s="164">
        <v>15</v>
      </c>
      <c r="R73" s="164">
        <v>15.5</v>
      </c>
      <c r="S73" s="164">
        <v>9</v>
      </c>
      <c r="T73" s="164">
        <v>26</v>
      </c>
      <c r="U73" s="164">
        <v>21.5</v>
      </c>
      <c r="V73" s="164">
        <v>12</v>
      </c>
      <c r="W73" s="164">
        <v>10</v>
      </c>
      <c r="X73" s="164">
        <v>10.5</v>
      </c>
      <c r="Y73" s="164">
        <v>17.5</v>
      </c>
      <c r="Z73" s="164">
        <v>7.5</v>
      </c>
      <c r="AA73" s="164">
        <v>8</v>
      </c>
      <c r="AB73" s="164">
        <v>12.5</v>
      </c>
      <c r="AC73" s="164">
        <v>16</v>
      </c>
      <c r="AD73" s="164">
        <v>19</v>
      </c>
      <c r="AE73" s="145"/>
      <c r="AF73" s="138"/>
      <c r="AG73" s="138"/>
      <c r="AH73" s="138"/>
      <c r="AI73" s="138"/>
      <c r="AJ73" s="138"/>
      <c r="AK73" s="138"/>
      <c r="AL73" s="138"/>
      <c r="AM73" s="138"/>
      <c r="AN73" s="138"/>
    </row>
    <row r="74" spans="1:40" ht="15" customHeight="1" x14ac:dyDescent="0.2">
      <c r="A74" s="144" t="s">
        <v>313</v>
      </c>
      <c r="B74" s="144" t="s">
        <v>1759</v>
      </c>
      <c r="C74" s="144">
        <v>2015</v>
      </c>
      <c r="D74" s="144">
        <v>46</v>
      </c>
      <c r="E74" s="144" t="s">
        <v>1821</v>
      </c>
      <c r="F74" s="144">
        <v>1</v>
      </c>
      <c r="G74" s="144">
        <v>1</v>
      </c>
      <c r="H74" s="144">
        <v>0</v>
      </c>
      <c r="I74" s="144">
        <v>1</v>
      </c>
      <c r="J74" s="144">
        <v>1</v>
      </c>
      <c r="K74" s="144">
        <v>1</v>
      </c>
      <c r="L74" s="144">
        <v>1</v>
      </c>
      <c r="M74" s="144">
        <v>0</v>
      </c>
      <c r="N74" s="144">
        <v>1</v>
      </c>
      <c r="O74" s="144">
        <v>0</v>
      </c>
      <c r="P74" s="144">
        <v>0</v>
      </c>
      <c r="Q74" s="144">
        <v>0</v>
      </c>
      <c r="R74" s="144">
        <v>0</v>
      </c>
      <c r="S74" s="144">
        <v>0</v>
      </c>
      <c r="T74" s="144">
        <v>0</v>
      </c>
      <c r="U74" s="144">
        <v>0</v>
      </c>
      <c r="V74" s="144">
        <v>1</v>
      </c>
      <c r="W74" s="144">
        <v>0</v>
      </c>
      <c r="X74" s="144">
        <v>1</v>
      </c>
      <c r="Y74" s="144">
        <v>1</v>
      </c>
      <c r="Z74" s="144">
        <v>1</v>
      </c>
      <c r="AA74" s="144">
        <v>0</v>
      </c>
      <c r="AB74" s="144">
        <v>0</v>
      </c>
      <c r="AC74" s="144">
        <v>0</v>
      </c>
      <c r="AD74" s="144">
        <v>1</v>
      </c>
      <c r="AE74" s="147">
        <v>2</v>
      </c>
      <c r="AF74" s="138">
        <v>12</v>
      </c>
      <c r="AG74" s="146"/>
      <c r="AH74" s="138"/>
      <c r="AI74" s="138"/>
      <c r="AJ74" s="138"/>
      <c r="AK74" s="138"/>
      <c r="AL74" s="138"/>
      <c r="AM74" s="138"/>
      <c r="AN74" s="138"/>
    </row>
    <row r="75" spans="1:40" ht="15" customHeight="1" x14ac:dyDescent="0.2">
      <c r="A75" s="143" t="s">
        <v>313</v>
      </c>
      <c r="B75" s="143" t="s">
        <v>1759</v>
      </c>
      <c r="C75" s="143">
        <v>2015</v>
      </c>
      <c r="D75" s="143">
        <v>46</v>
      </c>
      <c r="E75" s="144" t="s">
        <v>1730</v>
      </c>
      <c r="F75" s="143">
        <v>1</v>
      </c>
      <c r="G75" s="143">
        <v>1</v>
      </c>
      <c r="H75" s="143">
        <v>1</v>
      </c>
      <c r="I75" s="143">
        <v>1</v>
      </c>
      <c r="J75" s="143">
        <v>1</v>
      </c>
      <c r="K75" s="143">
        <v>1</v>
      </c>
      <c r="L75" s="143">
        <v>1</v>
      </c>
      <c r="M75" s="143">
        <v>1</v>
      </c>
      <c r="N75" s="143">
        <v>1</v>
      </c>
      <c r="O75" s="143">
        <v>1</v>
      </c>
      <c r="P75" s="143">
        <v>1</v>
      </c>
      <c r="Q75" s="143">
        <v>1</v>
      </c>
      <c r="R75" s="143">
        <v>1</v>
      </c>
      <c r="S75" s="143">
        <v>1</v>
      </c>
      <c r="T75" s="143">
        <v>1</v>
      </c>
      <c r="U75" s="143">
        <v>1</v>
      </c>
      <c r="V75" s="143">
        <v>1</v>
      </c>
      <c r="W75" s="143">
        <v>1</v>
      </c>
      <c r="X75" s="143">
        <v>1</v>
      </c>
      <c r="Y75" s="143">
        <v>1</v>
      </c>
      <c r="Z75" s="143">
        <v>1</v>
      </c>
      <c r="AA75" s="143">
        <v>1</v>
      </c>
      <c r="AB75" s="143">
        <v>1</v>
      </c>
      <c r="AC75" s="143">
        <v>1</v>
      </c>
      <c r="AD75" s="143">
        <v>1</v>
      </c>
      <c r="AE75" s="145">
        <v>15</v>
      </c>
      <c r="AF75" s="138">
        <v>25</v>
      </c>
      <c r="AG75" s="138"/>
      <c r="AH75" s="138"/>
      <c r="AI75" s="138"/>
      <c r="AJ75" s="138"/>
      <c r="AK75" s="138"/>
      <c r="AL75" s="138"/>
      <c r="AM75" s="138"/>
      <c r="AN75" s="138"/>
    </row>
    <row r="76" spans="1:40" ht="15" customHeight="1" x14ac:dyDescent="0.2">
      <c r="A76" s="143" t="s">
        <v>313</v>
      </c>
      <c r="B76" s="143" t="s">
        <v>1759</v>
      </c>
      <c r="C76" s="143">
        <v>2015</v>
      </c>
      <c r="D76" s="143">
        <v>48</v>
      </c>
      <c r="E76" s="163" t="s">
        <v>1735</v>
      </c>
      <c r="F76" s="164">
        <v>31.5</v>
      </c>
      <c r="G76" s="164">
        <v>21</v>
      </c>
      <c r="H76" s="164">
        <v>4</v>
      </c>
      <c r="I76" s="164">
        <v>32</v>
      </c>
      <c r="J76" s="164">
        <v>29.5</v>
      </c>
      <c r="K76" s="164">
        <v>35.5</v>
      </c>
      <c r="L76" s="164">
        <v>22</v>
      </c>
      <c r="M76" s="164">
        <v>12</v>
      </c>
      <c r="N76" s="164">
        <v>12.5</v>
      </c>
      <c r="O76" s="164">
        <v>27.5</v>
      </c>
      <c r="P76" s="164">
        <v>7.5</v>
      </c>
      <c r="Q76" s="164">
        <v>11.5</v>
      </c>
      <c r="R76" s="164">
        <v>34</v>
      </c>
      <c r="S76" s="164">
        <v>18</v>
      </c>
      <c r="T76" s="164">
        <v>13</v>
      </c>
      <c r="U76" s="164">
        <v>12</v>
      </c>
      <c r="V76" s="164">
        <v>13</v>
      </c>
      <c r="W76" s="164">
        <v>34</v>
      </c>
      <c r="X76" s="164">
        <v>2.5</v>
      </c>
      <c r="Y76" s="164">
        <v>5</v>
      </c>
      <c r="Z76" s="164">
        <v>12</v>
      </c>
      <c r="AA76" s="164">
        <v>8.5</v>
      </c>
      <c r="AB76" s="164">
        <v>9.5</v>
      </c>
      <c r="AC76" s="164">
        <v>17.5</v>
      </c>
      <c r="AD76" s="164">
        <v>36.5</v>
      </c>
      <c r="AE76" s="145"/>
      <c r="AF76" s="138"/>
      <c r="AG76" s="138"/>
      <c r="AH76" s="138"/>
      <c r="AI76" s="138"/>
      <c r="AJ76" s="138"/>
      <c r="AK76" s="138"/>
      <c r="AL76" s="138"/>
      <c r="AM76" s="138"/>
      <c r="AN76" s="138"/>
    </row>
    <row r="77" spans="1:40" ht="15" customHeight="1" x14ac:dyDescent="0.2">
      <c r="A77" s="144" t="s">
        <v>313</v>
      </c>
      <c r="B77" s="144" t="s">
        <v>1759</v>
      </c>
      <c r="C77" s="144">
        <v>2015</v>
      </c>
      <c r="D77" s="143">
        <v>48</v>
      </c>
      <c r="E77" s="144" t="s">
        <v>1824</v>
      </c>
      <c r="F77" s="143">
        <v>0</v>
      </c>
      <c r="G77" s="143">
        <v>0</v>
      </c>
      <c r="H77" s="143">
        <v>0</v>
      </c>
      <c r="I77" s="143">
        <v>0</v>
      </c>
      <c r="J77" s="143">
        <v>0</v>
      </c>
      <c r="K77" s="143">
        <v>0</v>
      </c>
      <c r="L77" s="143">
        <v>0</v>
      </c>
      <c r="M77" s="143">
        <v>0</v>
      </c>
      <c r="N77" s="143">
        <v>0</v>
      </c>
      <c r="O77" s="143">
        <v>0</v>
      </c>
      <c r="P77" s="143">
        <v>0</v>
      </c>
      <c r="Q77" s="143">
        <v>0</v>
      </c>
      <c r="R77" s="143">
        <v>0</v>
      </c>
      <c r="S77" s="143">
        <v>0</v>
      </c>
      <c r="T77" s="143">
        <v>0</v>
      </c>
      <c r="U77" s="143">
        <v>0</v>
      </c>
      <c r="V77" s="143">
        <v>0</v>
      </c>
      <c r="W77" s="143">
        <v>0</v>
      </c>
      <c r="X77" s="143">
        <v>0</v>
      </c>
      <c r="Y77" s="143">
        <v>0</v>
      </c>
      <c r="Z77" s="143">
        <v>0</v>
      </c>
      <c r="AA77" s="143">
        <v>0</v>
      </c>
      <c r="AB77" s="143">
        <v>0</v>
      </c>
      <c r="AC77" s="143">
        <v>1</v>
      </c>
      <c r="AD77" s="143">
        <v>0</v>
      </c>
      <c r="AE77" s="145">
        <v>0.25</v>
      </c>
      <c r="AF77" s="138">
        <v>1</v>
      </c>
      <c r="AG77" s="138"/>
      <c r="AH77" s="138"/>
      <c r="AI77" s="138"/>
      <c r="AJ77" s="138"/>
      <c r="AK77" s="138"/>
      <c r="AL77" s="138"/>
      <c r="AM77" s="138"/>
      <c r="AN77" s="138"/>
    </row>
    <row r="78" spans="1:40" ht="15" customHeight="1" x14ac:dyDescent="0.2">
      <c r="A78" s="143" t="s">
        <v>313</v>
      </c>
      <c r="B78" s="143" t="s">
        <v>1759</v>
      </c>
      <c r="C78" s="143">
        <v>2015</v>
      </c>
      <c r="D78" s="143">
        <v>48</v>
      </c>
      <c r="E78" s="144" t="s">
        <v>1821</v>
      </c>
      <c r="F78" s="143">
        <v>0</v>
      </c>
      <c r="G78" s="143">
        <v>0</v>
      </c>
      <c r="H78" s="143">
        <v>1</v>
      </c>
      <c r="I78" s="143">
        <v>0</v>
      </c>
      <c r="J78" s="143">
        <v>0</v>
      </c>
      <c r="K78" s="143">
        <v>0</v>
      </c>
      <c r="L78" s="143">
        <v>0</v>
      </c>
      <c r="M78" s="143">
        <v>0</v>
      </c>
      <c r="N78" s="143">
        <v>0</v>
      </c>
      <c r="O78" s="143">
        <v>0</v>
      </c>
      <c r="P78" s="143">
        <v>0</v>
      </c>
      <c r="Q78" s="143">
        <v>0</v>
      </c>
      <c r="R78" s="143">
        <v>0</v>
      </c>
      <c r="S78" s="143">
        <v>0</v>
      </c>
      <c r="T78" s="143">
        <v>1</v>
      </c>
      <c r="U78" s="143">
        <v>0</v>
      </c>
      <c r="V78" s="143">
        <v>0</v>
      </c>
      <c r="W78" s="143">
        <v>0</v>
      </c>
      <c r="X78" s="143">
        <v>0</v>
      </c>
      <c r="Y78" s="143">
        <v>0</v>
      </c>
      <c r="Z78" s="143">
        <v>0</v>
      </c>
      <c r="AA78" s="143">
        <v>0</v>
      </c>
      <c r="AB78" s="143">
        <v>1</v>
      </c>
      <c r="AC78" s="143">
        <v>0</v>
      </c>
      <c r="AD78" s="143">
        <v>0</v>
      </c>
      <c r="AE78" s="145">
        <v>1</v>
      </c>
      <c r="AF78" s="138">
        <v>3</v>
      </c>
      <c r="AG78" s="138" t="s">
        <v>1871</v>
      </c>
      <c r="AH78" s="138" t="s">
        <v>1655</v>
      </c>
      <c r="AI78" s="138"/>
      <c r="AJ78" s="138"/>
      <c r="AK78" s="138" t="s">
        <v>1432</v>
      </c>
      <c r="AL78" s="138"/>
      <c r="AM78" s="138"/>
      <c r="AN78" s="138" t="s">
        <v>1432</v>
      </c>
    </row>
    <row r="79" spans="1:40" ht="15" customHeight="1" x14ac:dyDescent="0.2">
      <c r="A79" s="143" t="s">
        <v>313</v>
      </c>
      <c r="B79" s="143" t="s">
        <v>1759</v>
      </c>
      <c r="C79" s="143">
        <v>2015</v>
      </c>
      <c r="D79" s="143">
        <v>48</v>
      </c>
      <c r="E79" s="144" t="s">
        <v>1730</v>
      </c>
      <c r="F79" s="143">
        <v>1</v>
      </c>
      <c r="G79" s="143">
        <v>1</v>
      </c>
      <c r="H79" s="143">
        <v>1</v>
      </c>
      <c r="I79" s="143">
        <v>1</v>
      </c>
      <c r="J79" s="143">
        <v>1</v>
      </c>
      <c r="K79" s="143">
        <v>1</v>
      </c>
      <c r="L79" s="143">
        <v>1</v>
      </c>
      <c r="M79" s="143">
        <v>1</v>
      </c>
      <c r="N79" s="143">
        <v>1</v>
      </c>
      <c r="O79" s="143">
        <v>1</v>
      </c>
      <c r="P79" s="143">
        <v>1</v>
      </c>
      <c r="Q79" s="143">
        <v>1</v>
      </c>
      <c r="R79" s="143">
        <v>1</v>
      </c>
      <c r="S79" s="143">
        <v>1</v>
      </c>
      <c r="T79" s="143">
        <v>1</v>
      </c>
      <c r="U79" s="143">
        <v>1</v>
      </c>
      <c r="V79" s="143">
        <v>1</v>
      </c>
      <c r="W79" s="143">
        <v>1</v>
      </c>
      <c r="X79" s="143">
        <v>1</v>
      </c>
      <c r="Y79" s="143">
        <v>1</v>
      </c>
      <c r="Z79" s="143">
        <v>1</v>
      </c>
      <c r="AA79" s="143">
        <v>1</v>
      </c>
      <c r="AB79" s="143">
        <v>1</v>
      </c>
      <c r="AC79" s="143">
        <v>1</v>
      </c>
      <c r="AD79" s="143">
        <v>0</v>
      </c>
      <c r="AE79" s="145">
        <v>30</v>
      </c>
      <c r="AF79" s="138">
        <v>24</v>
      </c>
      <c r="AG79" s="138"/>
      <c r="AH79" s="138"/>
      <c r="AI79" s="138"/>
      <c r="AJ79" s="138"/>
      <c r="AK79" s="138"/>
      <c r="AL79" s="138"/>
      <c r="AM79" s="138"/>
      <c r="AN79" s="138"/>
    </row>
    <row r="80" spans="1:40" ht="15" customHeight="1" x14ac:dyDescent="0.2">
      <c r="A80" s="144" t="s">
        <v>313</v>
      </c>
      <c r="B80" s="144" t="s">
        <v>1759</v>
      </c>
      <c r="C80" s="144">
        <v>2015</v>
      </c>
      <c r="D80" s="143">
        <v>49</v>
      </c>
      <c r="E80" s="163" t="s">
        <v>1735</v>
      </c>
      <c r="F80" s="164">
        <v>15</v>
      </c>
      <c r="G80" s="164">
        <v>5</v>
      </c>
      <c r="H80" s="164">
        <v>5</v>
      </c>
      <c r="I80" s="164">
        <v>10.5</v>
      </c>
      <c r="J80" s="164">
        <v>2</v>
      </c>
      <c r="K80" s="164">
        <v>23.5</v>
      </c>
      <c r="L80" s="164">
        <v>10</v>
      </c>
      <c r="M80" s="164">
        <v>9.5</v>
      </c>
      <c r="N80" s="164">
        <v>1.5</v>
      </c>
      <c r="O80" s="164">
        <v>2</v>
      </c>
      <c r="P80" s="164">
        <v>3.5</v>
      </c>
      <c r="Q80" s="164">
        <v>2.5</v>
      </c>
      <c r="R80" s="164">
        <v>2</v>
      </c>
      <c r="S80" s="164">
        <v>2</v>
      </c>
      <c r="T80" s="164">
        <v>8</v>
      </c>
      <c r="U80" s="164">
        <v>2</v>
      </c>
      <c r="V80" s="164">
        <v>3</v>
      </c>
      <c r="W80" s="164">
        <v>2</v>
      </c>
      <c r="X80" s="164">
        <v>2</v>
      </c>
      <c r="Y80" s="164">
        <v>63</v>
      </c>
      <c r="Z80" s="164">
        <v>3</v>
      </c>
      <c r="AA80" s="164">
        <v>3</v>
      </c>
      <c r="AB80" s="164">
        <v>4</v>
      </c>
      <c r="AC80" s="164">
        <v>25</v>
      </c>
      <c r="AD80" s="164">
        <v>99</v>
      </c>
      <c r="AE80" s="145"/>
      <c r="AF80" s="138"/>
      <c r="AG80" s="138"/>
      <c r="AH80" s="138"/>
      <c r="AI80" s="138"/>
      <c r="AJ80" s="138"/>
      <c r="AK80" s="138"/>
      <c r="AL80" s="138"/>
      <c r="AM80" s="138"/>
      <c r="AN80" s="138"/>
    </row>
    <row r="81" spans="1:40" ht="15" customHeight="1" x14ac:dyDescent="0.2">
      <c r="A81" s="143" t="s">
        <v>313</v>
      </c>
      <c r="B81" s="143" t="s">
        <v>1759</v>
      </c>
      <c r="C81" s="143">
        <v>2015</v>
      </c>
      <c r="D81" s="143">
        <v>49</v>
      </c>
      <c r="E81" s="144" t="s">
        <v>1824</v>
      </c>
      <c r="F81" s="143">
        <v>0</v>
      </c>
      <c r="G81" s="143">
        <v>0</v>
      </c>
      <c r="H81" s="143">
        <v>0</v>
      </c>
      <c r="I81" s="143">
        <v>0</v>
      </c>
      <c r="J81" s="143">
        <v>0</v>
      </c>
      <c r="K81" s="143">
        <v>0</v>
      </c>
      <c r="L81" s="143">
        <v>0</v>
      </c>
      <c r="M81" s="143">
        <v>0</v>
      </c>
      <c r="N81" s="143">
        <v>0</v>
      </c>
      <c r="O81" s="143">
        <v>0</v>
      </c>
      <c r="P81" s="143">
        <v>1</v>
      </c>
      <c r="Q81" s="143">
        <v>1</v>
      </c>
      <c r="R81" s="143">
        <v>0</v>
      </c>
      <c r="S81" s="143">
        <v>0</v>
      </c>
      <c r="T81" s="143">
        <v>1</v>
      </c>
      <c r="U81" s="143">
        <v>0</v>
      </c>
      <c r="V81" s="143">
        <v>0</v>
      </c>
      <c r="W81" s="143">
        <v>0</v>
      </c>
      <c r="X81" s="143">
        <v>0</v>
      </c>
      <c r="Y81" s="143">
        <v>0</v>
      </c>
      <c r="Z81" s="143">
        <v>0</v>
      </c>
      <c r="AA81" s="143">
        <v>0</v>
      </c>
      <c r="AB81" s="143">
        <v>0</v>
      </c>
      <c r="AC81" s="143">
        <v>0</v>
      </c>
      <c r="AD81" s="143">
        <v>0</v>
      </c>
      <c r="AE81" s="145">
        <v>0.1</v>
      </c>
      <c r="AF81" s="138">
        <v>3</v>
      </c>
      <c r="AG81" s="138" t="s">
        <v>1828</v>
      </c>
      <c r="AH81" s="138" t="s">
        <v>1655</v>
      </c>
      <c r="AI81" s="138" t="s">
        <v>1665</v>
      </c>
      <c r="AJ81" s="138"/>
      <c r="AK81" s="138" t="s">
        <v>1668</v>
      </c>
      <c r="AL81" s="138"/>
      <c r="AM81" s="138"/>
      <c r="AN81" s="138" t="s">
        <v>1668</v>
      </c>
    </row>
    <row r="82" spans="1:40" ht="15" customHeight="1" x14ac:dyDescent="0.2">
      <c r="A82" s="143" t="s">
        <v>313</v>
      </c>
      <c r="B82" s="143" t="s">
        <v>1759</v>
      </c>
      <c r="C82" s="143">
        <v>2015</v>
      </c>
      <c r="D82" s="144">
        <v>49</v>
      </c>
      <c r="E82" s="144" t="s">
        <v>1821</v>
      </c>
      <c r="F82" s="144">
        <v>1</v>
      </c>
      <c r="G82" s="144">
        <v>1</v>
      </c>
      <c r="H82" s="144">
        <v>1</v>
      </c>
      <c r="I82" s="144">
        <v>1</v>
      </c>
      <c r="J82" s="144">
        <v>1</v>
      </c>
      <c r="K82" s="144">
        <v>0</v>
      </c>
      <c r="L82" s="144">
        <v>1</v>
      </c>
      <c r="M82" s="144">
        <v>1</v>
      </c>
      <c r="N82" s="144">
        <v>1</v>
      </c>
      <c r="O82" s="144">
        <v>1</v>
      </c>
      <c r="P82" s="144">
        <v>1</v>
      </c>
      <c r="Q82" s="144">
        <v>1</v>
      </c>
      <c r="R82" s="144">
        <v>1</v>
      </c>
      <c r="S82" s="144">
        <v>1</v>
      </c>
      <c r="T82" s="144">
        <v>1</v>
      </c>
      <c r="U82" s="144">
        <v>1</v>
      </c>
      <c r="V82" s="144">
        <v>0</v>
      </c>
      <c r="W82" s="144">
        <v>1</v>
      </c>
      <c r="X82" s="144">
        <v>1</v>
      </c>
      <c r="Y82" s="144">
        <v>0</v>
      </c>
      <c r="Z82" s="144">
        <v>1</v>
      </c>
      <c r="AA82" s="144">
        <v>0</v>
      </c>
      <c r="AB82" s="144">
        <v>0</v>
      </c>
      <c r="AC82" s="144">
        <v>0</v>
      </c>
      <c r="AD82" s="144">
        <v>0</v>
      </c>
      <c r="AE82" s="147">
        <v>2</v>
      </c>
      <c r="AF82" s="138">
        <v>18</v>
      </c>
      <c r="AG82" s="146"/>
      <c r="AH82" s="138"/>
      <c r="AI82" s="138"/>
      <c r="AJ82" s="138"/>
      <c r="AK82" s="138"/>
      <c r="AL82" s="138"/>
      <c r="AM82" s="138"/>
      <c r="AN82" s="138"/>
    </row>
    <row r="83" spans="1:40" ht="15" customHeight="1" x14ac:dyDescent="0.2">
      <c r="A83" s="144" t="s">
        <v>313</v>
      </c>
      <c r="B83" s="144" t="s">
        <v>1759</v>
      </c>
      <c r="C83" s="144">
        <v>2015</v>
      </c>
      <c r="D83" s="143">
        <v>49</v>
      </c>
      <c r="E83" s="144" t="s">
        <v>1730</v>
      </c>
      <c r="F83" s="143">
        <v>1</v>
      </c>
      <c r="G83" s="143">
        <v>1</v>
      </c>
      <c r="H83" s="143">
        <v>1</v>
      </c>
      <c r="I83" s="143">
        <v>1</v>
      </c>
      <c r="J83" s="143">
        <v>1</v>
      </c>
      <c r="K83" s="143">
        <v>1</v>
      </c>
      <c r="L83" s="143">
        <v>1</v>
      </c>
      <c r="M83" s="143">
        <v>1</v>
      </c>
      <c r="N83" s="143">
        <v>1</v>
      </c>
      <c r="O83" s="143">
        <v>1</v>
      </c>
      <c r="P83" s="143">
        <v>1</v>
      </c>
      <c r="Q83" s="143">
        <v>1</v>
      </c>
      <c r="R83" s="143">
        <v>1</v>
      </c>
      <c r="S83" s="143">
        <v>1</v>
      </c>
      <c r="T83" s="143">
        <v>1</v>
      </c>
      <c r="U83" s="143">
        <v>1</v>
      </c>
      <c r="V83" s="143">
        <v>1</v>
      </c>
      <c r="W83" s="143">
        <v>1</v>
      </c>
      <c r="X83" s="143">
        <v>1</v>
      </c>
      <c r="Y83" s="143">
        <v>1</v>
      </c>
      <c r="Z83" s="143">
        <v>1</v>
      </c>
      <c r="AA83" s="143">
        <v>1</v>
      </c>
      <c r="AB83" s="143">
        <v>1</v>
      </c>
      <c r="AC83" s="143">
        <v>1</v>
      </c>
      <c r="AD83" s="143">
        <v>1</v>
      </c>
      <c r="AE83" s="145">
        <v>2</v>
      </c>
      <c r="AF83" s="138">
        <v>25</v>
      </c>
      <c r="AG83" s="138"/>
      <c r="AH83" s="138"/>
      <c r="AI83" s="138"/>
      <c r="AJ83" s="138"/>
      <c r="AK83" s="138"/>
      <c r="AL83" s="138"/>
      <c r="AM83" s="138"/>
      <c r="AN83" s="138"/>
    </row>
    <row r="84" spans="1:40" ht="15" customHeight="1" x14ac:dyDescent="0.2">
      <c r="A84" s="143" t="s">
        <v>313</v>
      </c>
      <c r="B84" s="143" t="s">
        <v>1759</v>
      </c>
      <c r="C84" s="143">
        <v>2015</v>
      </c>
      <c r="D84" s="143">
        <v>51</v>
      </c>
      <c r="E84" s="163" t="s">
        <v>1735</v>
      </c>
      <c r="F84" s="164">
        <v>11.5</v>
      </c>
      <c r="G84" s="164">
        <v>10.5</v>
      </c>
      <c r="H84" s="164">
        <v>9.5</v>
      </c>
      <c r="I84" s="164">
        <v>9.5</v>
      </c>
      <c r="J84" s="164">
        <v>8.5</v>
      </c>
      <c r="K84" s="164">
        <v>9.5</v>
      </c>
      <c r="L84" s="164">
        <v>5</v>
      </c>
      <c r="M84" s="164">
        <v>7</v>
      </c>
      <c r="N84" s="164">
        <v>5</v>
      </c>
      <c r="O84" s="164">
        <v>14.5</v>
      </c>
      <c r="P84" s="164">
        <v>13.5</v>
      </c>
      <c r="Q84" s="164">
        <v>6.5</v>
      </c>
      <c r="R84" s="164">
        <v>6.5</v>
      </c>
      <c r="S84" s="164">
        <v>8</v>
      </c>
      <c r="T84" s="164">
        <v>10.5</v>
      </c>
      <c r="U84" s="164">
        <v>9.5</v>
      </c>
      <c r="V84" s="164">
        <v>8.5</v>
      </c>
      <c r="W84" s="164">
        <v>14.5</v>
      </c>
      <c r="X84" s="164">
        <v>15</v>
      </c>
      <c r="Y84" s="164">
        <v>9</v>
      </c>
      <c r="Z84" s="164">
        <v>13</v>
      </c>
      <c r="AA84" s="164">
        <v>13.5</v>
      </c>
      <c r="AB84" s="164">
        <v>11.5</v>
      </c>
      <c r="AC84" s="164">
        <v>9</v>
      </c>
      <c r="AD84" s="164">
        <v>15</v>
      </c>
      <c r="AE84" s="145"/>
      <c r="AF84" s="138"/>
      <c r="AG84" s="138"/>
      <c r="AH84" s="138"/>
      <c r="AI84" s="138"/>
      <c r="AJ84" s="138"/>
      <c r="AK84" s="138"/>
      <c r="AL84" s="138"/>
      <c r="AM84" s="138"/>
      <c r="AN84" s="138"/>
    </row>
    <row r="85" spans="1:40" ht="15" customHeight="1" x14ac:dyDescent="0.2">
      <c r="A85" s="143" t="s">
        <v>313</v>
      </c>
      <c r="B85" s="143" t="s">
        <v>1759</v>
      </c>
      <c r="C85" s="143">
        <v>2015</v>
      </c>
      <c r="D85" s="143">
        <v>51</v>
      </c>
      <c r="E85" s="144" t="s">
        <v>1822</v>
      </c>
      <c r="F85" s="143">
        <v>1</v>
      </c>
      <c r="G85" s="143">
        <v>1</v>
      </c>
      <c r="H85" s="143">
        <v>1</v>
      </c>
      <c r="I85" s="143">
        <v>1</v>
      </c>
      <c r="J85" s="143">
        <v>1</v>
      </c>
      <c r="K85" s="143">
        <v>1</v>
      </c>
      <c r="L85" s="143">
        <v>1</v>
      </c>
      <c r="M85" s="143">
        <v>1</v>
      </c>
      <c r="N85" s="143">
        <v>1</v>
      </c>
      <c r="O85" s="143">
        <v>1</v>
      </c>
      <c r="P85" s="143">
        <v>1</v>
      </c>
      <c r="Q85" s="143">
        <v>1</v>
      </c>
      <c r="R85" s="143">
        <v>0</v>
      </c>
      <c r="S85" s="143">
        <v>1</v>
      </c>
      <c r="T85" s="143">
        <v>1</v>
      </c>
      <c r="U85" s="143">
        <v>1</v>
      </c>
      <c r="V85" s="143">
        <v>1</v>
      </c>
      <c r="W85" s="143">
        <v>1</v>
      </c>
      <c r="X85" s="143">
        <v>1</v>
      </c>
      <c r="Y85" s="143">
        <v>1</v>
      </c>
      <c r="Z85" s="143">
        <v>1</v>
      </c>
      <c r="AA85" s="143">
        <v>1</v>
      </c>
      <c r="AB85" s="143">
        <v>1</v>
      </c>
      <c r="AC85" s="143">
        <v>1</v>
      </c>
      <c r="AD85" s="143">
        <v>1</v>
      </c>
      <c r="AE85" s="145">
        <v>4</v>
      </c>
      <c r="AF85" s="138">
        <v>24</v>
      </c>
      <c r="AG85" s="1"/>
      <c r="AH85" s="138"/>
      <c r="AI85" s="138"/>
      <c r="AJ85" s="138"/>
      <c r="AK85" s="138"/>
      <c r="AL85" s="138"/>
      <c r="AM85" s="138"/>
      <c r="AN85" s="138"/>
    </row>
    <row r="86" spans="1:40" ht="15" customHeight="1" x14ac:dyDescent="0.2">
      <c r="A86" s="144" t="s">
        <v>313</v>
      </c>
      <c r="B86" s="144" t="s">
        <v>1759</v>
      </c>
      <c r="C86" s="144">
        <v>2015</v>
      </c>
      <c r="D86" s="144">
        <v>51</v>
      </c>
      <c r="E86" s="144" t="s">
        <v>1730</v>
      </c>
      <c r="F86" s="144">
        <v>1</v>
      </c>
      <c r="G86" s="144">
        <v>1</v>
      </c>
      <c r="H86" s="144">
        <v>1</v>
      </c>
      <c r="I86" s="144">
        <v>1</v>
      </c>
      <c r="J86" s="144">
        <v>1</v>
      </c>
      <c r="K86" s="144">
        <v>1</v>
      </c>
      <c r="L86" s="144">
        <v>1</v>
      </c>
      <c r="M86" s="144">
        <v>1</v>
      </c>
      <c r="N86" s="144">
        <v>1</v>
      </c>
      <c r="O86" s="144">
        <v>1</v>
      </c>
      <c r="P86" s="144">
        <v>1</v>
      </c>
      <c r="Q86" s="144">
        <v>1</v>
      </c>
      <c r="R86" s="144">
        <v>1</v>
      </c>
      <c r="S86" s="144">
        <v>1</v>
      </c>
      <c r="T86" s="144">
        <v>1</v>
      </c>
      <c r="U86" s="144">
        <v>1</v>
      </c>
      <c r="V86" s="144">
        <v>1</v>
      </c>
      <c r="W86" s="144">
        <v>1</v>
      </c>
      <c r="X86" s="144">
        <v>1</v>
      </c>
      <c r="Y86" s="144">
        <v>1</v>
      </c>
      <c r="Z86" s="144">
        <v>1</v>
      </c>
      <c r="AA86" s="144">
        <v>1</v>
      </c>
      <c r="AB86" s="144">
        <v>1</v>
      </c>
      <c r="AC86" s="144">
        <v>1</v>
      </c>
      <c r="AD86" s="144">
        <v>1</v>
      </c>
      <c r="AE86" s="147">
        <v>10</v>
      </c>
      <c r="AF86" s="138">
        <v>25</v>
      </c>
      <c r="AG86" s="146"/>
      <c r="AH86" s="138"/>
      <c r="AI86" s="138"/>
      <c r="AJ86" s="138"/>
      <c r="AK86" s="138"/>
      <c r="AL86" s="138"/>
      <c r="AM86" s="138"/>
      <c r="AN86" s="138"/>
    </row>
    <row r="87" spans="1:40" ht="15" customHeight="1" x14ac:dyDescent="0.2">
      <c r="A87" s="143" t="s">
        <v>313</v>
      </c>
      <c r="B87" s="143" t="s">
        <v>1759</v>
      </c>
      <c r="C87" s="143">
        <v>2015</v>
      </c>
      <c r="D87" s="144">
        <v>52</v>
      </c>
      <c r="E87" s="163" t="s">
        <v>1735</v>
      </c>
      <c r="F87" s="164">
        <v>35</v>
      </c>
      <c r="G87" s="164">
        <v>35</v>
      </c>
      <c r="H87" s="164">
        <v>18</v>
      </c>
      <c r="I87" s="164">
        <v>11</v>
      </c>
      <c r="J87" s="164">
        <v>6.5</v>
      </c>
      <c r="K87" s="164">
        <v>11</v>
      </c>
      <c r="L87" s="164">
        <v>11.5</v>
      </c>
      <c r="M87" s="164">
        <v>8</v>
      </c>
      <c r="N87" s="164">
        <v>9</v>
      </c>
      <c r="O87" s="164">
        <v>9</v>
      </c>
      <c r="P87" s="164">
        <v>17</v>
      </c>
      <c r="Q87" s="164">
        <v>16</v>
      </c>
      <c r="R87" s="164">
        <v>16</v>
      </c>
      <c r="S87" s="164">
        <v>19</v>
      </c>
      <c r="T87" s="164">
        <v>100</v>
      </c>
      <c r="U87" s="164">
        <v>18</v>
      </c>
      <c r="V87" s="164">
        <v>20</v>
      </c>
      <c r="W87" s="164">
        <v>27.5</v>
      </c>
      <c r="X87" s="164">
        <v>23</v>
      </c>
      <c r="Y87" s="164">
        <v>32</v>
      </c>
      <c r="Z87" s="164">
        <v>5</v>
      </c>
      <c r="AA87" s="164">
        <v>0</v>
      </c>
      <c r="AB87" s="164">
        <v>6.5</v>
      </c>
      <c r="AC87" s="164">
        <v>23</v>
      </c>
      <c r="AD87" s="164">
        <v>46</v>
      </c>
      <c r="AE87" s="147"/>
      <c r="AF87" s="138"/>
      <c r="AG87" s="146"/>
      <c r="AH87" s="138"/>
      <c r="AI87" s="138"/>
      <c r="AJ87" s="138"/>
      <c r="AK87" s="138"/>
      <c r="AL87" s="138"/>
      <c r="AM87" s="138"/>
      <c r="AN87" s="138"/>
    </row>
    <row r="88" spans="1:40" ht="15" customHeight="1" x14ac:dyDescent="0.2">
      <c r="A88" s="143" t="s">
        <v>313</v>
      </c>
      <c r="B88" s="143" t="s">
        <v>1759</v>
      </c>
      <c r="C88" s="143">
        <v>2015</v>
      </c>
      <c r="D88" s="144">
        <v>52</v>
      </c>
      <c r="E88" s="144" t="s">
        <v>1821</v>
      </c>
      <c r="F88" s="144">
        <v>0</v>
      </c>
      <c r="G88" s="144">
        <v>0</v>
      </c>
      <c r="H88" s="144">
        <v>0</v>
      </c>
      <c r="I88" s="144">
        <v>0</v>
      </c>
      <c r="J88" s="144">
        <v>1</v>
      </c>
      <c r="K88" s="144">
        <v>0</v>
      </c>
      <c r="L88" s="144">
        <v>0</v>
      </c>
      <c r="M88" s="144">
        <v>0</v>
      </c>
      <c r="N88" s="144">
        <v>0</v>
      </c>
      <c r="O88" s="144">
        <v>0</v>
      </c>
      <c r="P88" s="144">
        <v>0</v>
      </c>
      <c r="Q88" s="144">
        <v>0</v>
      </c>
      <c r="R88" s="144">
        <v>0</v>
      </c>
      <c r="S88" s="144">
        <v>0</v>
      </c>
      <c r="T88" s="144">
        <v>0</v>
      </c>
      <c r="U88" s="144">
        <v>0</v>
      </c>
      <c r="V88" s="144">
        <v>0</v>
      </c>
      <c r="W88" s="144">
        <v>0</v>
      </c>
      <c r="X88" s="144">
        <v>0</v>
      </c>
      <c r="Y88" s="144">
        <v>0</v>
      </c>
      <c r="Z88" s="144">
        <v>1</v>
      </c>
      <c r="AA88" s="144">
        <v>1</v>
      </c>
      <c r="AB88" s="144">
        <v>0</v>
      </c>
      <c r="AC88" s="144">
        <v>1</v>
      </c>
      <c r="AD88" s="144">
        <v>0</v>
      </c>
      <c r="AE88" s="147">
        <v>0.1</v>
      </c>
      <c r="AF88" s="138">
        <v>4</v>
      </c>
      <c r="AG88" s="146"/>
      <c r="AH88" s="138" t="s">
        <v>1655</v>
      </c>
      <c r="AI88" s="138"/>
      <c r="AJ88" s="138"/>
      <c r="AK88" s="138" t="s">
        <v>1668</v>
      </c>
      <c r="AL88" s="138"/>
      <c r="AM88" s="138"/>
      <c r="AN88" s="138" t="s">
        <v>1668</v>
      </c>
    </row>
    <row r="89" spans="1:40" ht="15" customHeight="1" x14ac:dyDescent="0.2">
      <c r="A89" s="144" t="s">
        <v>313</v>
      </c>
      <c r="B89" s="144" t="s">
        <v>1759</v>
      </c>
      <c r="C89" s="144">
        <v>2015</v>
      </c>
      <c r="D89" s="143">
        <v>52</v>
      </c>
      <c r="E89" s="144" t="s">
        <v>1730</v>
      </c>
      <c r="F89" s="143">
        <v>1</v>
      </c>
      <c r="G89" s="143">
        <v>1</v>
      </c>
      <c r="H89" s="143">
        <v>1</v>
      </c>
      <c r="I89" s="143">
        <v>1</v>
      </c>
      <c r="J89" s="143">
        <v>1</v>
      </c>
      <c r="K89" s="143">
        <v>1</v>
      </c>
      <c r="L89" s="143">
        <v>1</v>
      </c>
      <c r="M89" s="143">
        <v>1</v>
      </c>
      <c r="N89" s="143">
        <v>1</v>
      </c>
      <c r="O89" s="143">
        <v>1</v>
      </c>
      <c r="P89" s="143">
        <v>1</v>
      </c>
      <c r="Q89" s="143">
        <v>1</v>
      </c>
      <c r="R89" s="143">
        <v>1</v>
      </c>
      <c r="S89" s="143">
        <v>1</v>
      </c>
      <c r="T89" s="143">
        <v>1</v>
      </c>
      <c r="U89" s="143">
        <v>1</v>
      </c>
      <c r="V89" s="143">
        <v>1</v>
      </c>
      <c r="W89" s="143">
        <v>1</v>
      </c>
      <c r="X89" s="143">
        <v>1</v>
      </c>
      <c r="Y89" s="143">
        <v>1</v>
      </c>
      <c r="Z89" s="143">
        <v>1</v>
      </c>
      <c r="AA89" s="143">
        <v>1</v>
      </c>
      <c r="AB89" s="143">
        <v>1</v>
      </c>
      <c r="AC89" s="143">
        <v>1</v>
      </c>
      <c r="AD89" s="143">
        <v>1</v>
      </c>
      <c r="AE89" s="145">
        <v>35</v>
      </c>
      <c r="AF89" s="138">
        <v>25</v>
      </c>
      <c r="AG89" s="138"/>
      <c r="AH89" s="138"/>
      <c r="AI89" s="138"/>
      <c r="AJ89" s="138"/>
      <c r="AK89" s="138"/>
      <c r="AL89" s="138"/>
      <c r="AM89" s="138"/>
      <c r="AN89" s="138"/>
    </row>
    <row r="90" spans="1:40" ht="15" customHeight="1" x14ac:dyDescent="0.2">
      <c r="A90" s="143" t="s">
        <v>313</v>
      </c>
      <c r="B90" s="143" t="s">
        <v>1759</v>
      </c>
      <c r="C90" s="143">
        <v>2015</v>
      </c>
      <c r="D90" s="143">
        <v>52</v>
      </c>
      <c r="E90" s="144" t="s">
        <v>1822</v>
      </c>
      <c r="F90" s="143">
        <v>0</v>
      </c>
      <c r="G90" s="143">
        <v>0</v>
      </c>
      <c r="H90" s="143">
        <v>0</v>
      </c>
      <c r="I90" s="143">
        <v>0</v>
      </c>
      <c r="J90" s="143">
        <v>0</v>
      </c>
      <c r="K90" s="143">
        <v>0</v>
      </c>
      <c r="L90" s="143">
        <v>0</v>
      </c>
      <c r="M90" s="143">
        <v>0</v>
      </c>
      <c r="N90" s="143">
        <v>1</v>
      </c>
      <c r="O90" s="143">
        <v>0</v>
      </c>
      <c r="P90" s="143">
        <v>1</v>
      </c>
      <c r="Q90" s="143">
        <v>0</v>
      </c>
      <c r="R90" s="143">
        <v>0</v>
      </c>
      <c r="S90" s="143">
        <v>0</v>
      </c>
      <c r="T90" s="143">
        <v>0</v>
      </c>
      <c r="U90" s="143">
        <v>0</v>
      </c>
      <c r="V90" s="143">
        <v>0</v>
      </c>
      <c r="W90" s="143">
        <v>0</v>
      </c>
      <c r="X90" s="143">
        <v>0</v>
      </c>
      <c r="Y90" s="143">
        <v>0</v>
      </c>
      <c r="Z90" s="143">
        <v>0</v>
      </c>
      <c r="AA90" s="143">
        <v>0</v>
      </c>
      <c r="AB90" s="143">
        <v>0</v>
      </c>
      <c r="AC90" s="143">
        <v>0</v>
      </c>
      <c r="AD90" s="143">
        <v>0</v>
      </c>
      <c r="AE90" s="145">
        <v>0.1</v>
      </c>
      <c r="AF90" s="138">
        <v>2</v>
      </c>
      <c r="AG90" s="1"/>
      <c r="AH90" s="138"/>
      <c r="AI90" s="138"/>
      <c r="AJ90" s="138"/>
      <c r="AK90" s="138"/>
      <c r="AL90" s="138"/>
      <c r="AM90" s="138"/>
      <c r="AN90" s="138"/>
    </row>
    <row r="91" spans="1:40" ht="15" customHeight="1" x14ac:dyDescent="0.2">
      <c r="A91" s="143" t="s">
        <v>313</v>
      </c>
      <c r="B91" s="143" t="s">
        <v>1759</v>
      </c>
      <c r="C91" s="143">
        <v>2015</v>
      </c>
      <c r="D91" s="143">
        <v>53</v>
      </c>
      <c r="E91" s="163" t="s">
        <v>1735</v>
      </c>
      <c r="F91" s="164">
        <v>10.5</v>
      </c>
      <c r="G91" s="164">
        <v>8.5</v>
      </c>
      <c r="H91" s="164">
        <v>8.5</v>
      </c>
      <c r="I91" s="164">
        <v>8.5</v>
      </c>
      <c r="J91" s="164">
        <v>5.5</v>
      </c>
      <c r="K91" s="164">
        <v>9</v>
      </c>
      <c r="L91" s="164">
        <v>7.5</v>
      </c>
      <c r="M91" s="164">
        <v>10.5</v>
      </c>
      <c r="N91" s="164">
        <v>6.5</v>
      </c>
      <c r="O91" s="164">
        <v>11.5</v>
      </c>
      <c r="P91" s="164">
        <v>15</v>
      </c>
      <c r="Q91" s="164">
        <v>12.5</v>
      </c>
      <c r="R91" s="164">
        <v>20.5</v>
      </c>
      <c r="S91" s="164">
        <v>17.5</v>
      </c>
      <c r="T91" s="164">
        <v>13.5</v>
      </c>
      <c r="U91" s="164">
        <v>8.5</v>
      </c>
      <c r="V91" s="164">
        <v>14</v>
      </c>
      <c r="W91" s="164">
        <v>25</v>
      </c>
      <c r="X91" s="164">
        <v>9</v>
      </c>
      <c r="Y91" s="164">
        <v>9</v>
      </c>
      <c r="Z91" s="164">
        <v>11.5</v>
      </c>
      <c r="AA91" s="164">
        <v>12.5</v>
      </c>
      <c r="AB91" s="164">
        <v>10.5</v>
      </c>
      <c r="AC91" s="164">
        <v>12.5</v>
      </c>
      <c r="AD91" s="164">
        <v>10.5</v>
      </c>
      <c r="AE91" s="145"/>
      <c r="AF91" s="138"/>
      <c r="AG91" s="1"/>
      <c r="AH91" s="138"/>
      <c r="AI91" s="138"/>
      <c r="AJ91" s="138"/>
      <c r="AK91" s="138"/>
      <c r="AL91" s="138"/>
      <c r="AM91" s="138"/>
      <c r="AN91" s="138"/>
    </row>
    <row r="92" spans="1:40" ht="15" customHeight="1" x14ac:dyDescent="0.2">
      <c r="A92" s="144" t="s">
        <v>313</v>
      </c>
      <c r="B92" s="144" t="s">
        <v>1759</v>
      </c>
      <c r="C92" s="144">
        <v>2015</v>
      </c>
      <c r="D92" s="143">
        <v>53</v>
      </c>
      <c r="E92" s="144" t="s">
        <v>1730</v>
      </c>
      <c r="F92" s="143">
        <v>1</v>
      </c>
      <c r="G92" s="143">
        <v>1</v>
      </c>
      <c r="H92" s="143">
        <v>1</v>
      </c>
      <c r="I92" s="143">
        <v>1</v>
      </c>
      <c r="J92" s="143">
        <v>1</v>
      </c>
      <c r="K92" s="143">
        <v>1</v>
      </c>
      <c r="L92" s="143">
        <v>1</v>
      </c>
      <c r="M92" s="143">
        <v>1</v>
      </c>
      <c r="N92" s="143">
        <v>1</v>
      </c>
      <c r="O92" s="143">
        <v>1</v>
      </c>
      <c r="P92" s="143">
        <v>1</v>
      </c>
      <c r="Q92" s="143">
        <v>1</v>
      </c>
      <c r="R92" s="143">
        <v>1</v>
      </c>
      <c r="S92" s="143">
        <v>1</v>
      </c>
      <c r="T92" s="143">
        <v>1</v>
      </c>
      <c r="U92" s="143">
        <v>1</v>
      </c>
      <c r="V92" s="143">
        <v>1</v>
      </c>
      <c r="W92" s="143">
        <v>1</v>
      </c>
      <c r="X92" s="143">
        <v>1</v>
      </c>
      <c r="Y92" s="143">
        <v>1</v>
      </c>
      <c r="Z92" s="143">
        <v>1</v>
      </c>
      <c r="AA92" s="143">
        <v>1</v>
      </c>
      <c r="AB92" s="143">
        <v>1</v>
      </c>
      <c r="AC92" s="143">
        <v>1</v>
      </c>
      <c r="AD92" s="143">
        <v>1</v>
      </c>
      <c r="AE92" s="145">
        <v>6</v>
      </c>
      <c r="AF92" s="138">
        <v>25</v>
      </c>
      <c r="AG92" s="138"/>
      <c r="AH92" s="138"/>
      <c r="AI92" s="138"/>
      <c r="AJ92" s="138"/>
      <c r="AK92" s="138"/>
      <c r="AL92" s="138"/>
      <c r="AM92" s="138"/>
      <c r="AN92" s="138"/>
    </row>
    <row r="93" spans="1:40" ht="15" customHeight="1" x14ac:dyDescent="0.2">
      <c r="A93" s="143" t="s">
        <v>313</v>
      </c>
      <c r="B93" s="143" t="s">
        <v>1759</v>
      </c>
      <c r="C93" s="143">
        <v>2015</v>
      </c>
      <c r="D93" s="143">
        <v>57</v>
      </c>
      <c r="E93" s="163" t="s">
        <v>1735</v>
      </c>
      <c r="F93" s="164">
        <v>6.5</v>
      </c>
      <c r="G93" s="164">
        <v>16</v>
      </c>
      <c r="H93" s="164">
        <v>11</v>
      </c>
      <c r="I93" s="164">
        <v>11</v>
      </c>
      <c r="J93" s="164">
        <v>11</v>
      </c>
      <c r="K93" s="164">
        <v>10.5</v>
      </c>
      <c r="L93" s="164">
        <v>11.5</v>
      </c>
      <c r="M93" s="164">
        <v>9.5</v>
      </c>
      <c r="N93" s="164">
        <v>15</v>
      </c>
      <c r="O93" s="164">
        <v>14</v>
      </c>
      <c r="P93" s="164">
        <v>12.5</v>
      </c>
      <c r="Q93" s="164">
        <v>19</v>
      </c>
      <c r="R93" s="164">
        <v>12.5</v>
      </c>
      <c r="S93" s="164">
        <v>20</v>
      </c>
      <c r="T93" s="164">
        <v>15</v>
      </c>
      <c r="U93" s="164">
        <v>11</v>
      </c>
      <c r="V93" s="164">
        <v>7.5</v>
      </c>
      <c r="W93" s="164">
        <v>8.5</v>
      </c>
      <c r="X93" s="164">
        <v>15</v>
      </c>
      <c r="Y93" s="164">
        <v>11.5</v>
      </c>
      <c r="Z93" s="164">
        <v>10.5</v>
      </c>
      <c r="AA93" s="164">
        <v>9.5</v>
      </c>
      <c r="AB93" s="164">
        <v>14.5</v>
      </c>
      <c r="AC93" s="164">
        <v>10.5</v>
      </c>
      <c r="AD93" s="164">
        <v>20</v>
      </c>
      <c r="AE93" s="145"/>
      <c r="AF93" s="138"/>
      <c r="AG93" s="138"/>
      <c r="AH93" s="138"/>
      <c r="AI93" s="138"/>
      <c r="AJ93" s="138"/>
      <c r="AK93" s="138"/>
      <c r="AL93" s="138"/>
      <c r="AM93" s="138"/>
      <c r="AN93" s="138"/>
    </row>
    <row r="94" spans="1:40" ht="15" customHeight="1" x14ac:dyDescent="0.2">
      <c r="A94" s="143" t="s">
        <v>313</v>
      </c>
      <c r="B94" s="143" t="s">
        <v>1759</v>
      </c>
      <c r="C94" s="143">
        <v>2015</v>
      </c>
      <c r="D94" s="143">
        <v>57</v>
      </c>
      <c r="E94" s="144" t="s">
        <v>1734</v>
      </c>
      <c r="F94" s="143">
        <v>0</v>
      </c>
      <c r="G94" s="143">
        <v>0</v>
      </c>
      <c r="H94" s="143">
        <v>1</v>
      </c>
      <c r="I94" s="143">
        <v>0</v>
      </c>
      <c r="J94" s="143">
        <v>0</v>
      </c>
      <c r="K94" s="143">
        <v>0</v>
      </c>
      <c r="L94" s="143">
        <v>0</v>
      </c>
      <c r="M94" s="143">
        <v>1</v>
      </c>
      <c r="N94" s="143">
        <v>0</v>
      </c>
      <c r="O94" s="143">
        <v>0</v>
      </c>
      <c r="P94" s="143">
        <v>0</v>
      </c>
      <c r="Q94" s="143">
        <v>0</v>
      </c>
      <c r="R94" s="143">
        <v>1</v>
      </c>
      <c r="S94" s="143">
        <v>1</v>
      </c>
      <c r="T94" s="143">
        <v>0</v>
      </c>
      <c r="U94" s="143">
        <v>0</v>
      </c>
      <c r="V94" s="143">
        <v>0</v>
      </c>
      <c r="W94" s="143">
        <v>0</v>
      </c>
      <c r="X94" s="143">
        <v>0</v>
      </c>
      <c r="Y94" s="143">
        <v>0</v>
      </c>
      <c r="Z94" s="143">
        <v>0</v>
      </c>
      <c r="AA94" s="143">
        <v>0</v>
      </c>
      <c r="AB94" s="143">
        <v>0</v>
      </c>
      <c r="AC94" s="143">
        <v>0</v>
      </c>
      <c r="AD94" s="143">
        <v>1</v>
      </c>
      <c r="AE94" s="145">
        <v>1</v>
      </c>
      <c r="AF94" s="138">
        <v>5</v>
      </c>
      <c r="AG94" s="138"/>
      <c r="AH94" s="138"/>
      <c r="AI94" s="138"/>
      <c r="AJ94" s="138"/>
      <c r="AK94" s="138"/>
      <c r="AL94" s="138"/>
      <c r="AM94" s="138"/>
      <c r="AN94" s="138"/>
    </row>
    <row r="95" spans="1:40" ht="15" customHeight="1" x14ac:dyDescent="0.2">
      <c r="A95" s="144" t="s">
        <v>313</v>
      </c>
      <c r="B95" s="144" t="s">
        <v>1759</v>
      </c>
      <c r="C95" s="144">
        <v>2015</v>
      </c>
      <c r="D95" s="143">
        <v>57</v>
      </c>
      <c r="E95" s="144" t="s">
        <v>1822</v>
      </c>
      <c r="F95" s="143">
        <v>1</v>
      </c>
      <c r="G95" s="143">
        <v>0</v>
      </c>
      <c r="H95" s="143">
        <v>0</v>
      </c>
      <c r="I95" s="143">
        <v>0</v>
      </c>
      <c r="J95" s="143">
        <v>0</v>
      </c>
      <c r="K95" s="143">
        <v>1</v>
      </c>
      <c r="L95" s="143">
        <v>1</v>
      </c>
      <c r="M95" s="143">
        <v>1</v>
      </c>
      <c r="N95" s="143">
        <v>0</v>
      </c>
      <c r="O95" s="143">
        <v>0</v>
      </c>
      <c r="P95" s="143">
        <v>1</v>
      </c>
      <c r="Q95" s="143">
        <v>0</v>
      </c>
      <c r="R95" s="143">
        <v>1</v>
      </c>
      <c r="S95" s="143">
        <v>0</v>
      </c>
      <c r="T95" s="143">
        <v>0</v>
      </c>
      <c r="U95" s="143">
        <v>1</v>
      </c>
      <c r="V95" s="143">
        <v>0</v>
      </c>
      <c r="W95" s="143">
        <v>1</v>
      </c>
      <c r="X95" s="143">
        <v>0</v>
      </c>
      <c r="Y95" s="143">
        <v>1</v>
      </c>
      <c r="Z95" s="143">
        <v>1</v>
      </c>
      <c r="AA95" s="143">
        <v>1</v>
      </c>
      <c r="AB95" s="143">
        <v>0</v>
      </c>
      <c r="AC95" s="143">
        <v>0</v>
      </c>
      <c r="AD95" s="143">
        <v>1</v>
      </c>
      <c r="AE95" s="145">
        <v>3</v>
      </c>
      <c r="AF95" s="138">
        <v>12</v>
      </c>
      <c r="AG95" s="1"/>
      <c r="AH95" s="138"/>
      <c r="AI95" s="138"/>
      <c r="AJ95" s="138"/>
      <c r="AK95" s="138"/>
      <c r="AL95" s="138"/>
      <c r="AM95" s="138"/>
      <c r="AN95" s="138"/>
    </row>
    <row r="96" spans="1:40" ht="15" customHeight="1" x14ac:dyDescent="0.2">
      <c r="A96" s="143" t="s">
        <v>313</v>
      </c>
      <c r="B96" s="143" t="s">
        <v>1759</v>
      </c>
      <c r="C96" s="143">
        <v>2015</v>
      </c>
      <c r="D96" s="144">
        <v>57</v>
      </c>
      <c r="E96" s="144" t="s">
        <v>1730</v>
      </c>
      <c r="F96" s="144">
        <v>1</v>
      </c>
      <c r="G96" s="144">
        <v>1</v>
      </c>
      <c r="H96" s="144">
        <v>1</v>
      </c>
      <c r="I96" s="144">
        <v>1</v>
      </c>
      <c r="J96" s="144">
        <v>1</v>
      </c>
      <c r="K96" s="144">
        <v>1</v>
      </c>
      <c r="L96" s="144">
        <v>1</v>
      </c>
      <c r="M96" s="144">
        <v>1</v>
      </c>
      <c r="N96" s="144">
        <v>1</v>
      </c>
      <c r="O96" s="144">
        <v>1</v>
      </c>
      <c r="P96" s="144">
        <v>1</v>
      </c>
      <c r="Q96" s="144">
        <v>1</v>
      </c>
      <c r="R96" s="144">
        <v>1</v>
      </c>
      <c r="S96" s="144">
        <v>1</v>
      </c>
      <c r="T96" s="144">
        <v>1</v>
      </c>
      <c r="U96" s="144">
        <v>1</v>
      </c>
      <c r="V96" s="144">
        <v>1</v>
      </c>
      <c r="W96" s="144">
        <v>1</v>
      </c>
      <c r="X96" s="144">
        <v>1</v>
      </c>
      <c r="Y96" s="144">
        <v>1</v>
      </c>
      <c r="Z96" s="144">
        <v>1</v>
      </c>
      <c r="AA96" s="144">
        <v>1</v>
      </c>
      <c r="AB96" s="144">
        <v>1</v>
      </c>
      <c r="AC96" s="144">
        <v>1</v>
      </c>
      <c r="AD96" s="144">
        <v>1</v>
      </c>
      <c r="AE96" s="147">
        <v>20</v>
      </c>
      <c r="AF96" s="138">
        <v>25</v>
      </c>
      <c r="AG96" s="146"/>
      <c r="AH96" s="138"/>
      <c r="AI96" s="138"/>
      <c r="AJ96" s="138"/>
      <c r="AK96" s="138"/>
      <c r="AL96" s="138"/>
      <c r="AM96" s="138"/>
      <c r="AN96" s="138"/>
    </row>
    <row r="97" spans="1:40" ht="15" customHeight="1" x14ac:dyDescent="0.2">
      <c r="A97" s="143" t="s">
        <v>313</v>
      </c>
      <c r="B97" s="143" t="s">
        <v>1759</v>
      </c>
      <c r="C97" s="143">
        <v>2015</v>
      </c>
      <c r="D97" s="144">
        <v>58</v>
      </c>
      <c r="E97" s="163" t="s">
        <v>1735</v>
      </c>
      <c r="F97" s="164">
        <v>18</v>
      </c>
      <c r="G97" s="164">
        <v>7</v>
      </c>
      <c r="H97" s="164">
        <v>42</v>
      </c>
      <c r="I97" s="164">
        <v>17.5</v>
      </c>
      <c r="J97" s="164">
        <v>58</v>
      </c>
      <c r="K97" s="164">
        <v>12.5</v>
      </c>
      <c r="L97" s="164">
        <v>31</v>
      </c>
      <c r="M97" s="164">
        <v>29</v>
      </c>
      <c r="N97" s="164">
        <v>17</v>
      </c>
      <c r="O97" s="164">
        <v>36</v>
      </c>
      <c r="P97" s="164">
        <v>1</v>
      </c>
      <c r="Q97" s="164">
        <v>4</v>
      </c>
      <c r="R97" s="164">
        <v>2</v>
      </c>
      <c r="S97" s="164">
        <v>20</v>
      </c>
      <c r="T97" s="164">
        <v>11</v>
      </c>
      <c r="U97" s="164">
        <v>23</v>
      </c>
      <c r="V97" s="164">
        <v>9.5</v>
      </c>
      <c r="W97" s="164">
        <v>11</v>
      </c>
      <c r="X97" s="164">
        <v>3.5</v>
      </c>
      <c r="Y97" s="164">
        <v>31</v>
      </c>
      <c r="Z97" s="164">
        <v>3.5</v>
      </c>
      <c r="AA97" s="164">
        <v>0.5</v>
      </c>
      <c r="AB97" s="164">
        <v>1.5</v>
      </c>
      <c r="AC97" s="164">
        <v>1</v>
      </c>
      <c r="AD97" s="164">
        <v>25.5</v>
      </c>
      <c r="AE97" s="147"/>
      <c r="AF97" s="138"/>
      <c r="AG97" s="146"/>
      <c r="AH97" s="138"/>
      <c r="AI97" s="138"/>
      <c r="AJ97" s="138"/>
      <c r="AK97" s="138"/>
      <c r="AL97" s="138"/>
      <c r="AM97" s="138"/>
      <c r="AN97" s="138"/>
    </row>
    <row r="98" spans="1:40" ht="15" customHeight="1" x14ac:dyDescent="0.2">
      <c r="A98" s="144" t="s">
        <v>313</v>
      </c>
      <c r="B98" s="144" t="s">
        <v>1759</v>
      </c>
      <c r="C98" s="144">
        <v>2015</v>
      </c>
      <c r="D98" s="143">
        <v>58</v>
      </c>
      <c r="E98" s="144" t="s">
        <v>1821</v>
      </c>
      <c r="F98" s="143">
        <v>0</v>
      </c>
      <c r="G98" s="143">
        <v>0</v>
      </c>
      <c r="H98" s="143">
        <v>0</v>
      </c>
      <c r="I98" s="143">
        <v>0</v>
      </c>
      <c r="J98" s="143">
        <v>0</v>
      </c>
      <c r="K98" s="143">
        <v>1</v>
      </c>
      <c r="L98" s="143">
        <v>1</v>
      </c>
      <c r="M98" s="143">
        <v>0</v>
      </c>
      <c r="N98" s="143">
        <v>1</v>
      </c>
      <c r="O98" s="143">
        <v>1</v>
      </c>
      <c r="P98" s="143">
        <v>1</v>
      </c>
      <c r="Q98" s="143">
        <v>1</v>
      </c>
      <c r="R98" s="143">
        <v>0</v>
      </c>
      <c r="S98" s="143">
        <v>0</v>
      </c>
      <c r="T98" s="143">
        <v>1</v>
      </c>
      <c r="U98" s="143">
        <v>0</v>
      </c>
      <c r="V98" s="143">
        <v>1</v>
      </c>
      <c r="W98" s="143">
        <v>1</v>
      </c>
      <c r="X98" s="143">
        <v>1</v>
      </c>
      <c r="Y98" s="143">
        <v>0</v>
      </c>
      <c r="Z98" s="143">
        <v>1</v>
      </c>
      <c r="AA98" s="143">
        <v>1</v>
      </c>
      <c r="AB98" s="143">
        <v>1</v>
      </c>
      <c r="AC98" s="143">
        <v>0</v>
      </c>
      <c r="AD98" s="143">
        <v>0</v>
      </c>
      <c r="AE98" s="145">
        <v>10</v>
      </c>
      <c r="AF98" s="138">
        <v>13</v>
      </c>
      <c r="AG98" s="138"/>
      <c r="AH98" s="138"/>
      <c r="AI98" s="138"/>
      <c r="AJ98" s="138"/>
      <c r="AK98" s="138"/>
      <c r="AL98" s="138"/>
      <c r="AM98" s="138"/>
      <c r="AN98" s="138"/>
    </row>
    <row r="99" spans="1:40" ht="15" customHeight="1" x14ac:dyDescent="0.2">
      <c r="A99" s="143" t="s">
        <v>313</v>
      </c>
      <c r="B99" s="143" t="s">
        <v>1759</v>
      </c>
      <c r="C99" s="143">
        <v>2015</v>
      </c>
      <c r="D99" s="143">
        <v>58</v>
      </c>
      <c r="E99" s="144" t="s">
        <v>1730</v>
      </c>
      <c r="F99" s="143">
        <v>1</v>
      </c>
      <c r="G99" s="143">
        <v>1</v>
      </c>
      <c r="H99" s="143">
        <v>1</v>
      </c>
      <c r="I99" s="143">
        <v>1</v>
      </c>
      <c r="J99" s="143">
        <v>1</v>
      </c>
      <c r="K99" s="143">
        <v>1</v>
      </c>
      <c r="L99" s="143">
        <v>1</v>
      </c>
      <c r="M99" s="143">
        <v>1</v>
      </c>
      <c r="N99" s="143">
        <v>1</v>
      </c>
      <c r="O99" s="143">
        <v>1</v>
      </c>
      <c r="P99" s="143">
        <v>1</v>
      </c>
      <c r="Q99" s="143">
        <v>1</v>
      </c>
      <c r="R99" s="143">
        <v>1</v>
      </c>
      <c r="S99" s="143">
        <v>1</v>
      </c>
      <c r="T99" s="143">
        <v>1</v>
      </c>
      <c r="U99" s="143">
        <v>1</v>
      </c>
      <c r="V99" s="143">
        <v>1</v>
      </c>
      <c r="W99" s="143">
        <v>1</v>
      </c>
      <c r="X99" s="143">
        <v>1</v>
      </c>
      <c r="Y99" s="143">
        <v>1</v>
      </c>
      <c r="Z99" s="143">
        <v>1</v>
      </c>
      <c r="AA99" s="143">
        <v>1</v>
      </c>
      <c r="AB99" s="143">
        <v>1</v>
      </c>
      <c r="AC99" s="143">
        <v>1</v>
      </c>
      <c r="AD99" s="143">
        <v>1</v>
      </c>
      <c r="AE99" s="145">
        <v>20</v>
      </c>
      <c r="AF99" s="138">
        <v>25</v>
      </c>
      <c r="AG99" s="138"/>
      <c r="AH99" s="138"/>
      <c r="AI99" s="138"/>
      <c r="AJ99" s="138"/>
      <c r="AK99" s="138"/>
      <c r="AL99" s="138"/>
      <c r="AM99" s="138"/>
      <c r="AN99" s="138"/>
    </row>
    <row r="100" spans="1:40" ht="15" customHeight="1" x14ac:dyDescent="0.2">
      <c r="A100" s="143" t="s">
        <v>313</v>
      </c>
      <c r="B100" s="143" t="s">
        <v>1759</v>
      </c>
      <c r="C100" s="143">
        <v>2015</v>
      </c>
      <c r="D100" s="143">
        <v>59</v>
      </c>
      <c r="E100" s="163" t="s">
        <v>1735</v>
      </c>
      <c r="F100" s="164">
        <v>26</v>
      </c>
      <c r="G100" s="164">
        <v>34</v>
      </c>
      <c r="H100" s="164">
        <v>24.5</v>
      </c>
      <c r="I100" s="164">
        <v>15</v>
      </c>
      <c r="J100" s="164">
        <v>12</v>
      </c>
      <c r="K100" s="164">
        <v>51</v>
      </c>
      <c r="L100" s="164">
        <v>60</v>
      </c>
      <c r="M100" s="164">
        <v>61</v>
      </c>
      <c r="N100" s="164">
        <v>58</v>
      </c>
      <c r="O100" s="164">
        <v>23</v>
      </c>
      <c r="P100" s="164">
        <v>58</v>
      </c>
      <c r="Q100" s="164">
        <v>39</v>
      </c>
      <c r="R100" s="164">
        <v>50</v>
      </c>
      <c r="S100" s="164">
        <v>54</v>
      </c>
      <c r="T100" s="164">
        <v>56.5</v>
      </c>
      <c r="U100" s="164">
        <v>35</v>
      </c>
      <c r="V100" s="164">
        <v>44</v>
      </c>
      <c r="W100" s="164">
        <v>59.5</v>
      </c>
      <c r="X100" s="164">
        <v>40</v>
      </c>
      <c r="Y100" s="164">
        <v>36</v>
      </c>
      <c r="Z100" s="164">
        <v>34</v>
      </c>
      <c r="AA100" s="164">
        <v>24</v>
      </c>
      <c r="AB100" s="164">
        <v>39</v>
      </c>
      <c r="AC100" s="164">
        <v>41.5</v>
      </c>
      <c r="AD100" s="164">
        <v>26</v>
      </c>
      <c r="AE100" s="145"/>
      <c r="AF100" s="138"/>
      <c r="AG100" s="138"/>
      <c r="AH100" s="138"/>
      <c r="AI100" s="138"/>
      <c r="AJ100" s="138"/>
      <c r="AK100" s="138"/>
      <c r="AL100" s="138"/>
      <c r="AM100" s="138"/>
      <c r="AN100" s="138"/>
    </row>
    <row r="101" spans="1:40" ht="15" customHeight="1" x14ac:dyDescent="0.2">
      <c r="A101" s="144" t="s">
        <v>313</v>
      </c>
      <c r="B101" s="144" t="s">
        <v>1759</v>
      </c>
      <c r="C101" s="144">
        <v>2015</v>
      </c>
      <c r="D101" s="143">
        <v>59</v>
      </c>
      <c r="E101" s="144" t="s">
        <v>1821</v>
      </c>
      <c r="F101" s="143">
        <v>0</v>
      </c>
      <c r="G101" s="143">
        <v>1</v>
      </c>
      <c r="H101" s="143">
        <v>0</v>
      </c>
      <c r="I101" s="143">
        <v>1</v>
      </c>
      <c r="J101" s="143">
        <v>0</v>
      </c>
      <c r="K101" s="143">
        <v>0</v>
      </c>
      <c r="L101" s="143">
        <v>1</v>
      </c>
      <c r="M101" s="143">
        <v>0</v>
      </c>
      <c r="N101" s="143">
        <v>0</v>
      </c>
      <c r="O101" s="143">
        <v>0</v>
      </c>
      <c r="P101" s="143">
        <v>0</v>
      </c>
      <c r="Q101" s="143">
        <v>0</v>
      </c>
      <c r="R101" s="143">
        <v>0</v>
      </c>
      <c r="S101" s="143">
        <v>0</v>
      </c>
      <c r="T101" s="143">
        <v>0</v>
      </c>
      <c r="U101" s="143">
        <v>0</v>
      </c>
      <c r="V101" s="143">
        <v>0</v>
      </c>
      <c r="W101" s="143">
        <v>0</v>
      </c>
      <c r="X101" s="143">
        <v>0</v>
      </c>
      <c r="Y101" s="143">
        <v>0</v>
      </c>
      <c r="Z101" s="143">
        <v>0</v>
      </c>
      <c r="AA101" s="143">
        <v>0</v>
      </c>
      <c r="AB101" s="143">
        <v>0</v>
      </c>
      <c r="AC101" s="143">
        <v>0</v>
      </c>
      <c r="AD101" s="143">
        <v>0</v>
      </c>
      <c r="AE101" s="145">
        <v>4</v>
      </c>
      <c r="AF101" s="138">
        <v>3</v>
      </c>
      <c r="AG101" s="138"/>
      <c r="AH101" s="138"/>
      <c r="AI101" s="138"/>
      <c r="AJ101" s="138"/>
      <c r="AK101" s="138"/>
      <c r="AL101" s="138"/>
      <c r="AM101" s="138"/>
      <c r="AN101" s="138"/>
    </row>
    <row r="102" spans="1:40" ht="15" customHeight="1" x14ac:dyDescent="0.2">
      <c r="A102" s="143" t="s">
        <v>313</v>
      </c>
      <c r="B102" s="143" t="s">
        <v>1759</v>
      </c>
      <c r="C102" s="143">
        <v>2015</v>
      </c>
      <c r="D102" s="144">
        <v>59</v>
      </c>
      <c r="E102" s="144" t="s">
        <v>1730</v>
      </c>
      <c r="F102" s="144">
        <v>1</v>
      </c>
      <c r="G102" s="144">
        <v>1</v>
      </c>
      <c r="H102" s="144">
        <v>1</v>
      </c>
      <c r="I102" s="144">
        <v>1</v>
      </c>
      <c r="J102" s="144">
        <v>1</v>
      </c>
      <c r="K102" s="144">
        <v>0</v>
      </c>
      <c r="L102" s="144">
        <v>1</v>
      </c>
      <c r="M102" s="144">
        <v>1</v>
      </c>
      <c r="N102" s="144">
        <v>1</v>
      </c>
      <c r="O102" s="144">
        <v>1</v>
      </c>
      <c r="P102" s="144">
        <v>1</v>
      </c>
      <c r="Q102" s="144">
        <v>1</v>
      </c>
      <c r="R102" s="144">
        <v>1</v>
      </c>
      <c r="S102" s="144">
        <v>1</v>
      </c>
      <c r="T102" s="144">
        <v>1</v>
      </c>
      <c r="U102" s="144">
        <v>1</v>
      </c>
      <c r="V102" s="144">
        <v>1</v>
      </c>
      <c r="W102" s="144">
        <v>1</v>
      </c>
      <c r="X102" s="144">
        <v>1</v>
      </c>
      <c r="Y102" s="144">
        <v>1</v>
      </c>
      <c r="Z102" s="144">
        <v>1</v>
      </c>
      <c r="AA102" s="144">
        <v>1</v>
      </c>
      <c r="AB102" s="144">
        <v>1</v>
      </c>
      <c r="AC102" s="144">
        <v>1</v>
      </c>
      <c r="AD102" s="144">
        <v>1</v>
      </c>
      <c r="AE102" s="147">
        <v>90</v>
      </c>
      <c r="AF102" s="138">
        <v>24</v>
      </c>
      <c r="AG102" s="146"/>
      <c r="AH102" s="138"/>
      <c r="AI102" s="138"/>
      <c r="AJ102" s="138"/>
      <c r="AK102" s="138"/>
      <c r="AL102" s="138"/>
      <c r="AM102" s="138"/>
      <c r="AN102" s="138"/>
    </row>
    <row r="103" spans="1:40" ht="15" customHeight="1" x14ac:dyDescent="0.2">
      <c r="A103" s="143" t="s">
        <v>313</v>
      </c>
      <c r="B103" s="143" t="s">
        <v>1761</v>
      </c>
      <c r="C103" s="143">
        <v>2015</v>
      </c>
      <c r="D103" s="144">
        <v>60</v>
      </c>
      <c r="E103" s="163" t="s">
        <v>1735</v>
      </c>
      <c r="F103" s="164">
        <v>5</v>
      </c>
      <c r="G103" s="164">
        <v>2.5</v>
      </c>
      <c r="H103" s="164">
        <v>5</v>
      </c>
      <c r="I103" s="164">
        <v>6</v>
      </c>
      <c r="J103" s="164">
        <v>5</v>
      </c>
      <c r="K103" s="164">
        <v>5</v>
      </c>
      <c r="L103" s="164">
        <v>6</v>
      </c>
      <c r="M103" s="164">
        <v>7.5</v>
      </c>
      <c r="N103" s="164">
        <v>9.5</v>
      </c>
      <c r="O103" s="164">
        <v>9.5</v>
      </c>
      <c r="P103" s="164">
        <v>8</v>
      </c>
      <c r="Q103" s="164">
        <v>7.5</v>
      </c>
      <c r="R103" s="164">
        <v>12</v>
      </c>
      <c r="S103" s="164">
        <v>12</v>
      </c>
      <c r="T103" s="164">
        <v>7.5</v>
      </c>
      <c r="U103" s="164">
        <v>3</v>
      </c>
      <c r="V103" s="164">
        <v>4</v>
      </c>
      <c r="W103" s="164">
        <v>12.5</v>
      </c>
      <c r="X103" s="164">
        <v>6</v>
      </c>
      <c r="Y103" s="164">
        <v>4</v>
      </c>
      <c r="Z103" s="164">
        <v>6</v>
      </c>
      <c r="AA103" s="164">
        <v>6.5</v>
      </c>
      <c r="AB103" s="164">
        <v>7.5</v>
      </c>
      <c r="AC103" s="164">
        <v>6.5</v>
      </c>
      <c r="AD103" s="164">
        <v>4.5</v>
      </c>
      <c r="AE103" s="147"/>
      <c r="AF103" s="138"/>
      <c r="AG103" s="146"/>
      <c r="AH103" s="138"/>
      <c r="AI103" s="138"/>
      <c r="AJ103" s="138"/>
      <c r="AK103" s="138"/>
      <c r="AL103" s="138"/>
      <c r="AM103" s="138"/>
      <c r="AN103" s="138"/>
    </row>
    <row r="104" spans="1:40" ht="15" customHeight="1" x14ac:dyDescent="0.2">
      <c r="A104" s="144" t="s">
        <v>313</v>
      </c>
      <c r="B104" s="144" t="s">
        <v>1761</v>
      </c>
      <c r="C104" s="144">
        <v>2015</v>
      </c>
      <c r="D104" s="143">
        <v>60</v>
      </c>
      <c r="E104" s="144" t="s">
        <v>1822</v>
      </c>
      <c r="F104" s="143">
        <v>1</v>
      </c>
      <c r="G104" s="143">
        <v>1</v>
      </c>
      <c r="H104" s="143">
        <v>1</v>
      </c>
      <c r="I104" s="143">
        <v>1</v>
      </c>
      <c r="J104" s="143">
        <v>1</v>
      </c>
      <c r="K104" s="143">
        <v>1</v>
      </c>
      <c r="L104" s="143">
        <v>1</v>
      </c>
      <c r="M104" s="143">
        <v>1</v>
      </c>
      <c r="N104" s="143">
        <v>1</v>
      </c>
      <c r="O104" s="143">
        <v>1</v>
      </c>
      <c r="P104" s="143">
        <v>1</v>
      </c>
      <c r="Q104" s="143">
        <v>1</v>
      </c>
      <c r="R104" s="143">
        <v>1</v>
      </c>
      <c r="S104" s="143">
        <v>1</v>
      </c>
      <c r="T104" s="143">
        <v>1</v>
      </c>
      <c r="U104" s="143">
        <v>1</v>
      </c>
      <c r="V104" s="143">
        <v>1</v>
      </c>
      <c r="W104" s="143">
        <v>1</v>
      </c>
      <c r="X104" s="143">
        <v>1</v>
      </c>
      <c r="Y104" s="143">
        <v>1</v>
      </c>
      <c r="Z104" s="143">
        <v>1</v>
      </c>
      <c r="AA104" s="143">
        <v>1</v>
      </c>
      <c r="AB104" s="143">
        <v>1</v>
      </c>
      <c r="AC104" s="143">
        <v>1</v>
      </c>
      <c r="AD104" s="143">
        <v>1</v>
      </c>
      <c r="AE104" s="145">
        <v>10</v>
      </c>
      <c r="AF104" s="138">
        <v>25</v>
      </c>
      <c r="AG104" s="1"/>
      <c r="AH104" s="138"/>
      <c r="AI104" s="138"/>
      <c r="AJ104" s="138"/>
      <c r="AK104" s="138"/>
      <c r="AL104" s="138"/>
      <c r="AM104" s="138"/>
      <c r="AN104" s="138"/>
    </row>
    <row r="105" spans="1:40" ht="15" customHeight="1" x14ac:dyDescent="0.2">
      <c r="A105" s="143" t="s">
        <v>313</v>
      </c>
      <c r="B105" s="143" t="s">
        <v>1761</v>
      </c>
      <c r="C105" s="143">
        <v>2015</v>
      </c>
      <c r="D105" s="143">
        <v>60</v>
      </c>
      <c r="E105" s="144" t="s">
        <v>1730</v>
      </c>
      <c r="F105" s="143">
        <v>1</v>
      </c>
      <c r="G105" s="143">
        <v>1</v>
      </c>
      <c r="H105" s="143">
        <v>1</v>
      </c>
      <c r="I105" s="143">
        <v>1</v>
      </c>
      <c r="J105" s="143">
        <v>1</v>
      </c>
      <c r="K105" s="143">
        <v>1</v>
      </c>
      <c r="L105" s="143">
        <v>1</v>
      </c>
      <c r="M105" s="143">
        <v>1</v>
      </c>
      <c r="N105" s="143">
        <v>1</v>
      </c>
      <c r="O105" s="143">
        <v>1</v>
      </c>
      <c r="P105" s="143">
        <v>1</v>
      </c>
      <c r="Q105" s="143">
        <v>1</v>
      </c>
      <c r="R105" s="143">
        <v>1</v>
      </c>
      <c r="S105" s="143">
        <v>1</v>
      </c>
      <c r="T105" s="143">
        <v>1</v>
      </c>
      <c r="U105" s="143">
        <v>1</v>
      </c>
      <c r="V105" s="143">
        <v>1</v>
      </c>
      <c r="W105" s="143">
        <v>1</v>
      </c>
      <c r="X105" s="143">
        <v>1</v>
      </c>
      <c r="Y105" s="143">
        <v>1</v>
      </c>
      <c r="Z105" s="143">
        <v>1</v>
      </c>
      <c r="AA105" s="143">
        <v>1</v>
      </c>
      <c r="AB105" s="143">
        <v>1</v>
      </c>
      <c r="AC105" s="143">
        <v>1</v>
      </c>
      <c r="AD105" s="143">
        <v>1</v>
      </c>
      <c r="AE105" s="145">
        <v>20</v>
      </c>
      <c r="AF105" s="138">
        <v>25</v>
      </c>
      <c r="AG105" s="138"/>
      <c r="AH105" s="138"/>
      <c r="AI105" s="138"/>
      <c r="AJ105" s="138"/>
      <c r="AK105" s="138"/>
      <c r="AL105" s="138"/>
      <c r="AM105" s="138"/>
      <c r="AN105" s="138"/>
    </row>
    <row r="106" spans="1:40" ht="15" customHeight="1" x14ac:dyDescent="0.2">
      <c r="A106" s="143" t="s">
        <v>313</v>
      </c>
      <c r="B106" s="143" t="s">
        <v>1759</v>
      </c>
      <c r="C106" s="143">
        <v>2015</v>
      </c>
      <c r="D106" s="143">
        <v>61</v>
      </c>
      <c r="E106" s="163" t="s">
        <v>1735</v>
      </c>
      <c r="F106" s="164">
        <v>7</v>
      </c>
      <c r="G106" s="164">
        <v>9</v>
      </c>
      <c r="H106" s="164">
        <v>15</v>
      </c>
      <c r="I106" s="164">
        <v>15</v>
      </c>
      <c r="J106" s="164">
        <v>6</v>
      </c>
      <c r="K106" s="164">
        <v>9.5</v>
      </c>
      <c r="L106" s="164">
        <v>5.5</v>
      </c>
      <c r="M106" s="164">
        <v>13</v>
      </c>
      <c r="N106" s="164">
        <v>7</v>
      </c>
      <c r="O106" s="164">
        <v>20.5</v>
      </c>
      <c r="P106" s="164">
        <v>7</v>
      </c>
      <c r="Q106" s="164">
        <v>12.5</v>
      </c>
      <c r="R106" s="164">
        <v>14</v>
      </c>
      <c r="S106" s="164">
        <v>13.5</v>
      </c>
      <c r="T106" s="164">
        <v>8.5</v>
      </c>
      <c r="U106" s="164">
        <v>16</v>
      </c>
      <c r="V106" s="164">
        <v>12.5</v>
      </c>
      <c r="W106" s="164">
        <v>6.5</v>
      </c>
      <c r="X106" s="164">
        <v>14</v>
      </c>
      <c r="Y106" s="164">
        <v>9</v>
      </c>
      <c r="Z106" s="164">
        <v>22.5</v>
      </c>
      <c r="AA106" s="164">
        <v>14.5</v>
      </c>
      <c r="AB106" s="164">
        <v>7</v>
      </c>
      <c r="AC106" s="164">
        <v>8</v>
      </c>
      <c r="AD106" s="164">
        <v>6.5</v>
      </c>
      <c r="AE106" s="145"/>
      <c r="AF106" s="138"/>
      <c r="AG106" s="138"/>
      <c r="AH106" s="138"/>
      <c r="AI106" s="138"/>
      <c r="AJ106" s="138"/>
      <c r="AK106" s="138"/>
      <c r="AL106" s="138"/>
      <c r="AM106" s="138"/>
      <c r="AN106" s="138"/>
    </row>
    <row r="107" spans="1:40" ht="15" customHeight="1" x14ac:dyDescent="0.2">
      <c r="A107" s="144" t="s">
        <v>313</v>
      </c>
      <c r="B107" s="144" t="s">
        <v>1759</v>
      </c>
      <c r="C107" s="144">
        <v>2015</v>
      </c>
      <c r="D107" s="143">
        <v>61</v>
      </c>
      <c r="E107" s="144" t="s">
        <v>1734</v>
      </c>
      <c r="F107" s="143">
        <v>1</v>
      </c>
      <c r="G107" s="143">
        <v>1</v>
      </c>
      <c r="H107" s="143">
        <v>0</v>
      </c>
      <c r="I107" s="143">
        <v>1</v>
      </c>
      <c r="J107" s="143">
        <v>0</v>
      </c>
      <c r="K107" s="143">
        <v>0</v>
      </c>
      <c r="L107" s="143">
        <v>0</v>
      </c>
      <c r="M107" s="143">
        <v>0</v>
      </c>
      <c r="N107" s="143">
        <v>0</v>
      </c>
      <c r="O107" s="143">
        <v>0</v>
      </c>
      <c r="P107" s="143">
        <v>0</v>
      </c>
      <c r="Q107" s="143">
        <v>0</v>
      </c>
      <c r="R107" s="143">
        <v>0</v>
      </c>
      <c r="S107" s="143">
        <v>0</v>
      </c>
      <c r="T107" s="143">
        <v>0</v>
      </c>
      <c r="U107" s="143">
        <v>0</v>
      </c>
      <c r="V107" s="143">
        <v>0</v>
      </c>
      <c r="W107" s="143">
        <v>0</v>
      </c>
      <c r="X107" s="143">
        <v>0</v>
      </c>
      <c r="Y107" s="143">
        <v>1</v>
      </c>
      <c r="Z107" s="143">
        <v>0</v>
      </c>
      <c r="AA107" s="143">
        <v>0</v>
      </c>
      <c r="AB107" s="143">
        <v>0</v>
      </c>
      <c r="AC107" s="143">
        <v>0</v>
      </c>
      <c r="AD107" s="143">
        <v>0</v>
      </c>
      <c r="AE107" s="145">
        <v>2</v>
      </c>
      <c r="AF107" s="138">
        <v>4</v>
      </c>
      <c r="AG107" s="138"/>
      <c r="AH107" s="138"/>
      <c r="AI107" s="138"/>
      <c r="AJ107" s="138"/>
      <c r="AK107" s="138"/>
      <c r="AL107" s="138"/>
      <c r="AM107" s="138"/>
      <c r="AN107" s="138"/>
    </row>
    <row r="108" spans="1:40" ht="15" customHeight="1" x14ac:dyDescent="0.2">
      <c r="A108" s="143" t="s">
        <v>313</v>
      </c>
      <c r="B108" s="143" t="s">
        <v>1759</v>
      </c>
      <c r="C108" s="143">
        <v>2015</v>
      </c>
      <c r="D108" s="143">
        <v>61</v>
      </c>
      <c r="E108" s="144" t="s">
        <v>1822</v>
      </c>
      <c r="F108" s="143">
        <v>1</v>
      </c>
      <c r="G108" s="143">
        <v>1</v>
      </c>
      <c r="H108" s="143">
        <v>1</v>
      </c>
      <c r="I108" s="143">
        <v>1</v>
      </c>
      <c r="J108" s="143">
        <v>1</v>
      </c>
      <c r="K108" s="143">
        <v>1</v>
      </c>
      <c r="L108" s="143">
        <v>1</v>
      </c>
      <c r="M108" s="143">
        <v>1</v>
      </c>
      <c r="N108" s="143">
        <v>1</v>
      </c>
      <c r="O108" s="143">
        <v>1</v>
      </c>
      <c r="P108" s="143">
        <v>1</v>
      </c>
      <c r="Q108" s="143">
        <v>1</v>
      </c>
      <c r="R108" s="143">
        <v>1</v>
      </c>
      <c r="S108" s="143">
        <v>1</v>
      </c>
      <c r="T108" s="143">
        <v>1</v>
      </c>
      <c r="U108" s="143">
        <v>1</v>
      </c>
      <c r="V108" s="143">
        <v>1</v>
      </c>
      <c r="W108" s="143">
        <v>1</v>
      </c>
      <c r="X108" s="143">
        <v>1</v>
      </c>
      <c r="Y108" s="143">
        <v>1</v>
      </c>
      <c r="Z108" s="143">
        <v>1</v>
      </c>
      <c r="AA108" s="143">
        <v>1</v>
      </c>
      <c r="AB108" s="143">
        <v>1</v>
      </c>
      <c r="AC108" s="143">
        <v>1</v>
      </c>
      <c r="AD108" s="143">
        <v>1</v>
      </c>
      <c r="AE108" s="145">
        <v>30</v>
      </c>
      <c r="AF108" s="138">
        <v>25</v>
      </c>
      <c r="AG108" s="1"/>
      <c r="AH108" s="138"/>
      <c r="AI108" s="138"/>
      <c r="AJ108" s="138"/>
      <c r="AK108" s="138"/>
      <c r="AL108" s="138"/>
      <c r="AM108" s="138"/>
      <c r="AN108" s="138"/>
    </row>
    <row r="109" spans="1:40" ht="15" customHeight="1" x14ac:dyDescent="0.2">
      <c r="A109" s="143" t="s">
        <v>313</v>
      </c>
      <c r="B109" s="143" t="s">
        <v>1759</v>
      </c>
      <c r="C109" s="143">
        <v>2015</v>
      </c>
      <c r="D109" s="144">
        <v>61</v>
      </c>
      <c r="E109" s="144" t="s">
        <v>1730</v>
      </c>
      <c r="F109" s="144">
        <v>0</v>
      </c>
      <c r="G109" s="144">
        <v>0</v>
      </c>
      <c r="H109" s="144">
        <v>1</v>
      </c>
      <c r="I109" s="144">
        <v>0</v>
      </c>
      <c r="J109" s="144">
        <v>1</v>
      </c>
      <c r="K109" s="144">
        <v>0</v>
      </c>
      <c r="L109" s="144">
        <v>1</v>
      </c>
      <c r="M109" s="144">
        <v>0</v>
      </c>
      <c r="N109" s="144">
        <v>1</v>
      </c>
      <c r="O109" s="144">
        <v>1</v>
      </c>
      <c r="P109" s="144">
        <v>1</v>
      </c>
      <c r="Q109" s="144">
        <v>1</v>
      </c>
      <c r="R109" s="144">
        <v>1</v>
      </c>
      <c r="S109" s="144">
        <v>1</v>
      </c>
      <c r="T109" s="144">
        <v>1</v>
      </c>
      <c r="U109" s="144">
        <v>1</v>
      </c>
      <c r="V109" s="144">
        <v>1</v>
      </c>
      <c r="W109" s="144">
        <v>1</v>
      </c>
      <c r="X109" s="144">
        <v>1</v>
      </c>
      <c r="Y109" s="144">
        <v>1</v>
      </c>
      <c r="Z109" s="144">
        <v>0</v>
      </c>
      <c r="AA109" s="144">
        <v>0</v>
      </c>
      <c r="AB109" s="144">
        <v>1</v>
      </c>
      <c r="AC109" s="144">
        <v>1</v>
      </c>
      <c r="AD109" s="144">
        <v>1</v>
      </c>
      <c r="AE109" s="147">
        <v>4</v>
      </c>
      <c r="AF109" s="138">
        <v>18</v>
      </c>
      <c r="AG109" s="146"/>
      <c r="AH109" s="138"/>
      <c r="AI109" s="138"/>
      <c r="AJ109" s="138"/>
      <c r="AK109" s="138"/>
      <c r="AL109" s="138"/>
      <c r="AM109" s="138"/>
      <c r="AN109" s="138"/>
    </row>
    <row r="110" spans="1:40" ht="15" customHeight="1" x14ac:dyDescent="0.2">
      <c r="A110" s="144" t="s">
        <v>313</v>
      </c>
      <c r="B110" s="144" t="s">
        <v>1759</v>
      </c>
      <c r="C110" s="144">
        <v>2015</v>
      </c>
      <c r="D110" s="144">
        <v>62</v>
      </c>
      <c r="E110" s="163" t="s">
        <v>1735</v>
      </c>
      <c r="F110" s="164">
        <v>37</v>
      </c>
      <c r="G110" s="164">
        <v>8</v>
      </c>
      <c r="H110" s="164">
        <v>1.5</v>
      </c>
      <c r="I110" s="164">
        <v>0.5</v>
      </c>
      <c r="J110" s="164">
        <v>10.5</v>
      </c>
      <c r="K110" s="164">
        <v>26</v>
      </c>
      <c r="L110" s="164">
        <v>7</v>
      </c>
      <c r="M110" s="164">
        <v>3</v>
      </c>
      <c r="N110" s="164">
        <v>1.5</v>
      </c>
      <c r="O110" s="164">
        <v>2.5</v>
      </c>
      <c r="P110" s="164">
        <v>1.5</v>
      </c>
      <c r="Q110" s="164">
        <v>4</v>
      </c>
      <c r="R110" s="164">
        <v>21</v>
      </c>
      <c r="S110" s="164">
        <v>0.5</v>
      </c>
      <c r="T110" s="164">
        <v>5</v>
      </c>
      <c r="U110" s="164">
        <v>11</v>
      </c>
      <c r="V110" s="164">
        <v>21</v>
      </c>
      <c r="W110" s="164">
        <v>18</v>
      </c>
      <c r="X110" s="164">
        <v>32</v>
      </c>
      <c r="Y110" s="164">
        <v>48</v>
      </c>
      <c r="Z110" s="164">
        <v>3</v>
      </c>
      <c r="AA110" s="164">
        <v>30</v>
      </c>
      <c r="AB110" s="164">
        <v>34</v>
      </c>
      <c r="AC110" s="164">
        <v>4</v>
      </c>
      <c r="AD110" s="164">
        <v>10</v>
      </c>
      <c r="AE110" s="147"/>
      <c r="AF110" s="138"/>
      <c r="AG110" s="146"/>
      <c r="AH110" s="138"/>
      <c r="AI110" s="138"/>
      <c r="AJ110" s="138"/>
      <c r="AK110" s="138"/>
      <c r="AL110" s="138"/>
      <c r="AM110" s="138"/>
      <c r="AN110" s="138"/>
    </row>
    <row r="111" spans="1:40" ht="15" customHeight="1" x14ac:dyDescent="0.2">
      <c r="A111" s="143" t="s">
        <v>313</v>
      </c>
      <c r="B111" s="143" t="s">
        <v>1759</v>
      </c>
      <c r="C111" s="143">
        <v>2015</v>
      </c>
      <c r="D111" s="144">
        <v>62</v>
      </c>
      <c r="E111" s="144" t="s">
        <v>1821</v>
      </c>
      <c r="F111" s="144">
        <v>0</v>
      </c>
      <c r="G111" s="144">
        <v>0</v>
      </c>
      <c r="H111" s="144">
        <v>0</v>
      </c>
      <c r="I111" s="144">
        <v>0</v>
      </c>
      <c r="J111" s="144">
        <v>0</v>
      </c>
      <c r="K111" s="144">
        <v>0</v>
      </c>
      <c r="L111" s="144">
        <v>1</v>
      </c>
      <c r="M111" s="144">
        <v>1</v>
      </c>
      <c r="N111" s="144">
        <v>1</v>
      </c>
      <c r="O111" s="144">
        <v>1</v>
      </c>
      <c r="P111" s="144">
        <v>1</v>
      </c>
      <c r="Q111" s="144">
        <v>1</v>
      </c>
      <c r="R111" s="144">
        <v>0</v>
      </c>
      <c r="S111" s="144">
        <v>1</v>
      </c>
      <c r="T111" s="144">
        <v>0</v>
      </c>
      <c r="U111" s="144">
        <v>1</v>
      </c>
      <c r="V111" s="144">
        <v>0</v>
      </c>
      <c r="W111" s="144">
        <v>0</v>
      </c>
      <c r="X111" s="144">
        <v>0</v>
      </c>
      <c r="Y111" s="144">
        <v>0</v>
      </c>
      <c r="Z111" s="144">
        <v>0</v>
      </c>
      <c r="AA111" s="144">
        <v>0</v>
      </c>
      <c r="AB111" s="144">
        <v>0</v>
      </c>
      <c r="AC111" s="144">
        <v>0</v>
      </c>
      <c r="AD111" s="144">
        <v>0</v>
      </c>
      <c r="AE111" s="147">
        <v>0.1</v>
      </c>
      <c r="AF111" s="138">
        <v>8</v>
      </c>
      <c r="AG111" s="146"/>
      <c r="AH111" s="138" t="s">
        <v>1655</v>
      </c>
      <c r="AI111" s="138"/>
      <c r="AJ111" s="138"/>
      <c r="AK111" s="138" t="s">
        <v>1668</v>
      </c>
      <c r="AL111" s="138"/>
      <c r="AM111" s="138"/>
      <c r="AN111" s="138" t="s">
        <v>1668</v>
      </c>
    </row>
    <row r="112" spans="1:40" ht="15" customHeight="1" x14ac:dyDescent="0.2">
      <c r="A112" s="143" t="s">
        <v>313</v>
      </c>
      <c r="B112" s="143" t="s">
        <v>1759</v>
      </c>
      <c r="C112" s="143">
        <v>2015</v>
      </c>
      <c r="D112" s="144">
        <v>62</v>
      </c>
      <c r="E112" s="144" t="s">
        <v>1730</v>
      </c>
      <c r="F112" s="144">
        <v>1</v>
      </c>
      <c r="G112" s="144">
        <v>1</v>
      </c>
      <c r="H112" s="144">
        <v>1</v>
      </c>
      <c r="I112" s="144">
        <v>1</v>
      </c>
      <c r="J112" s="144">
        <v>1</v>
      </c>
      <c r="K112" s="144">
        <v>1</v>
      </c>
      <c r="L112" s="144">
        <v>1</v>
      </c>
      <c r="M112" s="144">
        <v>1</v>
      </c>
      <c r="N112" s="144">
        <v>1</v>
      </c>
      <c r="O112" s="144">
        <v>1</v>
      </c>
      <c r="P112" s="144">
        <v>1</v>
      </c>
      <c r="Q112" s="144">
        <v>1</v>
      </c>
      <c r="R112" s="144">
        <v>1</v>
      </c>
      <c r="S112" s="144">
        <v>1</v>
      </c>
      <c r="T112" s="144">
        <v>1</v>
      </c>
      <c r="U112" s="144">
        <v>1</v>
      </c>
      <c r="V112" s="144">
        <v>0</v>
      </c>
      <c r="W112" s="144">
        <v>1</v>
      </c>
      <c r="X112" s="144">
        <v>1</v>
      </c>
      <c r="Y112" s="144">
        <v>1</v>
      </c>
      <c r="Z112" s="144">
        <v>1</v>
      </c>
      <c r="AA112" s="144">
        <v>1</v>
      </c>
      <c r="AB112" s="144">
        <v>1</v>
      </c>
      <c r="AC112" s="144">
        <v>1</v>
      </c>
      <c r="AD112" s="144">
        <v>1</v>
      </c>
      <c r="AE112" s="147">
        <v>10</v>
      </c>
      <c r="AF112" s="138">
        <v>24</v>
      </c>
      <c r="AG112" s="146"/>
      <c r="AH112" s="138"/>
      <c r="AI112" s="138"/>
      <c r="AJ112" s="138"/>
      <c r="AK112" s="138"/>
      <c r="AL112" s="138"/>
      <c r="AM112" s="138"/>
      <c r="AN112" s="138"/>
    </row>
    <row r="113" spans="1:40" ht="15" customHeight="1" x14ac:dyDescent="0.2">
      <c r="A113" s="144" t="s">
        <v>313</v>
      </c>
      <c r="B113" s="144" t="s">
        <v>1759</v>
      </c>
      <c r="C113" s="144">
        <v>2015</v>
      </c>
      <c r="D113" s="144">
        <v>63</v>
      </c>
      <c r="E113" s="163" t="s">
        <v>1735</v>
      </c>
      <c r="F113" s="164">
        <v>10</v>
      </c>
      <c r="G113" s="164">
        <v>10</v>
      </c>
      <c r="H113" s="164">
        <v>19.5</v>
      </c>
      <c r="I113" s="164">
        <v>17</v>
      </c>
      <c r="J113" s="164">
        <v>14</v>
      </c>
      <c r="K113" s="164">
        <v>8</v>
      </c>
      <c r="L113" s="164">
        <v>9.5</v>
      </c>
      <c r="M113" s="164">
        <v>15</v>
      </c>
      <c r="N113" s="164">
        <v>11.5</v>
      </c>
      <c r="O113" s="164">
        <v>8</v>
      </c>
      <c r="P113" s="164">
        <v>14</v>
      </c>
      <c r="Q113" s="164">
        <v>14.5</v>
      </c>
      <c r="R113" s="164">
        <v>24.5</v>
      </c>
      <c r="S113" s="164">
        <v>13</v>
      </c>
      <c r="T113" s="164">
        <v>10</v>
      </c>
      <c r="U113" s="164">
        <v>17</v>
      </c>
      <c r="V113" s="164">
        <v>2.5</v>
      </c>
      <c r="W113" s="164">
        <v>9</v>
      </c>
      <c r="X113" s="164">
        <v>17</v>
      </c>
      <c r="Y113" s="164">
        <v>26.5</v>
      </c>
      <c r="Z113" s="164">
        <v>5</v>
      </c>
      <c r="AA113" s="164">
        <v>4</v>
      </c>
      <c r="AB113" s="164">
        <v>14</v>
      </c>
      <c r="AC113" s="164">
        <v>14</v>
      </c>
      <c r="AD113" s="164">
        <v>14</v>
      </c>
      <c r="AE113" s="147"/>
      <c r="AF113" s="138"/>
      <c r="AG113" s="146"/>
      <c r="AH113" s="138"/>
      <c r="AI113" s="138"/>
      <c r="AJ113" s="138"/>
      <c r="AK113" s="138"/>
      <c r="AL113" s="138"/>
      <c r="AM113" s="138"/>
      <c r="AN113" s="138"/>
    </row>
    <row r="114" spans="1:40" ht="15" customHeight="1" x14ac:dyDescent="0.2">
      <c r="A114" s="143" t="s">
        <v>313</v>
      </c>
      <c r="B114" s="143" t="s">
        <v>1759</v>
      </c>
      <c r="C114" s="143">
        <v>2015</v>
      </c>
      <c r="D114" s="143">
        <v>63</v>
      </c>
      <c r="E114" s="144" t="s">
        <v>1822</v>
      </c>
      <c r="F114" s="143">
        <v>0</v>
      </c>
      <c r="G114" s="143">
        <v>1</v>
      </c>
      <c r="H114" s="143">
        <v>1</v>
      </c>
      <c r="I114" s="143">
        <v>0</v>
      </c>
      <c r="J114" s="143">
        <v>1</v>
      </c>
      <c r="K114" s="143">
        <v>1</v>
      </c>
      <c r="L114" s="143">
        <v>1</v>
      </c>
      <c r="M114" s="143">
        <v>1</v>
      </c>
      <c r="N114" s="143">
        <v>1</v>
      </c>
      <c r="O114" s="143">
        <v>1</v>
      </c>
      <c r="P114" s="143">
        <v>1</v>
      </c>
      <c r="Q114" s="143">
        <v>1</v>
      </c>
      <c r="R114" s="143">
        <v>0</v>
      </c>
      <c r="S114" s="143">
        <v>1</v>
      </c>
      <c r="T114" s="143">
        <v>1</v>
      </c>
      <c r="U114" s="143">
        <v>0</v>
      </c>
      <c r="V114" s="143">
        <v>1</v>
      </c>
      <c r="W114" s="143">
        <v>1</v>
      </c>
      <c r="X114" s="143">
        <v>0</v>
      </c>
      <c r="Y114" s="143">
        <v>0</v>
      </c>
      <c r="Z114" s="143">
        <v>1</v>
      </c>
      <c r="AA114" s="143">
        <v>1</v>
      </c>
      <c r="AB114" s="143">
        <v>1</v>
      </c>
      <c r="AC114" s="143">
        <v>0</v>
      </c>
      <c r="AD114" s="143">
        <v>0</v>
      </c>
      <c r="AE114" s="145">
        <v>5</v>
      </c>
      <c r="AF114" s="138">
        <v>17</v>
      </c>
      <c r="AG114" s="1"/>
      <c r="AH114" s="138"/>
      <c r="AI114" s="138"/>
      <c r="AJ114" s="138"/>
      <c r="AK114" s="138"/>
      <c r="AL114" s="138"/>
      <c r="AM114" s="138"/>
      <c r="AN114" s="138"/>
    </row>
    <row r="115" spans="1:40" ht="15" customHeight="1" x14ac:dyDescent="0.2">
      <c r="A115" s="143" t="s">
        <v>313</v>
      </c>
      <c r="B115" s="143" t="s">
        <v>1759</v>
      </c>
      <c r="C115" s="143">
        <v>2015</v>
      </c>
      <c r="D115" s="143">
        <v>63</v>
      </c>
      <c r="E115" s="144" t="s">
        <v>1730</v>
      </c>
      <c r="F115" s="143">
        <v>1</v>
      </c>
      <c r="G115" s="143">
        <v>1</v>
      </c>
      <c r="H115" s="143">
        <v>1</v>
      </c>
      <c r="I115" s="143">
        <v>1</v>
      </c>
      <c r="J115" s="143">
        <v>1</v>
      </c>
      <c r="K115" s="143">
        <v>1</v>
      </c>
      <c r="L115" s="143">
        <v>1</v>
      </c>
      <c r="M115" s="143">
        <v>1</v>
      </c>
      <c r="N115" s="143">
        <v>1</v>
      </c>
      <c r="O115" s="143">
        <v>1</v>
      </c>
      <c r="P115" s="143">
        <v>1</v>
      </c>
      <c r="Q115" s="143">
        <v>1</v>
      </c>
      <c r="R115" s="143">
        <v>1</v>
      </c>
      <c r="S115" s="143">
        <v>1</v>
      </c>
      <c r="T115" s="143">
        <v>1</v>
      </c>
      <c r="U115" s="143">
        <v>1</v>
      </c>
      <c r="V115" s="143">
        <v>1</v>
      </c>
      <c r="W115" s="143">
        <v>1</v>
      </c>
      <c r="X115" s="143">
        <v>1</v>
      </c>
      <c r="Y115" s="143">
        <v>1</v>
      </c>
      <c r="Z115" s="143">
        <v>1</v>
      </c>
      <c r="AA115" s="143">
        <v>1</v>
      </c>
      <c r="AB115" s="143">
        <v>1</v>
      </c>
      <c r="AC115" s="143">
        <v>1</v>
      </c>
      <c r="AD115" s="143">
        <v>1</v>
      </c>
      <c r="AE115" s="145">
        <v>20</v>
      </c>
      <c r="AF115" s="138">
        <v>25</v>
      </c>
      <c r="AG115" s="138"/>
      <c r="AH115" s="138"/>
      <c r="AI115" s="138"/>
      <c r="AJ115" s="138"/>
      <c r="AK115" s="138"/>
      <c r="AL115" s="138"/>
      <c r="AM115" s="138"/>
      <c r="AN115" s="138"/>
    </row>
    <row r="116" spans="1:40" ht="15" customHeight="1" x14ac:dyDescent="0.2">
      <c r="A116" s="144" t="s">
        <v>313</v>
      </c>
      <c r="B116" s="144" t="s">
        <v>1759</v>
      </c>
      <c r="C116" s="144">
        <v>2015</v>
      </c>
      <c r="D116" s="143">
        <v>65</v>
      </c>
      <c r="E116" s="163" t="s">
        <v>1735</v>
      </c>
      <c r="F116" s="164">
        <v>8.5</v>
      </c>
      <c r="G116" s="164">
        <v>4.5</v>
      </c>
      <c r="H116" s="164">
        <v>5.5</v>
      </c>
      <c r="I116" s="164">
        <v>6.5</v>
      </c>
      <c r="J116" s="164">
        <v>9.5</v>
      </c>
      <c r="K116" s="164">
        <v>9.5</v>
      </c>
      <c r="L116" s="164">
        <v>5.5</v>
      </c>
      <c r="M116" s="164">
        <v>9</v>
      </c>
      <c r="N116" s="164">
        <v>4</v>
      </c>
      <c r="O116" s="164">
        <v>8</v>
      </c>
      <c r="P116" s="164">
        <v>7.5</v>
      </c>
      <c r="Q116" s="164">
        <v>4.5</v>
      </c>
      <c r="R116" s="164">
        <v>3.5</v>
      </c>
      <c r="S116" s="164">
        <v>9.5</v>
      </c>
      <c r="T116" s="164">
        <v>8</v>
      </c>
      <c r="U116" s="164">
        <v>5</v>
      </c>
      <c r="V116" s="164">
        <v>8</v>
      </c>
      <c r="W116" s="164">
        <v>6</v>
      </c>
      <c r="X116" s="164">
        <v>5</v>
      </c>
      <c r="Y116" s="164">
        <v>4</v>
      </c>
      <c r="Z116" s="164">
        <v>4</v>
      </c>
      <c r="AA116" s="164">
        <v>8</v>
      </c>
      <c r="AB116" s="164">
        <v>8.5</v>
      </c>
      <c r="AC116" s="164">
        <v>11.5</v>
      </c>
      <c r="AD116" s="164">
        <v>4.5</v>
      </c>
      <c r="AE116" s="145"/>
      <c r="AF116" s="138"/>
      <c r="AG116" s="138"/>
      <c r="AH116" s="138"/>
      <c r="AI116" s="138"/>
      <c r="AJ116" s="138"/>
      <c r="AK116" s="138"/>
      <c r="AL116" s="138"/>
      <c r="AM116" s="138"/>
      <c r="AN116" s="138"/>
    </row>
    <row r="117" spans="1:40" ht="15" customHeight="1" x14ac:dyDescent="0.2">
      <c r="A117" s="143" t="s">
        <v>313</v>
      </c>
      <c r="B117" s="143" t="s">
        <v>1759</v>
      </c>
      <c r="C117" s="143">
        <v>2015</v>
      </c>
      <c r="D117" s="144">
        <v>65</v>
      </c>
      <c r="E117" s="144" t="s">
        <v>1821</v>
      </c>
      <c r="F117" s="144">
        <v>0</v>
      </c>
      <c r="G117" s="144">
        <v>1</v>
      </c>
      <c r="H117" s="144">
        <v>1</v>
      </c>
      <c r="I117" s="144">
        <v>0</v>
      </c>
      <c r="J117" s="144">
        <v>0</v>
      </c>
      <c r="K117" s="144">
        <v>0</v>
      </c>
      <c r="L117" s="144">
        <v>0</v>
      </c>
      <c r="M117" s="144">
        <v>1</v>
      </c>
      <c r="N117" s="144">
        <v>1</v>
      </c>
      <c r="O117" s="144">
        <v>1</v>
      </c>
      <c r="P117" s="144">
        <v>0</v>
      </c>
      <c r="Q117" s="144">
        <v>1</v>
      </c>
      <c r="R117" s="144">
        <v>1</v>
      </c>
      <c r="S117" s="144">
        <v>1</v>
      </c>
      <c r="T117" s="144">
        <v>0</v>
      </c>
      <c r="U117" s="144">
        <v>1</v>
      </c>
      <c r="V117" s="144">
        <v>0</v>
      </c>
      <c r="W117" s="144">
        <v>1</v>
      </c>
      <c r="X117" s="144">
        <v>1</v>
      </c>
      <c r="Y117" s="144">
        <v>1</v>
      </c>
      <c r="Z117" s="144">
        <v>1</v>
      </c>
      <c r="AA117" s="144">
        <v>1</v>
      </c>
      <c r="AB117" s="144">
        <v>1</v>
      </c>
      <c r="AC117" s="144">
        <v>0</v>
      </c>
      <c r="AD117" s="144">
        <v>1</v>
      </c>
      <c r="AE117" s="147">
        <v>2</v>
      </c>
      <c r="AF117" s="138">
        <v>16</v>
      </c>
      <c r="AG117" s="146"/>
      <c r="AH117" s="138"/>
      <c r="AI117" s="138"/>
      <c r="AJ117" s="138"/>
      <c r="AK117" s="138"/>
      <c r="AL117" s="138"/>
      <c r="AM117" s="138"/>
      <c r="AN117" s="138"/>
    </row>
    <row r="118" spans="1:40" ht="15" customHeight="1" x14ac:dyDescent="0.2">
      <c r="A118" s="143" t="s">
        <v>313</v>
      </c>
      <c r="B118" s="143" t="s">
        <v>1759</v>
      </c>
      <c r="C118" s="143">
        <v>2015</v>
      </c>
      <c r="D118" s="144">
        <v>65</v>
      </c>
      <c r="E118" s="144" t="s">
        <v>1730</v>
      </c>
      <c r="F118" s="144">
        <v>1</v>
      </c>
      <c r="G118" s="144">
        <v>1</v>
      </c>
      <c r="H118" s="144">
        <v>1</v>
      </c>
      <c r="I118" s="144">
        <v>1</v>
      </c>
      <c r="J118" s="144">
        <v>1</v>
      </c>
      <c r="K118" s="144">
        <v>1</v>
      </c>
      <c r="L118" s="144">
        <v>1</v>
      </c>
      <c r="M118" s="144">
        <v>1</v>
      </c>
      <c r="N118" s="144">
        <v>1</v>
      </c>
      <c r="O118" s="144">
        <v>1</v>
      </c>
      <c r="P118" s="144">
        <v>1</v>
      </c>
      <c r="Q118" s="144">
        <v>1</v>
      </c>
      <c r="R118" s="144">
        <v>1</v>
      </c>
      <c r="S118" s="144">
        <v>1</v>
      </c>
      <c r="T118" s="144">
        <v>1</v>
      </c>
      <c r="U118" s="144">
        <v>1</v>
      </c>
      <c r="V118" s="144">
        <v>1</v>
      </c>
      <c r="W118" s="144">
        <v>1</v>
      </c>
      <c r="X118" s="144">
        <v>1</v>
      </c>
      <c r="Y118" s="144">
        <v>1</v>
      </c>
      <c r="Z118" s="144">
        <v>1</v>
      </c>
      <c r="AA118" s="144">
        <v>1</v>
      </c>
      <c r="AB118" s="144">
        <v>1</v>
      </c>
      <c r="AC118" s="144">
        <v>1</v>
      </c>
      <c r="AD118" s="144">
        <v>1</v>
      </c>
      <c r="AE118" s="147">
        <v>10</v>
      </c>
      <c r="AF118" s="138">
        <v>25</v>
      </c>
      <c r="AG118" s="146"/>
      <c r="AH118" s="138"/>
      <c r="AI118" s="138"/>
      <c r="AJ118" s="138"/>
      <c r="AK118" s="138"/>
      <c r="AL118" s="138"/>
      <c r="AM118" s="138"/>
      <c r="AN118" s="138"/>
    </row>
    <row r="119" spans="1:40" ht="15" customHeight="1" x14ac:dyDescent="0.2">
      <c r="A119" s="144" t="s">
        <v>313</v>
      </c>
      <c r="B119" s="144" t="s">
        <v>1759</v>
      </c>
      <c r="C119" s="144">
        <v>2015</v>
      </c>
      <c r="D119" s="144">
        <v>66</v>
      </c>
      <c r="E119" s="163" t="s">
        <v>1735</v>
      </c>
      <c r="F119" s="164">
        <v>24.5</v>
      </c>
      <c r="G119" s="164">
        <v>34.5</v>
      </c>
      <c r="H119" s="164">
        <v>51</v>
      </c>
      <c r="I119" s="164">
        <v>47.5</v>
      </c>
      <c r="J119" s="164">
        <v>30.5</v>
      </c>
      <c r="K119" s="164">
        <v>20.5</v>
      </c>
      <c r="L119" s="164">
        <v>25</v>
      </c>
      <c r="M119" s="164">
        <v>19.5</v>
      </c>
      <c r="N119" s="164">
        <v>19</v>
      </c>
      <c r="O119" s="164">
        <v>8.5</v>
      </c>
      <c r="P119" s="164">
        <v>5.5</v>
      </c>
      <c r="Q119" s="164">
        <v>2.5</v>
      </c>
      <c r="R119" s="164">
        <v>1.5</v>
      </c>
      <c r="S119" s="164">
        <v>24</v>
      </c>
      <c r="T119" s="164">
        <v>19.5</v>
      </c>
      <c r="U119" s="164">
        <v>1.5</v>
      </c>
      <c r="V119" s="164">
        <v>2</v>
      </c>
      <c r="W119" s="164">
        <v>11</v>
      </c>
      <c r="X119" s="164">
        <v>35</v>
      </c>
      <c r="Y119" s="164">
        <v>30</v>
      </c>
      <c r="Z119" s="164">
        <v>4.5</v>
      </c>
      <c r="AA119" s="164">
        <v>2.5</v>
      </c>
      <c r="AB119" s="164">
        <v>11</v>
      </c>
      <c r="AC119" s="164">
        <v>31</v>
      </c>
      <c r="AD119" s="164">
        <v>21</v>
      </c>
      <c r="AE119" s="147"/>
      <c r="AF119" s="138"/>
      <c r="AG119" s="146"/>
      <c r="AH119" s="138"/>
      <c r="AI119" s="138"/>
      <c r="AJ119" s="138"/>
      <c r="AK119" s="138"/>
      <c r="AL119" s="138"/>
      <c r="AM119" s="138"/>
      <c r="AN119" s="138"/>
    </row>
    <row r="120" spans="1:40" ht="15" customHeight="1" x14ac:dyDescent="0.2">
      <c r="A120" s="143" t="s">
        <v>313</v>
      </c>
      <c r="B120" s="143" t="s">
        <v>1759</v>
      </c>
      <c r="C120" s="143">
        <v>2015</v>
      </c>
      <c r="D120" s="143">
        <v>66</v>
      </c>
      <c r="E120" s="144" t="s">
        <v>1821</v>
      </c>
      <c r="F120" s="143">
        <v>0</v>
      </c>
      <c r="G120" s="143">
        <v>0</v>
      </c>
      <c r="H120" s="143">
        <v>0</v>
      </c>
      <c r="I120" s="143">
        <v>0</v>
      </c>
      <c r="J120" s="143">
        <v>0</v>
      </c>
      <c r="K120" s="143">
        <v>0</v>
      </c>
      <c r="L120" s="143">
        <v>0</v>
      </c>
      <c r="M120" s="143">
        <v>1</v>
      </c>
      <c r="N120" s="143">
        <v>0</v>
      </c>
      <c r="O120" s="143">
        <v>1</v>
      </c>
      <c r="P120" s="143">
        <v>1</v>
      </c>
      <c r="Q120" s="143">
        <v>0</v>
      </c>
      <c r="R120" s="143">
        <v>1</v>
      </c>
      <c r="S120" s="143">
        <v>0</v>
      </c>
      <c r="T120" s="143">
        <v>0</v>
      </c>
      <c r="U120" s="143">
        <v>1</v>
      </c>
      <c r="V120" s="143">
        <v>1</v>
      </c>
      <c r="W120" s="143">
        <v>0</v>
      </c>
      <c r="X120" s="143">
        <v>0</v>
      </c>
      <c r="Y120" s="143">
        <v>0</v>
      </c>
      <c r="Z120" s="143">
        <v>1</v>
      </c>
      <c r="AA120" s="143">
        <v>0</v>
      </c>
      <c r="AB120" s="143">
        <v>0</v>
      </c>
      <c r="AC120" s="143">
        <v>0</v>
      </c>
      <c r="AD120" s="143">
        <v>0</v>
      </c>
      <c r="AE120" s="145">
        <v>1</v>
      </c>
      <c r="AF120" s="138">
        <v>7</v>
      </c>
      <c r="AG120" s="138"/>
      <c r="AH120" s="138"/>
      <c r="AI120" s="138"/>
      <c r="AJ120" s="138"/>
      <c r="AK120" s="138"/>
      <c r="AL120" s="138"/>
      <c r="AM120" s="138"/>
      <c r="AN120" s="138"/>
    </row>
    <row r="121" spans="1:40" ht="15" customHeight="1" x14ac:dyDescent="0.2">
      <c r="A121" s="143" t="s">
        <v>313</v>
      </c>
      <c r="B121" s="143" t="s">
        <v>1759</v>
      </c>
      <c r="C121" s="143">
        <v>2015</v>
      </c>
      <c r="D121" s="143">
        <v>66</v>
      </c>
      <c r="E121" s="144" t="s">
        <v>1730</v>
      </c>
      <c r="F121" s="143">
        <v>1</v>
      </c>
      <c r="G121" s="143">
        <v>1</v>
      </c>
      <c r="H121" s="143">
        <v>1</v>
      </c>
      <c r="I121" s="143">
        <v>1</v>
      </c>
      <c r="J121" s="143">
        <v>1</v>
      </c>
      <c r="K121" s="143">
        <v>1</v>
      </c>
      <c r="L121" s="143">
        <v>1</v>
      </c>
      <c r="M121" s="143">
        <v>0</v>
      </c>
      <c r="N121" s="143">
        <v>1</v>
      </c>
      <c r="O121" s="143">
        <v>0</v>
      </c>
      <c r="P121" s="143">
        <v>0</v>
      </c>
      <c r="Q121" s="143">
        <v>0</v>
      </c>
      <c r="R121" s="143">
        <v>0</v>
      </c>
      <c r="S121" s="143">
        <v>1</v>
      </c>
      <c r="T121" s="143">
        <v>1</v>
      </c>
      <c r="U121" s="143">
        <v>0</v>
      </c>
      <c r="V121" s="143">
        <v>0</v>
      </c>
      <c r="W121" s="143">
        <v>0</v>
      </c>
      <c r="X121" s="143">
        <v>1</v>
      </c>
      <c r="Y121" s="143">
        <v>1</v>
      </c>
      <c r="Z121" s="143">
        <v>0</v>
      </c>
      <c r="AA121" s="143">
        <v>0</v>
      </c>
      <c r="AB121" s="143">
        <v>0</v>
      </c>
      <c r="AC121" s="143">
        <v>1</v>
      </c>
      <c r="AD121" s="143">
        <v>1</v>
      </c>
      <c r="AE121" s="145">
        <v>4</v>
      </c>
      <c r="AF121" s="138">
        <v>14</v>
      </c>
      <c r="AG121" s="138"/>
      <c r="AH121" s="138"/>
      <c r="AI121" s="138"/>
      <c r="AJ121" s="138"/>
      <c r="AK121" s="138"/>
      <c r="AL121" s="138"/>
      <c r="AM121" s="138"/>
      <c r="AN121" s="138"/>
    </row>
    <row r="122" spans="1:40" ht="15" customHeight="1" x14ac:dyDescent="0.2">
      <c r="A122" s="144" t="s">
        <v>313</v>
      </c>
      <c r="B122" s="144" t="s">
        <v>1759</v>
      </c>
      <c r="C122" s="144">
        <v>2015</v>
      </c>
      <c r="D122" s="143">
        <v>68</v>
      </c>
      <c r="E122" s="163" t="s">
        <v>1735</v>
      </c>
      <c r="F122" s="164">
        <v>4.5</v>
      </c>
      <c r="G122" s="164">
        <v>7.5</v>
      </c>
      <c r="H122" s="164">
        <v>8</v>
      </c>
      <c r="I122" s="164">
        <v>5</v>
      </c>
      <c r="J122" s="164">
        <v>6</v>
      </c>
      <c r="K122" s="164">
        <v>6.5</v>
      </c>
      <c r="L122" s="164">
        <v>4</v>
      </c>
      <c r="M122" s="164">
        <v>6.5</v>
      </c>
      <c r="N122" s="164">
        <v>8</v>
      </c>
      <c r="O122" s="164">
        <v>7</v>
      </c>
      <c r="P122" s="164">
        <v>6</v>
      </c>
      <c r="Q122" s="164">
        <v>7.5</v>
      </c>
      <c r="R122" s="164">
        <v>6.5</v>
      </c>
      <c r="S122" s="164">
        <v>7.5</v>
      </c>
      <c r="T122" s="164">
        <v>4</v>
      </c>
      <c r="U122" s="164">
        <v>18</v>
      </c>
      <c r="V122" s="164">
        <v>12</v>
      </c>
      <c r="W122" s="164">
        <v>10</v>
      </c>
      <c r="X122" s="164">
        <v>11</v>
      </c>
      <c r="Y122" s="164">
        <v>8</v>
      </c>
      <c r="Z122" s="164">
        <v>7.5</v>
      </c>
      <c r="AA122" s="164">
        <v>14.5</v>
      </c>
      <c r="AB122" s="164">
        <v>15.5</v>
      </c>
      <c r="AC122" s="164">
        <v>9.5</v>
      </c>
      <c r="AD122" s="164">
        <v>23.5</v>
      </c>
      <c r="AE122" s="145"/>
      <c r="AF122" s="138"/>
      <c r="AG122" s="138"/>
      <c r="AH122" s="138"/>
      <c r="AI122" s="138"/>
      <c r="AJ122" s="138"/>
      <c r="AK122" s="138"/>
      <c r="AL122" s="138"/>
      <c r="AM122" s="138"/>
      <c r="AN122" s="138"/>
    </row>
    <row r="123" spans="1:40" ht="15" customHeight="1" x14ac:dyDescent="0.2">
      <c r="A123" s="143" t="s">
        <v>313</v>
      </c>
      <c r="B123" s="143" t="s">
        <v>1759</v>
      </c>
      <c r="C123" s="143">
        <v>2015</v>
      </c>
      <c r="D123" s="144">
        <v>68</v>
      </c>
      <c r="E123" s="144" t="s">
        <v>1821</v>
      </c>
      <c r="F123" s="144">
        <v>1</v>
      </c>
      <c r="G123" s="144">
        <v>1</v>
      </c>
      <c r="H123" s="144">
        <v>0</v>
      </c>
      <c r="I123" s="144">
        <v>1</v>
      </c>
      <c r="J123" s="144">
        <v>1</v>
      </c>
      <c r="K123" s="144">
        <v>1</v>
      </c>
      <c r="L123" s="144">
        <v>1</v>
      </c>
      <c r="M123" s="144">
        <v>1</v>
      </c>
      <c r="N123" s="144">
        <v>1</v>
      </c>
      <c r="O123" s="144">
        <v>1</v>
      </c>
      <c r="P123" s="144">
        <v>1</v>
      </c>
      <c r="Q123" s="144">
        <v>1</v>
      </c>
      <c r="R123" s="144">
        <v>1</v>
      </c>
      <c r="S123" s="144">
        <v>1</v>
      </c>
      <c r="T123" s="144">
        <v>1</v>
      </c>
      <c r="U123" s="144">
        <v>1</v>
      </c>
      <c r="V123" s="144">
        <v>0</v>
      </c>
      <c r="W123" s="144">
        <v>0</v>
      </c>
      <c r="X123" s="144">
        <v>1</v>
      </c>
      <c r="Y123" s="144">
        <v>0</v>
      </c>
      <c r="Z123" s="144">
        <v>1</v>
      </c>
      <c r="AA123" s="144">
        <v>0</v>
      </c>
      <c r="AB123" s="144">
        <v>1</v>
      </c>
      <c r="AC123" s="144">
        <v>1</v>
      </c>
      <c r="AD123" s="144">
        <v>0</v>
      </c>
      <c r="AE123" s="147">
        <v>2</v>
      </c>
      <c r="AF123" s="138">
        <v>19</v>
      </c>
      <c r="AG123" s="146"/>
      <c r="AH123" s="138"/>
      <c r="AI123" s="138"/>
      <c r="AJ123" s="138"/>
      <c r="AK123" s="138"/>
      <c r="AL123" s="138"/>
      <c r="AM123" s="138"/>
      <c r="AN123" s="138"/>
    </row>
    <row r="124" spans="1:40" ht="15" customHeight="1" x14ac:dyDescent="0.2">
      <c r="A124" s="143" t="s">
        <v>313</v>
      </c>
      <c r="B124" s="143" t="s">
        <v>1759</v>
      </c>
      <c r="C124" s="143">
        <v>2015</v>
      </c>
      <c r="D124" s="143">
        <v>68</v>
      </c>
      <c r="E124" s="144" t="s">
        <v>1730</v>
      </c>
      <c r="F124" s="143">
        <v>1</v>
      </c>
      <c r="G124" s="143">
        <v>1</v>
      </c>
      <c r="H124" s="143">
        <v>1</v>
      </c>
      <c r="I124" s="143">
        <v>1</v>
      </c>
      <c r="J124" s="143">
        <v>1</v>
      </c>
      <c r="K124" s="143">
        <v>1</v>
      </c>
      <c r="L124" s="143">
        <v>1</v>
      </c>
      <c r="M124" s="143">
        <v>1</v>
      </c>
      <c r="N124" s="143">
        <v>1</v>
      </c>
      <c r="O124" s="143">
        <v>1</v>
      </c>
      <c r="P124" s="143">
        <v>1</v>
      </c>
      <c r="Q124" s="143">
        <v>1</v>
      </c>
      <c r="R124" s="143">
        <v>1</v>
      </c>
      <c r="S124" s="143">
        <v>1</v>
      </c>
      <c r="T124" s="143">
        <v>1</v>
      </c>
      <c r="U124" s="143">
        <v>1</v>
      </c>
      <c r="V124" s="143">
        <v>1</v>
      </c>
      <c r="W124" s="143">
        <v>1</v>
      </c>
      <c r="X124" s="143">
        <v>1</v>
      </c>
      <c r="Y124" s="143">
        <v>1</v>
      </c>
      <c r="Z124" s="143">
        <v>1</v>
      </c>
      <c r="AA124" s="143">
        <v>1</v>
      </c>
      <c r="AB124" s="143">
        <v>1</v>
      </c>
      <c r="AC124" s="143">
        <v>1</v>
      </c>
      <c r="AD124" s="143">
        <v>1</v>
      </c>
      <c r="AE124" s="145">
        <v>20</v>
      </c>
      <c r="AF124" s="138">
        <v>25</v>
      </c>
      <c r="AG124" s="138"/>
      <c r="AH124" s="138"/>
      <c r="AI124" s="138"/>
      <c r="AJ124" s="138"/>
      <c r="AK124" s="138"/>
      <c r="AL124" s="138"/>
      <c r="AM124" s="138"/>
      <c r="AN124" s="138"/>
    </row>
    <row r="125" spans="1:40" ht="15" customHeight="1" x14ac:dyDescent="0.2">
      <c r="A125" s="144" t="s">
        <v>313</v>
      </c>
      <c r="B125" s="144" t="s">
        <v>1759</v>
      </c>
      <c r="C125" s="144">
        <v>2015</v>
      </c>
      <c r="D125" s="143">
        <v>69</v>
      </c>
      <c r="E125" s="163" t="s">
        <v>1735</v>
      </c>
      <c r="F125" s="164">
        <v>35</v>
      </c>
      <c r="G125" s="164">
        <v>27</v>
      </c>
      <c r="H125" s="164">
        <v>31</v>
      </c>
      <c r="I125" s="164">
        <v>38.5</v>
      </c>
      <c r="J125" s="164">
        <v>80</v>
      </c>
      <c r="K125" s="164">
        <v>27</v>
      </c>
      <c r="L125" s="164">
        <v>41</v>
      </c>
      <c r="M125" s="164">
        <v>43</v>
      </c>
      <c r="N125" s="164">
        <v>62</v>
      </c>
      <c r="O125" s="164">
        <v>58</v>
      </c>
      <c r="P125" s="164">
        <v>50</v>
      </c>
      <c r="Q125" s="164">
        <v>28</v>
      </c>
      <c r="R125" s="164">
        <v>58</v>
      </c>
      <c r="S125" s="164">
        <v>65</v>
      </c>
      <c r="T125" s="164">
        <v>63</v>
      </c>
      <c r="U125" s="164">
        <v>28</v>
      </c>
      <c r="V125" s="164">
        <v>27</v>
      </c>
      <c r="W125" s="164">
        <v>27</v>
      </c>
      <c r="X125" s="164">
        <v>49</v>
      </c>
      <c r="Y125" s="164">
        <v>19.5</v>
      </c>
      <c r="Z125" s="164">
        <v>14.5</v>
      </c>
      <c r="AA125" s="164">
        <v>33</v>
      </c>
      <c r="AB125" s="164">
        <v>30.5</v>
      </c>
      <c r="AC125" s="164">
        <v>24.5</v>
      </c>
      <c r="AD125" s="164">
        <v>53</v>
      </c>
      <c r="AE125" s="145"/>
      <c r="AF125" s="138"/>
      <c r="AG125" s="138"/>
      <c r="AH125" s="138"/>
      <c r="AI125" s="138"/>
      <c r="AJ125" s="138"/>
      <c r="AK125" s="138"/>
      <c r="AL125" s="138"/>
      <c r="AM125" s="138"/>
      <c r="AN125" s="138"/>
    </row>
    <row r="126" spans="1:40" ht="15" customHeight="1" x14ac:dyDescent="0.2">
      <c r="A126" s="143" t="s">
        <v>313</v>
      </c>
      <c r="B126" s="143" t="s">
        <v>1759</v>
      </c>
      <c r="C126" s="143">
        <v>2015</v>
      </c>
      <c r="D126" s="143">
        <v>69</v>
      </c>
      <c r="E126" s="144" t="s">
        <v>1730</v>
      </c>
      <c r="F126" s="143">
        <v>1</v>
      </c>
      <c r="G126" s="143">
        <v>1</v>
      </c>
      <c r="H126" s="143">
        <v>1</v>
      </c>
      <c r="I126" s="143">
        <v>1</v>
      </c>
      <c r="J126" s="143">
        <v>1</v>
      </c>
      <c r="K126" s="143">
        <v>1</v>
      </c>
      <c r="L126" s="143">
        <v>1</v>
      </c>
      <c r="M126" s="143">
        <v>1</v>
      </c>
      <c r="N126" s="143">
        <v>1</v>
      </c>
      <c r="O126" s="143">
        <v>1</v>
      </c>
      <c r="P126" s="143">
        <v>1</v>
      </c>
      <c r="Q126" s="143">
        <v>1</v>
      </c>
      <c r="R126" s="143">
        <v>1</v>
      </c>
      <c r="S126" s="143">
        <v>1</v>
      </c>
      <c r="T126" s="143">
        <v>1</v>
      </c>
      <c r="U126" s="143">
        <v>1</v>
      </c>
      <c r="V126" s="143">
        <v>1</v>
      </c>
      <c r="W126" s="143">
        <v>1</v>
      </c>
      <c r="X126" s="143">
        <v>1</v>
      </c>
      <c r="Y126" s="143">
        <v>1</v>
      </c>
      <c r="Z126" s="143">
        <v>1</v>
      </c>
      <c r="AA126" s="143">
        <v>1</v>
      </c>
      <c r="AB126" s="143">
        <v>1</v>
      </c>
      <c r="AC126" s="143">
        <v>1</v>
      </c>
      <c r="AD126" s="143">
        <v>1</v>
      </c>
      <c r="AE126" s="145">
        <v>80</v>
      </c>
      <c r="AF126" s="138">
        <v>25</v>
      </c>
      <c r="AG126" s="138"/>
      <c r="AH126" s="138"/>
      <c r="AI126" s="138"/>
      <c r="AJ126" s="138"/>
      <c r="AK126" s="138"/>
      <c r="AL126" s="138"/>
      <c r="AM126" s="138"/>
      <c r="AN126" s="138"/>
    </row>
    <row r="127" spans="1:40" ht="15" customHeight="1" x14ac:dyDescent="0.2">
      <c r="A127" s="143" t="s">
        <v>313</v>
      </c>
      <c r="B127" s="143" t="s">
        <v>1759</v>
      </c>
      <c r="C127" s="143">
        <v>2015</v>
      </c>
      <c r="D127" s="143">
        <v>70</v>
      </c>
      <c r="E127" s="163" t="s">
        <v>1735</v>
      </c>
      <c r="F127" s="164">
        <v>32</v>
      </c>
      <c r="G127" s="164">
        <v>1</v>
      </c>
      <c r="H127" s="164">
        <v>1</v>
      </c>
      <c r="I127" s="164">
        <v>1</v>
      </c>
      <c r="J127" s="164">
        <v>1</v>
      </c>
      <c r="K127" s="164">
        <v>52</v>
      </c>
      <c r="L127" s="164">
        <v>32</v>
      </c>
      <c r="M127" s="164">
        <v>7</v>
      </c>
      <c r="N127" s="164">
        <v>3</v>
      </c>
      <c r="O127" s="164">
        <v>3</v>
      </c>
      <c r="P127" s="164">
        <v>43</v>
      </c>
      <c r="Q127" s="164">
        <v>2</v>
      </c>
      <c r="R127" s="164">
        <v>1</v>
      </c>
      <c r="S127" s="164">
        <v>1</v>
      </c>
      <c r="T127" s="164">
        <v>1</v>
      </c>
      <c r="U127" s="164">
        <v>1</v>
      </c>
      <c r="V127" s="164">
        <v>5</v>
      </c>
      <c r="W127" s="164">
        <v>8</v>
      </c>
      <c r="X127" s="164">
        <v>6</v>
      </c>
      <c r="Y127" s="164">
        <v>2</v>
      </c>
      <c r="Z127" s="164">
        <v>1</v>
      </c>
      <c r="AA127" s="164">
        <v>1</v>
      </c>
      <c r="AB127" s="164">
        <v>2</v>
      </c>
      <c r="AC127" s="164">
        <v>1</v>
      </c>
      <c r="AD127" s="164">
        <v>28.5</v>
      </c>
      <c r="AE127" s="145"/>
      <c r="AF127" s="138"/>
      <c r="AG127" s="138"/>
      <c r="AH127" s="138"/>
      <c r="AI127" s="138"/>
      <c r="AJ127" s="138"/>
      <c r="AK127" s="138"/>
      <c r="AL127" s="138"/>
      <c r="AM127" s="138"/>
      <c r="AN127" s="138"/>
    </row>
    <row r="128" spans="1:40" ht="15" customHeight="1" x14ac:dyDescent="0.2">
      <c r="A128" s="144" t="s">
        <v>313</v>
      </c>
      <c r="B128" s="144" t="s">
        <v>1759</v>
      </c>
      <c r="C128" s="144">
        <v>2015</v>
      </c>
      <c r="D128" s="144">
        <v>70</v>
      </c>
      <c r="E128" s="144" t="s">
        <v>1821</v>
      </c>
      <c r="F128" s="144">
        <v>0</v>
      </c>
      <c r="G128" s="144">
        <v>0</v>
      </c>
      <c r="H128" s="144">
        <v>0</v>
      </c>
      <c r="I128" s="144">
        <v>0</v>
      </c>
      <c r="J128" s="144">
        <v>0</v>
      </c>
      <c r="K128" s="144">
        <v>0</v>
      </c>
      <c r="L128" s="144">
        <v>0</v>
      </c>
      <c r="M128" s="144">
        <v>0</v>
      </c>
      <c r="N128" s="144">
        <v>0</v>
      </c>
      <c r="O128" s="144">
        <v>0</v>
      </c>
      <c r="P128" s="144">
        <v>0</v>
      </c>
      <c r="Q128" s="144">
        <v>0</v>
      </c>
      <c r="R128" s="144">
        <v>0</v>
      </c>
      <c r="S128" s="144">
        <v>0</v>
      </c>
      <c r="T128" s="144">
        <v>0</v>
      </c>
      <c r="U128" s="144">
        <v>1</v>
      </c>
      <c r="V128" s="144">
        <v>1</v>
      </c>
      <c r="W128" s="144">
        <v>0</v>
      </c>
      <c r="X128" s="144">
        <v>0</v>
      </c>
      <c r="Y128" s="144">
        <v>1</v>
      </c>
      <c r="Z128" s="144">
        <v>0</v>
      </c>
      <c r="AA128" s="144">
        <v>0</v>
      </c>
      <c r="AB128" s="144">
        <v>1</v>
      </c>
      <c r="AC128" s="144">
        <v>0</v>
      </c>
      <c r="AD128" s="144">
        <v>0</v>
      </c>
      <c r="AE128" s="147">
        <v>0.1</v>
      </c>
      <c r="AF128" s="138">
        <v>4</v>
      </c>
      <c r="AG128" s="146"/>
      <c r="AH128" s="138" t="s">
        <v>1655</v>
      </c>
      <c r="AI128" s="138"/>
      <c r="AJ128" s="138"/>
      <c r="AK128" s="138" t="s">
        <v>1668</v>
      </c>
      <c r="AL128" s="138"/>
      <c r="AM128" s="138"/>
      <c r="AN128" s="138" t="s">
        <v>1668</v>
      </c>
    </row>
    <row r="129" spans="1:40" ht="15" customHeight="1" x14ac:dyDescent="0.2">
      <c r="A129" s="143" t="s">
        <v>313</v>
      </c>
      <c r="B129" s="143" t="s">
        <v>1759</v>
      </c>
      <c r="C129" s="143">
        <v>2015</v>
      </c>
      <c r="D129" s="143">
        <v>70</v>
      </c>
      <c r="E129" s="144" t="s">
        <v>1730</v>
      </c>
      <c r="F129" s="143">
        <v>1</v>
      </c>
      <c r="G129" s="143">
        <v>1</v>
      </c>
      <c r="H129" s="143">
        <v>1</v>
      </c>
      <c r="I129" s="143">
        <v>1</v>
      </c>
      <c r="J129" s="143">
        <v>1</v>
      </c>
      <c r="K129" s="143">
        <v>1</v>
      </c>
      <c r="L129" s="143">
        <v>1</v>
      </c>
      <c r="M129" s="143">
        <v>1</v>
      </c>
      <c r="N129" s="143">
        <v>1</v>
      </c>
      <c r="O129" s="143">
        <v>1</v>
      </c>
      <c r="P129" s="143">
        <v>1</v>
      </c>
      <c r="Q129" s="143">
        <v>1</v>
      </c>
      <c r="R129" s="143">
        <v>1</v>
      </c>
      <c r="S129" s="143">
        <v>1</v>
      </c>
      <c r="T129" s="143">
        <v>1</v>
      </c>
      <c r="U129" s="143">
        <v>1</v>
      </c>
      <c r="V129" s="143">
        <v>1</v>
      </c>
      <c r="W129" s="143">
        <v>1</v>
      </c>
      <c r="X129" s="143">
        <v>1</v>
      </c>
      <c r="Y129" s="143">
        <v>1</v>
      </c>
      <c r="Z129" s="143">
        <v>1</v>
      </c>
      <c r="AA129" s="143">
        <v>1</v>
      </c>
      <c r="AB129" s="143">
        <v>1</v>
      </c>
      <c r="AC129" s="143">
        <v>1</v>
      </c>
      <c r="AD129" s="143">
        <v>1</v>
      </c>
      <c r="AE129" s="145">
        <v>10</v>
      </c>
      <c r="AF129" s="138">
        <v>25</v>
      </c>
      <c r="AG129" s="138"/>
      <c r="AH129" s="138"/>
      <c r="AI129" s="138"/>
      <c r="AJ129" s="138"/>
      <c r="AK129" s="138"/>
      <c r="AL129" s="138"/>
      <c r="AM129" s="138"/>
      <c r="AN129" s="138"/>
    </row>
    <row r="130" spans="1:40" ht="15" customHeight="1" x14ac:dyDescent="0.2">
      <c r="A130" s="143" t="s">
        <v>313</v>
      </c>
      <c r="B130" s="143" t="s">
        <v>1759</v>
      </c>
      <c r="C130" s="143">
        <v>2015</v>
      </c>
      <c r="D130" s="143">
        <v>71</v>
      </c>
      <c r="E130" s="163" t="s">
        <v>1735</v>
      </c>
      <c r="F130" s="164">
        <v>38</v>
      </c>
      <c r="G130" s="164">
        <v>64</v>
      </c>
      <c r="H130" s="164">
        <v>50</v>
      </c>
      <c r="I130" s="164">
        <v>68</v>
      </c>
      <c r="J130" s="164">
        <v>34</v>
      </c>
      <c r="K130" s="164">
        <v>38</v>
      </c>
      <c r="L130" s="164">
        <v>39</v>
      </c>
      <c r="M130" s="164">
        <v>48</v>
      </c>
      <c r="N130" s="164">
        <v>50</v>
      </c>
      <c r="O130" s="164">
        <v>24</v>
      </c>
      <c r="P130" s="164">
        <v>9</v>
      </c>
      <c r="Q130" s="164">
        <v>23</v>
      </c>
      <c r="R130" s="164">
        <v>60</v>
      </c>
      <c r="S130" s="164">
        <v>20</v>
      </c>
      <c r="T130" s="164">
        <v>40</v>
      </c>
      <c r="U130" s="164">
        <v>45</v>
      </c>
      <c r="V130" s="164">
        <v>40</v>
      </c>
      <c r="W130" s="164">
        <v>57</v>
      </c>
      <c r="X130" s="164">
        <v>20</v>
      </c>
      <c r="Y130" s="164">
        <v>54</v>
      </c>
      <c r="Z130" s="164">
        <v>28</v>
      </c>
      <c r="AA130" s="164">
        <v>54</v>
      </c>
      <c r="AB130" s="164">
        <v>60</v>
      </c>
      <c r="AC130" s="164">
        <v>53</v>
      </c>
      <c r="AD130" s="164">
        <v>53</v>
      </c>
      <c r="AE130" s="145"/>
      <c r="AF130" s="138"/>
      <c r="AG130" s="138"/>
      <c r="AH130" s="138"/>
      <c r="AI130" s="138"/>
      <c r="AJ130" s="138"/>
      <c r="AK130" s="138"/>
      <c r="AL130" s="138"/>
      <c r="AM130" s="138"/>
      <c r="AN130" s="138"/>
    </row>
    <row r="131" spans="1:40" ht="15" customHeight="1" x14ac:dyDescent="0.2">
      <c r="A131" s="144" t="s">
        <v>313</v>
      </c>
      <c r="B131" s="144" t="s">
        <v>1759</v>
      </c>
      <c r="C131" s="144">
        <v>2015</v>
      </c>
      <c r="D131" s="144">
        <v>71</v>
      </c>
      <c r="E131" s="144" t="s">
        <v>1822</v>
      </c>
      <c r="F131" s="144">
        <v>0</v>
      </c>
      <c r="G131" s="144">
        <v>0</v>
      </c>
      <c r="H131" s="144">
        <v>0</v>
      </c>
      <c r="I131" s="144">
        <v>0</v>
      </c>
      <c r="J131" s="144">
        <v>1</v>
      </c>
      <c r="K131" s="144">
        <v>0</v>
      </c>
      <c r="L131" s="144">
        <v>0</v>
      </c>
      <c r="M131" s="144">
        <v>0</v>
      </c>
      <c r="N131" s="144">
        <v>0</v>
      </c>
      <c r="O131" s="144">
        <v>0</v>
      </c>
      <c r="P131" s="144">
        <v>0</v>
      </c>
      <c r="Q131" s="144">
        <v>0</v>
      </c>
      <c r="R131" s="144">
        <v>1</v>
      </c>
      <c r="S131" s="144">
        <v>0</v>
      </c>
      <c r="T131" s="144">
        <v>0</v>
      </c>
      <c r="U131" s="144">
        <v>1</v>
      </c>
      <c r="V131" s="144">
        <v>0</v>
      </c>
      <c r="W131" s="144">
        <v>0</v>
      </c>
      <c r="X131" s="144">
        <v>0</v>
      </c>
      <c r="Y131" s="144">
        <v>0</v>
      </c>
      <c r="Z131" s="144">
        <v>1</v>
      </c>
      <c r="AA131" s="144">
        <v>0</v>
      </c>
      <c r="AB131" s="144">
        <v>0</v>
      </c>
      <c r="AC131" s="144">
        <v>0</v>
      </c>
      <c r="AD131" s="144">
        <v>0</v>
      </c>
      <c r="AE131" s="147">
        <v>4</v>
      </c>
      <c r="AF131" s="138">
        <v>4</v>
      </c>
      <c r="AG131" s="1"/>
      <c r="AH131" s="138"/>
      <c r="AI131" s="138"/>
      <c r="AJ131" s="138"/>
      <c r="AK131" s="138"/>
      <c r="AL131" s="138"/>
      <c r="AM131" s="138"/>
      <c r="AN131" s="138"/>
    </row>
    <row r="132" spans="1:40" ht="15" customHeight="1" x14ac:dyDescent="0.2">
      <c r="A132" s="143" t="s">
        <v>313</v>
      </c>
      <c r="B132" s="143" t="s">
        <v>1759</v>
      </c>
      <c r="C132" s="143">
        <v>2015</v>
      </c>
      <c r="D132" s="143">
        <v>71</v>
      </c>
      <c r="E132" s="144" t="s">
        <v>1730</v>
      </c>
      <c r="F132" s="143">
        <v>0</v>
      </c>
      <c r="G132" s="143">
        <v>1</v>
      </c>
      <c r="H132" s="143">
        <v>1</v>
      </c>
      <c r="I132" s="143">
        <v>1</v>
      </c>
      <c r="J132" s="143">
        <v>0</v>
      </c>
      <c r="K132" s="143">
        <v>0</v>
      </c>
      <c r="L132" s="143">
        <v>0</v>
      </c>
      <c r="M132" s="143">
        <v>0</v>
      </c>
      <c r="N132" s="143">
        <v>1</v>
      </c>
      <c r="O132" s="143">
        <v>1</v>
      </c>
      <c r="P132" s="143">
        <v>1</v>
      </c>
      <c r="Q132" s="143">
        <v>0</v>
      </c>
      <c r="R132" s="143">
        <v>0</v>
      </c>
      <c r="S132" s="143">
        <v>1</v>
      </c>
      <c r="T132" s="143">
        <v>1</v>
      </c>
      <c r="U132" s="143">
        <v>1</v>
      </c>
      <c r="V132" s="143">
        <v>1</v>
      </c>
      <c r="W132" s="143">
        <v>1</v>
      </c>
      <c r="X132" s="143">
        <v>1</v>
      </c>
      <c r="Y132" s="143">
        <v>1</v>
      </c>
      <c r="Z132" s="143">
        <v>0</v>
      </c>
      <c r="AA132" s="143">
        <v>1</v>
      </c>
      <c r="AB132" s="143">
        <v>1</v>
      </c>
      <c r="AC132" s="143">
        <v>0</v>
      </c>
      <c r="AD132" s="143">
        <v>1</v>
      </c>
      <c r="AE132" s="145">
        <v>2</v>
      </c>
      <c r="AF132" s="138">
        <v>16</v>
      </c>
      <c r="AG132" s="138"/>
      <c r="AH132" s="138"/>
      <c r="AI132" s="138"/>
      <c r="AJ132" s="138"/>
      <c r="AK132" s="138"/>
      <c r="AL132" s="138"/>
      <c r="AM132" s="138"/>
      <c r="AN132" s="138"/>
    </row>
    <row r="133" spans="1:40" ht="15" customHeight="1" x14ac:dyDescent="0.2">
      <c r="A133" s="143" t="s">
        <v>313</v>
      </c>
      <c r="B133" s="143" t="s">
        <v>1759</v>
      </c>
      <c r="C133" s="143">
        <v>2015</v>
      </c>
      <c r="D133" s="143">
        <v>72</v>
      </c>
      <c r="E133" s="163" t="s">
        <v>1735</v>
      </c>
      <c r="F133" s="164">
        <v>12.5</v>
      </c>
      <c r="G133" s="164">
        <v>8</v>
      </c>
      <c r="H133" s="164">
        <v>10</v>
      </c>
      <c r="I133" s="164">
        <v>9</v>
      </c>
      <c r="J133" s="164">
        <v>4</v>
      </c>
      <c r="K133" s="164">
        <v>5.5</v>
      </c>
      <c r="L133" s="164">
        <v>7</v>
      </c>
      <c r="M133" s="164">
        <v>6</v>
      </c>
      <c r="N133" s="164">
        <v>4.5</v>
      </c>
      <c r="O133" s="164">
        <v>6</v>
      </c>
      <c r="P133" s="164">
        <v>8</v>
      </c>
      <c r="Q133" s="164">
        <v>5.5</v>
      </c>
      <c r="R133" s="164">
        <v>9</v>
      </c>
      <c r="S133" s="164">
        <v>6</v>
      </c>
      <c r="T133" s="164">
        <v>7</v>
      </c>
      <c r="U133" s="164">
        <v>7</v>
      </c>
      <c r="V133" s="164">
        <v>6.5</v>
      </c>
      <c r="W133" s="164">
        <v>11</v>
      </c>
      <c r="X133" s="164">
        <v>4.5</v>
      </c>
      <c r="Y133" s="164">
        <v>3</v>
      </c>
      <c r="Z133" s="164">
        <v>5.5</v>
      </c>
      <c r="AA133" s="164">
        <v>12</v>
      </c>
      <c r="AB133" s="164">
        <v>10</v>
      </c>
      <c r="AC133" s="164">
        <v>4</v>
      </c>
      <c r="AD133" s="164">
        <v>4</v>
      </c>
      <c r="AE133" s="145"/>
      <c r="AF133" s="138"/>
      <c r="AG133" s="138"/>
      <c r="AH133" s="138"/>
      <c r="AI133" s="138"/>
      <c r="AJ133" s="138"/>
      <c r="AK133" s="138"/>
      <c r="AL133" s="138"/>
      <c r="AM133" s="138"/>
      <c r="AN133" s="138"/>
    </row>
    <row r="134" spans="1:40" ht="15" customHeight="1" x14ac:dyDescent="0.2">
      <c r="A134" s="144" t="s">
        <v>313</v>
      </c>
      <c r="B134" s="144" t="s">
        <v>1759</v>
      </c>
      <c r="C134" s="144">
        <v>2015</v>
      </c>
      <c r="D134" s="143">
        <v>72</v>
      </c>
      <c r="E134" s="144" t="s">
        <v>1822</v>
      </c>
      <c r="F134" s="143">
        <v>1</v>
      </c>
      <c r="G134" s="143">
        <v>1</v>
      </c>
      <c r="H134" s="143">
        <v>1</v>
      </c>
      <c r="I134" s="143">
        <v>1</v>
      </c>
      <c r="J134" s="143">
        <v>1</v>
      </c>
      <c r="K134" s="143">
        <v>1</v>
      </c>
      <c r="L134" s="143">
        <v>1</v>
      </c>
      <c r="M134" s="143">
        <v>1</v>
      </c>
      <c r="N134" s="143">
        <v>1</v>
      </c>
      <c r="O134" s="143">
        <v>1</v>
      </c>
      <c r="P134" s="143">
        <v>1</v>
      </c>
      <c r="Q134" s="143">
        <v>1</v>
      </c>
      <c r="R134" s="143">
        <v>1</v>
      </c>
      <c r="S134" s="143">
        <v>1</v>
      </c>
      <c r="T134" s="143">
        <v>1</v>
      </c>
      <c r="U134" s="143">
        <v>1</v>
      </c>
      <c r="V134" s="143">
        <v>1</v>
      </c>
      <c r="W134" s="143">
        <v>1</v>
      </c>
      <c r="X134" s="143">
        <v>1</v>
      </c>
      <c r="Y134" s="143">
        <v>1</v>
      </c>
      <c r="Z134" s="143">
        <v>1</v>
      </c>
      <c r="AA134" s="143">
        <v>1</v>
      </c>
      <c r="AB134" s="143">
        <v>1</v>
      </c>
      <c r="AC134" s="143">
        <v>1</v>
      </c>
      <c r="AD134" s="143">
        <v>1</v>
      </c>
      <c r="AE134" s="145">
        <v>40</v>
      </c>
      <c r="AF134" s="138">
        <v>25</v>
      </c>
      <c r="AG134" s="1"/>
      <c r="AH134" s="138"/>
      <c r="AI134" s="138"/>
      <c r="AJ134" s="138"/>
      <c r="AK134" s="138"/>
      <c r="AL134" s="138"/>
      <c r="AM134" s="138"/>
      <c r="AN134" s="138"/>
    </row>
    <row r="135" spans="1:40" ht="15" customHeight="1" x14ac:dyDescent="0.2">
      <c r="A135" s="143" t="s">
        <v>313</v>
      </c>
      <c r="B135" s="143" t="s">
        <v>1759</v>
      </c>
      <c r="C135" s="143">
        <v>2015</v>
      </c>
      <c r="D135" s="144">
        <v>72</v>
      </c>
      <c r="E135" s="144" t="s">
        <v>1730</v>
      </c>
      <c r="F135" s="144">
        <v>1</v>
      </c>
      <c r="G135" s="144">
        <v>0</v>
      </c>
      <c r="H135" s="144">
        <v>1</v>
      </c>
      <c r="I135" s="144">
        <v>0</v>
      </c>
      <c r="J135" s="144">
        <v>1</v>
      </c>
      <c r="K135" s="144">
        <v>1</v>
      </c>
      <c r="L135" s="144">
        <v>0</v>
      </c>
      <c r="M135" s="144">
        <v>0</v>
      </c>
      <c r="N135" s="144">
        <v>0</v>
      </c>
      <c r="O135" s="144">
        <v>0</v>
      </c>
      <c r="P135" s="144">
        <v>0</v>
      </c>
      <c r="Q135" s="144">
        <v>0</v>
      </c>
      <c r="R135" s="144">
        <v>0</v>
      </c>
      <c r="S135" s="144">
        <v>0</v>
      </c>
      <c r="T135" s="144">
        <v>0</v>
      </c>
      <c r="U135" s="144">
        <v>1</v>
      </c>
      <c r="V135" s="144">
        <v>0</v>
      </c>
      <c r="W135" s="144">
        <v>0</v>
      </c>
      <c r="X135" s="144">
        <v>0</v>
      </c>
      <c r="Y135" s="144">
        <v>0</v>
      </c>
      <c r="Z135" s="144">
        <v>1</v>
      </c>
      <c r="AA135" s="144">
        <v>1</v>
      </c>
      <c r="AB135" s="144">
        <v>1</v>
      </c>
      <c r="AC135" s="144">
        <v>1</v>
      </c>
      <c r="AD135" s="144">
        <v>0</v>
      </c>
      <c r="AE135" s="147">
        <v>2</v>
      </c>
      <c r="AF135" s="138">
        <v>9</v>
      </c>
      <c r="AG135" s="146"/>
      <c r="AH135" s="138"/>
      <c r="AI135" s="138"/>
      <c r="AJ135" s="138"/>
      <c r="AK135" s="138"/>
      <c r="AL135" s="138"/>
      <c r="AM135" s="138"/>
      <c r="AN135" s="138"/>
    </row>
    <row r="136" spans="1:40" ht="15" customHeight="1" x14ac:dyDescent="0.2">
      <c r="A136" s="143" t="s">
        <v>313</v>
      </c>
      <c r="B136" s="143" t="s">
        <v>1759</v>
      </c>
      <c r="C136" s="143">
        <v>2015</v>
      </c>
      <c r="D136" s="144">
        <v>73</v>
      </c>
      <c r="E136" s="163" t="s">
        <v>1735</v>
      </c>
      <c r="F136" s="164">
        <v>4</v>
      </c>
      <c r="G136" s="164">
        <v>4</v>
      </c>
      <c r="H136" s="164">
        <v>8</v>
      </c>
      <c r="I136" s="164">
        <v>9</v>
      </c>
      <c r="J136" s="164">
        <v>16</v>
      </c>
      <c r="K136" s="164">
        <v>12</v>
      </c>
      <c r="L136" s="164">
        <v>9</v>
      </c>
      <c r="M136" s="164">
        <v>6</v>
      </c>
      <c r="N136" s="164">
        <v>11</v>
      </c>
      <c r="O136" s="164">
        <v>15</v>
      </c>
      <c r="P136" s="164">
        <v>6</v>
      </c>
      <c r="Q136" s="164">
        <v>9</v>
      </c>
      <c r="R136" s="164">
        <v>4</v>
      </c>
      <c r="S136" s="164">
        <v>5</v>
      </c>
      <c r="T136" s="164">
        <v>12</v>
      </c>
      <c r="U136" s="164">
        <v>4</v>
      </c>
      <c r="V136" s="164">
        <v>4</v>
      </c>
      <c r="W136" s="164">
        <v>4</v>
      </c>
      <c r="X136" s="164">
        <v>4</v>
      </c>
      <c r="Y136" s="164">
        <v>8</v>
      </c>
      <c r="Z136" s="164">
        <v>5</v>
      </c>
      <c r="AA136" s="164">
        <v>5</v>
      </c>
      <c r="AB136" s="164">
        <v>14</v>
      </c>
      <c r="AC136" s="164">
        <v>5</v>
      </c>
      <c r="AD136" s="164">
        <v>5</v>
      </c>
      <c r="AE136" s="147"/>
      <c r="AF136" s="138"/>
      <c r="AG136" s="146"/>
      <c r="AH136" s="138"/>
      <c r="AI136" s="138"/>
      <c r="AJ136" s="138"/>
      <c r="AK136" s="138"/>
      <c r="AL136" s="138"/>
      <c r="AM136" s="138"/>
      <c r="AN136" s="138"/>
    </row>
    <row r="137" spans="1:40" ht="15" customHeight="1" x14ac:dyDescent="0.2">
      <c r="A137" s="144" t="s">
        <v>313</v>
      </c>
      <c r="B137" s="144" t="s">
        <v>1759</v>
      </c>
      <c r="C137" s="144">
        <v>2015</v>
      </c>
      <c r="D137" s="143">
        <v>73</v>
      </c>
      <c r="E137" s="144" t="s">
        <v>1822</v>
      </c>
      <c r="F137" s="143">
        <v>1</v>
      </c>
      <c r="G137" s="144">
        <v>1</v>
      </c>
      <c r="H137" s="144">
        <v>1</v>
      </c>
      <c r="I137" s="144">
        <v>0</v>
      </c>
      <c r="J137" s="144">
        <v>0</v>
      </c>
      <c r="K137" s="144">
        <v>1</v>
      </c>
      <c r="L137" s="144">
        <v>1</v>
      </c>
      <c r="M137" s="144">
        <v>1</v>
      </c>
      <c r="N137" s="144">
        <v>1</v>
      </c>
      <c r="O137" s="144">
        <v>0</v>
      </c>
      <c r="P137" s="144">
        <v>0</v>
      </c>
      <c r="Q137" s="144">
        <v>1</v>
      </c>
      <c r="R137" s="144">
        <v>1</v>
      </c>
      <c r="S137" s="144">
        <v>1</v>
      </c>
      <c r="T137" s="144">
        <v>0</v>
      </c>
      <c r="U137" s="144">
        <v>0</v>
      </c>
      <c r="V137" s="144">
        <v>0</v>
      </c>
      <c r="W137" s="144">
        <v>1</v>
      </c>
      <c r="X137" s="144">
        <v>1</v>
      </c>
      <c r="Y137" s="144">
        <v>0</v>
      </c>
      <c r="Z137" s="144">
        <v>0</v>
      </c>
      <c r="AA137" s="144">
        <v>0</v>
      </c>
      <c r="AB137" s="144">
        <v>0</v>
      </c>
      <c r="AC137" s="144">
        <v>1</v>
      </c>
      <c r="AD137" s="144">
        <v>0</v>
      </c>
      <c r="AE137" s="147">
        <v>20</v>
      </c>
      <c r="AF137" s="138">
        <v>13</v>
      </c>
      <c r="AG137" s="1"/>
      <c r="AH137" s="138"/>
      <c r="AI137" s="138"/>
      <c r="AJ137" s="138"/>
      <c r="AK137" s="138"/>
      <c r="AL137" s="138"/>
      <c r="AM137" s="138"/>
      <c r="AN137" s="138"/>
    </row>
    <row r="138" spans="1:40" ht="15" customHeight="1" x14ac:dyDescent="0.2">
      <c r="A138" s="143" t="s">
        <v>313</v>
      </c>
      <c r="B138" s="143" t="s">
        <v>1759</v>
      </c>
      <c r="C138" s="143">
        <v>2015</v>
      </c>
      <c r="D138" s="143">
        <v>74</v>
      </c>
      <c r="E138" s="163" t="s">
        <v>1735</v>
      </c>
      <c r="F138" s="164">
        <v>6</v>
      </c>
      <c r="G138" s="164">
        <v>13</v>
      </c>
      <c r="H138" s="164">
        <v>8</v>
      </c>
      <c r="I138" s="164">
        <v>18</v>
      </c>
      <c r="J138" s="164">
        <v>17</v>
      </c>
      <c r="K138" s="164">
        <v>12</v>
      </c>
      <c r="L138" s="164">
        <v>6</v>
      </c>
      <c r="M138" s="164">
        <v>12</v>
      </c>
      <c r="N138" s="164">
        <v>12</v>
      </c>
      <c r="O138" s="164">
        <v>17</v>
      </c>
      <c r="P138" s="164">
        <v>1</v>
      </c>
      <c r="Q138" s="164">
        <v>3</v>
      </c>
      <c r="R138" s="164">
        <v>9</v>
      </c>
      <c r="S138" s="164">
        <v>6</v>
      </c>
      <c r="T138" s="164">
        <v>7</v>
      </c>
      <c r="U138" s="164">
        <v>12</v>
      </c>
      <c r="V138" s="164">
        <v>9</v>
      </c>
      <c r="W138" s="164">
        <v>19</v>
      </c>
      <c r="X138" s="164">
        <v>33</v>
      </c>
      <c r="Y138" s="164">
        <v>21</v>
      </c>
      <c r="Z138" s="164">
        <v>12</v>
      </c>
      <c r="AA138" s="164">
        <v>23</v>
      </c>
      <c r="AB138" s="164">
        <v>30</v>
      </c>
      <c r="AC138" s="164">
        <v>27</v>
      </c>
      <c r="AD138" s="164">
        <v>8</v>
      </c>
      <c r="AE138" s="147"/>
      <c r="AF138" s="138"/>
      <c r="AG138" s="1"/>
      <c r="AH138" s="138"/>
      <c r="AI138" s="138"/>
      <c r="AJ138" s="138"/>
      <c r="AK138" s="138"/>
      <c r="AL138" s="138"/>
      <c r="AM138" s="138"/>
      <c r="AN138" s="138"/>
    </row>
    <row r="139" spans="1:40" ht="15" customHeight="1" x14ac:dyDescent="0.2">
      <c r="A139" s="143" t="s">
        <v>313</v>
      </c>
      <c r="B139" s="143" t="s">
        <v>1759</v>
      </c>
      <c r="C139" s="143">
        <v>2015</v>
      </c>
      <c r="D139" s="143">
        <v>74</v>
      </c>
      <c r="E139" s="144" t="s">
        <v>1822</v>
      </c>
      <c r="F139" s="143">
        <v>0</v>
      </c>
      <c r="G139" s="143">
        <v>0</v>
      </c>
      <c r="H139" s="143">
        <v>0</v>
      </c>
      <c r="I139" s="143">
        <v>0</v>
      </c>
      <c r="J139" s="143">
        <v>0</v>
      </c>
      <c r="K139" s="143">
        <v>1</v>
      </c>
      <c r="L139" s="143">
        <v>1</v>
      </c>
      <c r="M139" s="143">
        <v>1</v>
      </c>
      <c r="N139" s="143">
        <v>1</v>
      </c>
      <c r="O139" s="143">
        <v>1</v>
      </c>
      <c r="P139" s="143">
        <v>1</v>
      </c>
      <c r="Q139" s="143">
        <v>0</v>
      </c>
      <c r="R139" s="143">
        <v>0</v>
      </c>
      <c r="S139" s="143">
        <v>1</v>
      </c>
      <c r="T139" s="143">
        <v>0</v>
      </c>
      <c r="U139" s="143">
        <v>1</v>
      </c>
      <c r="V139" s="143">
        <v>1</v>
      </c>
      <c r="W139" s="143">
        <v>0</v>
      </c>
      <c r="X139" s="143">
        <v>0</v>
      </c>
      <c r="Y139" s="143">
        <v>0</v>
      </c>
      <c r="Z139" s="143">
        <v>0</v>
      </c>
      <c r="AA139" s="143">
        <v>0</v>
      </c>
      <c r="AB139" s="143">
        <v>0</v>
      </c>
      <c r="AC139" s="143">
        <v>0</v>
      </c>
      <c r="AD139" s="143">
        <v>0</v>
      </c>
      <c r="AE139" s="145">
        <v>4</v>
      </c>
      <c r="AF139" s="138">
        <v>9</v>
      </c>
      <c r="AG139" s="1"/>
      <c r="AH139" s="138"/>
      <c r="AI139" s="138"/>
      <c r="AJ139" s="138"/>
      <c r="AK139" s="138"/>
      <c r="AL139" s="138"/>
      <c r="AM139" s="138"/>
      <c r="AN139" s="138"/>
    </row>
    <row r="140" spans="1:40" ht="15" customHeight="1" x14ac:dyDescent="0.2">
      <c r="A140" s="144" t="s">
        <v>313</v>
      </c>
      <c r="B140" s="144" t="s">
        <v>1759</v>
      </c>
      <c r="C140" s="144">
        <v>2015</v>
      </c>
      <c r="D140" s="143">
        <v>75</v>
      </c>
      <c r="E140" s="163" t="s">
        <v>1735</v>
      </c>
      <c r="F140" s="164">
        <v>14.5</v>
      </c>
      <c r="G140" s="164">
        <v>8.5</v>
      </c>
      <c r="H140" s="164">
        <v>11.5</v>
      </c>
      <c r="I140" s="164">
        <v>8.5</v>
      </c>
      <c r="J140" s="164">
        <v>12.5</v>
      </c>
      <c r="K140" s="164">
        <v>6.5</v>
      </c>
      <c r="L140" s="164">
        <v>11</v>
      </c>
      <c r="M140" s="164">
        <v>9.5</v>
      </c>
      <c r="N140" s="164">
        <v>12</v>
      </c>
      <c r="O140" s="164">
        <v>16.5</v>
      </c>
      <c r="P140" s="164">
        <v>7</v>
      </c>
      <c r="Q140" s="164">
        <v>13.5</v>
      </c>
      <c r="R140" s="164">
        <v>5.5</v>
      </c>
      <c r="S140" s="164">
        <v>12.5</v>
      </c>
      <c r="T140" s="164">
        <v>17.5</v>
      </c>
      <c r="U140" s="164">
        <v>9.5</v>
      </c>
      <c r="V140" s="164">
        <v>13</v>
      </c>
      <c r="W140" s="164">
        <v>10.5</v>
      </c>
      <c r="X140" s="164">
        <v>10.5</v>
      </c>
      <c r="Y140" s="164">
        <v>16.5</v>
      </c>
      <c r="Z140" s="164">
        <v>6.5</v>
      </c>
      <c r="AA140" s="164">
        <v>8</v>
      </c>
      <c r="AB140" s="164">
        <v>3</v>
      </c>
      <c r="AC140" s="164">
        <v>13</v>
      </c>
      <c r="AD140" s="164">
        <v>19</v>
      </c>
      <c r="AE140" s="145"/>
      <c r="AF140" s="138"/>
      <c r="AG140" s="1"/>
      <c r="AH140" s="138"/>
      <c r="AI140" s="138"/>
      <c r="AJ140" s="138"/>
      <c r="AK140" s="138"/>
      <c r="AL140" s="138"/>
      <c r="AM140" s="138"/>
      <c r="AN140" s="138"/>
    </row>
    <row r="141" spans="1:40" ht="15" customHeight="1" x14ac:dyDescent="0.2">
      <c r="A141" s="143" t="s">
        <v>313</v>
      </c>
      <c r="B141" s="143" t="s">
        <v>1759</v>
      </c>
      <c r="C141" s="143">
        <v>2015</v>
      </c>
      <c r="D141" s="143">
        <v>75</v>
      </c>
      <c r="E141" s="163" t="s">
        <v>1822</v>
      </c>
      <c r="F141" s="143">
        <v>0</v>
      </c>
      <c r="G141" s="143">
        <v>1</v>
      </c>
      <c r="H141" s="143">
        <v>0</v>
      </c>
      <c r="I141" s="143">
        <v>0</v>
      </c>
      <c r="J141" s="143">
        <v>0</v>
      </c>
      <c r="K141" s="143">
        <v>1</v>
      </c>
      <c r="L141" s="143">
        <v>0</v>
      </c>
      <c r="M141" s="143">
        <v>1</v>
      </c>
      <c r="N141" s="143">
        <v>1</v>
      </c>
      <c r="O141" s="143">
        <v>1</v>
      </c>
      <c r="P141" s="143">
        <v>0</v>
      </c>
      <c r="Q141" s="143">
        <v>1</v>
      </c>
      <c r="R141" s="143">
        <v>1</v>
      </c>
      <c r="S141" s="143">
        <v>1</v>
      </c>
      <c r="T141" s="143">
        <v>1</v>
      </c>
      <c r="U141" s="143">
        <v>1</v>
      </c>
      <c r="V141" s="143">
        <v>1</v>
      </c>
      <c r="W141" s="143">
        <v>1</v>
      </c>
      <c r="X141" s="143">
        <v>1</v>
      </c>
      <c r="Y141" s="143">
        <v>0</v>
      </c>
      <c r="Z141" s="143">
        <v>1</v>
      </c>
      <c r="AA141" s="143">
        <v>0</v>
      </c>
      <c r="AB141" s="143">
        <v>1</v>
      </c>
      <c r="AC141" s="143">
        <v>0</v>
      </c>
      <c r="AD141" s="143">
        <v>0</v>
      </c>
      <c r="AE141" s="145">
        <v>11</v>
      </c>
      <c r="AF141" s="138">
        <v>15</v>
      </c>
      <c r="AG141" s="1"/>
      <c r="AH141" s="138"/>
      <c r="AI141" s="138"/>
      <c r="AJ141" s="138"/>
      <c r="AK141" s="138"/>
      <c r="AL141" s="138"/>
      <c r="AM141" s="138"/>
      <c r="AN141" s="138"/>
    </row>
    <row r="142" spans="1:40" ht="15" customHeight="1" x14ac:dyDescent="0.2">
      <c r="A142" s="143" t="s">
        <v>313</v>
      </c>
      <c r="B142" s="143" t="s">
        <v>1759</v>
      </c>
      <c r="C142" s="143">
        <v>2015</v>
      </c>
      <c r="D142" s="144">
        <v>75</v>
      </c>
      <c r="E142" s="144" t="s">
        <v>1730</v>
      </c>
      <c r="F142" s="144">
        <v>1</v>
      </c>
      <c r="G142" s="144">
        <v>1</v>
      </c>
      <c r="H142" s="144">
        <v>1</v>
      </c>
      <c r="I142" s="144">
        <v>1</v>
      </c>
      <c r="J142" s="144">
        <v>1</v>
      </c>
      <c r="K142" s="144">
        <v>1</v>
      </c>
      <c r="L142" s="144">
        <v>1</v>
      </c>
      <c r="M142" s="144">
        <v>1</v>
      </c>
      <c r="N142" s="144">
        <v>1</v>
      </c>
      <c r="O142" s="144">
        <v>1</v>
      </c>
      <c r="P142" s="144">
        <v>1</v>
      </c>
      <c r="Q142" s="144">
        <v>1</v>
      </c>
      <c r="R142" s="144">
        <v>1</v>
      </c>
      <c r="S142" s="144">
        <v>1</v>
      </c>
      <c r="T142" s="144">
        <v>1</v>
      </c>
      <c r="U142" s="144">
        <v>1</v>
      </c>
      <c r="V142" s="144">
        <v>1</v>
      </c>
      <c r="W142" s="144">
        <v>1</v>
      </c>
      <c r="X142" s="144">
        <v>1</v>
      </c>
      <c r="Y142" s="144">
        <v>1</v>
      </c>
      <c r="Z142" s="144">
        <v>1</v>
      </c>
      <c r="AA142" s="144">
        <v>1</v>
      </c>
      <c r="AB142" s="144">
        <v>1</v>
      </c>
      <c r="AC142" s="144">
        <v>1</v>
      </c>
      <c r="AD142" s="144">
        <v>1</v>
      </c>
      <c r="AE142" s="147">
        <v>45</v>
      </c>
      <c r="AF142" s="138">
        <v>25</v>
      </c>
      <c r="AG142" s="146"/>
      <c r="AH142" s="138"/>
      <c r="AI142" s="138"/>
      <c r="AJ142" s="138"/>
      <c r="AK142" s="138"/>
      <c r="AL142" s="138"/>
      <c r="AM142" s="138"/>
      <c r="AN142" s="138"/>
    </row>
    <row r="143" spans="1:40" ht="15.75" customHeight="1" x14ac:dyDescent="0.2">
      <c r="A143" s="4"/>
      <c r="B143" s="4"/>
      <c r="C143" s="4"/>
      <c r="D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120"/>
      <c r="AF143" s="4"/>
      <c r="AG143" s="4"/>
      <c r="AH143" s="4"/>
      <c r="AI143" s="4"/>
      <c r="AJ143" s="4"/>
      <c r="AK143" s="4"/>
      <c r="AL143" s="4"/>
      <c r="AM143" s="4"/>
      <c r="AN143" s="4"/>
    </row>
  </sheetData>
  <pageMargins left="0.7" right="0.7" top="0.75" bottom="0.75" header="0.3" footer="0.3"/>
  <pageSetup paperSize="9"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Q21"/>
  <sheetViews>
    <sheetView zoomScaleNormal="100" workbookViewId="0">
      <pane ySplit="1" topLeftCell="A2" activePane="bottomLeft" state="frozen"/>
      <selection pane="bottomLeft"/>
    </sheetView>
  </sheetViews>
  <sheetFormatPr defaultRowHeight="14.25" customHeight="1" x14ac:dyDescent="0.2"/>
  <cols>
    <col min="1" max="1" width="10.109375" style="5" bestFit="1" customWidth="1"/>
    <col min="2" max="4" width="6.33203125" style="5" customWidth="1"/>
    <col min="5" max="5" width="15.6640625" style="5" bestFit="1" customWidth="1"/>
    <col min="6" max="7" width="15.33203125" style="5" bestFit="1" customWidth="1"/>
    <col min="8" max="8" width="34.5546875" style="5" customWidth="1"/>
    <col min="9" max="9" width="41.33203125" style="5" customWidth="1"/>
    <col min="10" max="10" width="59.21875" style="5" customWidth="1"/>
    <col min="11" max="11" width="11.109375" style="5" customWidth="1"/>
    <col min="12" max="12" width="10.88671875" style="5" customWidth="1"/>
    <col min="13" max="13" width="10.77734375" style="5" customWidth="1"/>
    <col min="14" max="14" width="7.88671875" style="5" customWidth="1"/>
    <col min="15" max="15" width="7.21875" style="5" customWidth="1"/>
    <col min="16" max="17" width="7" style="5" customWidth="1"/>
    <col min="18" max="16384" width="8.88671875" style="22"/>
  </cols>
  <sheetData>
    <row r="1" spans="1:17" s="23" customFormat="1" ht="26.25" customHeight="1" x14ac:dyDescent="0.2">
      <c r="A1" s="208" t="s">
        <v>219</v>
      </c>
      <c r="B1" s="208" t="s">
        <v>220</v>
      </c>
      <c r="C1" s="208" t="s">
        <v>222</v>
      </c>
      <c r="D1" s="208" t="s">
        <v>223</v>
      </c>
      <c r="E1" s="208" t="s">
        <v>1330</v>
      </c>
      <c r="F1" s="208" t="s">
        <v>1329</v>
      </c>
      <c r="G1" s="208" t="s">
        <v>1328</v>
      </c>
      <c r="H1" s="203" t="s">
        <v>1684</v>
      </c>
      <c r="I1" s="203" t="s">
        <v>1685</v>
      </c>
      <c r="J1" s="203" t="s">
        <v>1444</v>
      </c>
      <c r="K1" s="203" t="s">
        <v>1475</v>
      </c>
      <c r="L1" s="203" t="s">
        <v>1476</v>
      </c>
      <c r="M1" s="203" t="s">
        <v>1477</v>
      </c>
      <c r="N1" s="203" t="s">
        <v>1746</v>
      </c>
      <c r="O1" s="203" t="s">
        <v>1747</v>
      </c>
      <c r="P1" s="203" t="s">
        <v>1748</v>
      </c>
      <c r="Q1" s="205" t="s">
        <v>1474</v>
      </c>
    </row>
    <row r="2" spans="1:17" ht="14.25" customHeight="1" x14ac:dyDescent="0.2">
      <c r="A2" s="5" t="s">
        <v>1837</v>
      </c>
      <c r="B2" s="5" t="s">
        <v>1761</v>
      </c>
      <c r="C2" s="5">
        <v>2015</v>
      </c>
      <c r="D2" s="5">
        <v>19</v>
      </c>
      <c r="E2" s="5">
        <v>1</v>
      </c>
      <c r="F2" s="5">
        <v>22</v>
      </c>
      <c r="G2" s="5">
        <v>24</v>
      </c>
      <c r="H2" s="5">
        <v>184</v>
      </c>
      <c r="I2" s="119"/>
      <c r="J2" s="5" t="s">
        <v>1872</v>
      </c>
      <c r="K2" s="25"/>
      <c r="L2" s="25"/>
      <c r="M2" s="25"/>
      <c r="N2" s="25"/>
      <c r="O2" s="25"/>
      <c r="P2" s="25"/>
      <c r="Q2" s="25"/>
    </row>
    <row r="3" spans="1:17" ht="14.25" customHeight="1" x14ac:dyDescent="0.2">
      <c r="A3" s="5" t="s">
        <v>1837</v>
      </c>
      <c r="B3" s="5" t="s">
        <v>1761</v>
      </c>
      <c r="C3" s="5">
        <v>2015</v>
      </c>
      <c r="D3" s="5">
        <v>19</v>
      </c>
      <c r="E3" s="5">
        <v>2</v>
      </c>
      <c r="F3" s="5">
        <v>12</v>
      </c>
      <c r="G3" s="5">
        <v>23</v>
      </c>
      <c r="H3" s="5">
        <v>112</v>
      </c>
      <c r="K3" s="25"/>
      <c r="L3" s="25"/>
      <c r="M3" s="25"/>
      <c r="N3" s="25"/>
      <c r="O3" s="25"/>
      <c r="P3" s="25"/>
      <c r="Q3" s="25"/>
    </row>
    <row r="4" spans="1:17" ht="14.25" customHeight="1" x14ac:dyDescent="0.2">
      <c r="A4" s="5" t="s">
        <v>313</v>
      </c>
      <c r="B4" s="5" t="s">
        <v>1761</v>
      </c>
      <c r="C4" s="5">
        <v>2015</v>
      </c>
      <c r="D4" s="5">
        <v>19</v>
      </c>
      <c r="E4" s="5">
        <v>3</v>
      </c>
      <c r="F4" s="5">
        <v>22</v>
      </c>
      <c r="G4" s="5">
        <v>25</v>
      </c>
      <c r="H4" s="5">
        <v>110</v>
      </c>
      <c r="K4" s="25"/>
      <c r="L4" s="25"/>
      <c r="M4" s="25"/>
      <c r="N4" s="25"/>
      <c r="O4" s="25"/>
      <c r="P4" s="25"/>
      <c r="Q4" s="25"/>
    </row>
    <row r="5" spans="1:17" ht="14.25" customHeight="1" x14ac:dyDescent="0.2">
      <c r="A5" s="5" t="s">
        <v>313</v>
      </c>
      <c r="B5" s="5" t="s">
        <v>1761</v>
      </c>
      <c r="C5" s="5">
        <v>2015</v>
      </c>
      <c r="D5" s="5">
        <v>19</v>
      </c>
      <c r="E5" s="5">
        <v>4</v>
      </c>
      <c r="F5" s="5">
        <v>4</v>
      </c>
      <c r="G5" s="5">
        <v>24</v>
      </c>
      <c r="H5" s="5">
        <v>0</v>
      </c>
      <c r="K5" s="25"/>
      <c r="L5" s="25"/>
      <c r="M5" s="25"/>
      <c r="N5" s="25"/>
      <c r="O5" s="25"/>
      <c r="P5" s="25"/>
      <c r="Q5" s="25"/>
    </row>
    <row r="6" spans="1:17" ht="14.25" customHeight="1" x14ac:dyDescent="0.2">
      <c r="A6" s="5" t="s">
        <v>313</v>
      </c>
      <c r="B6" s="5" t="s">
        <v>1761</v>
      </c>
      <c r="C6" s="5">
        <v>2015</v>
      </c>
      <c r="D6" s="5">
        <v>19</v>
      </c>
      <c r="E6" s="5">
        <v>5</v>
      </c>
      <c r="F6" s="5">
        <v>22</v>
      </c>
      <c r="G6" s="5">
        <v>4</v>
      </c>
      <c r="H6" s="5">
        <v>270</v>
      </c>
      <c r="K6" s="25"/>
      <c r="L6" s="25"/>
      <c r="M6" s="25"/>
      <c r="N6" s="25"/>
      <c r="O6" s="25"/>
      <c r="P6" s="25"/>
      <c r="Q6" s="25"/>
    </row>
    <row r="7" spans="1:17" ht="14.25" customHeight="1" x14ac:dyDescent="0.2">
      <c r="A7" s="5" t="s">
        <v>313</v>
      </c>
      <c r="B7" s="5" t="s">
        <v>1761</v>
      </c>
      <c r="C7" s="5">
        <v>2015</v>
      </c>
      <c r="D7" s="5">
        <v>19</v>
      </c>
      <c r="E7" s="5">
        <v>6</v>
      </c>
      <c r="F7" s="5">
        <v>6</v>
      </c>
      <c r="G7" s="5">
        <v>22</v>
      </c>
      <c r="H7" s="5">
        <v>320</v>
      </c>
      <c r="K7" s="25"/>
      <c r="L7" s="25"/>
      <c r="M7" s="25"/>
      <c r="N7" s="25"/>
      <c r="O7" s="25"/>
      <c r="P7" s="25"/>
      <c r="Q7" s="25"/>
    </row>
    <row r="8" spans="1:17" ht="14.25" customHeight="1" x14ac:dyDescent="0.2">
      <c r="A8" s="5" t="s">
        <v>313</v>
      </c>
      <c r="B8" s="5" t="s">
        <v>1761</v>
      </c>
      <c r="C8" s="5">
        <v>2015</v>
      </c>
      <c r="D8" s="5">
        <v>19</v>
      </c>
      <c r="E8" s="5">
        <v>7</v>
      </c>
      <c r="F8" s="5">
        <v>15</v>
      </c>
      <c r="G8" s="5">
        <v>9</v>
      </c>
      <c r="H8" s="5">
        <v>10</v>
      </c>
      <c r="K8" s="25"/>
      <c r="L8" s="25"/>
      <c r="M8" s="25"/>
      <c r="N8" s="25"/>
      <c r="O8" s="25"/>
      <c r="P8" s="25"/>
      <c r="Q8" s="25"/>
    </row>
    <row r="9" spans="1:17" ht="14.25" customHeight="1" x14ac:dyDescent="0.2">
      <c r="A9" s="5" t="s">
        <v>313</v>
      </c>
      <c r="B9" s="5" t="s">
        <v>1761</v>
      </c>
      <c r="C9" s="5">
        <v>2015</v>
      </c>
      <c r="D9" s="5">
        <v>19</v>
      </c>
      <c r="E9" s="5">
        <v>8</v>
      </c>
      <c r="F9" s="5">
        <v>23</v>
      </c>
      <c r="G9" s="5">
        <v>18</v>
      </c>
      <c r="H9" s="5">
        <v>220</v>
      </c>
      <c r="K9" s="25"/>
      <c r="L9" s="25"/>
      <c r="M9" s="25"/>
      <c r="N9" s="25"/>
      <c r="O9" s="25"/>
      <c r="P9" s="25"/>
      <c r="Q9" s="25"/>
    </row>
    <row r="10" spans="1:17" ht="14.25" customHeight="1" x14ac:dyDescent="0.2">
      <c r="A10" s="5" t="s">
        <v>313</v>
      </c>
      <c r="B10" s="5" t="s">
        <v>1761</v>
      </c>
      <c r="C10" s="5">
        <v>2015</v>
      </c>
      <c r="D10" s="5">
        <v>19</v>
      </c>
      <c r="E10" s="5">
        <v>9</v>
      </c>
      <c r="F10" s="5">
        <v>19</v>
      </c>
      <c r="G10" s="5">
        <v>23</v>
      </c>
      <c r="H10" s="5">
        <v>180</v>
      </c>
      <c r="K10" s="25"/>
      <c r="L10" s="25"/>
      <c r="M10" s="25"/>
      <c r="N10" s="25"/>
      <c r="O10" s="25"/>
      <c r="P10" s="25"/>
      <c r="Q10" s="25"/>
    </row>
    <row r="11" spans="1:17" ht="14.25" customHeight="1" x14ac:dyDescent="0.2">
      <c r="A11" s="5" t="s">
        <v>313</v>
      </c>
      <c r="B11" s="5" t="s">
        <v>1761</v>
      </c>
      <c r="C11" s="5">
        <v>2015</v>
      </c>
      <c r="D11" s="5">
        <v>19</v>
      </c>
      <c r="E11" s="5">
        <v>10</v>
      </c>
      <c r="F11" s="5">
        <v>21</v>
      </c>
      <c r="G11" s="5">
        <v>11</v>
      </c>
      <c r="H11" s="5">
        <v>270</v>
      </c>
      <c r="K11" s="25"/>
      <c r="L11" s="25"/>
      <c r="M11" s="25"/>
      <c r="N11" s="25"/>
      <c r="O11" s="25"/>
      <c r="P11" s="25"/>
      <c r="Q11" s="25"/>
    </row>
    <row r="12" spans="1:17" ht="14.25" customHeight="1" x14ac:dyDescent="0.2">
      <c r="A12" s="5" t="s">
        <v>313</v>
      </c>
      <c r="B12" s="5" t="s">
        <v>1761</v>
      </c>
      <c r="C12" s="5">
        <v>2015</v>
      </c>
      <c r="D12" s="5">
        <v>45</v>
      </c>
      <c r="E12" s="5">
        <v>1</v>
      </c>
      <c r="F12" s="5">
        <v>8</v>
      </c>
      <c r="G12" s="5">
        <v>3</v>
      </c>
      <c r="H12" s="5">
        <v>238</v>
      </c>
      <c r="K12" s="25"/>
      <c r="L12" s="25"/>
      <c r="M12" s="25"/>
      <c r="N12" s="25"/>
      <c r="O12" s="25"/>
      <c r="P12" s="25"/>
      <c r="Q12" s="25"/>
    </row>
    <row r="13" spans="1:17" ht="14.25" customHeight="1" x14ac:dyDescent="0.2">
      <c r="A13" s="5" t="s">
        <v>313</v>
      </c>
      <c r="B13" s="5" t="s">
        <v>1761</v>
      </c>
      <c r="C13" s="5">
        <v>2015</v>
      </c>
      <c r="D13" s="5">
        <v>45</v>
      </c>
      <c r="E13" s="5">
        <v>2</v>
      </c>
      <c r="F13" s="5">
        <v>5</v>
      </c>
      <c r="G13" s="5">
        <v>16</v>
      </c>
      <c r="H13" s="5">
        <v>249</v>
      </c>
      <c r="K13" s="25"/>
      <c r="L13" s="25"/>
      <c r="M13" s="25"/>
      <c r="N13" s="25"/>
      <c r="O13" s="25"/>
      <c r="P13" s="25"/>
      <c r="Q13" s="25"/>
    </row>
    <row r="14" spans="1:17" ht="14.25" customHeight="1" x14ac:dyDescent="0.2">
      <c r="A14" s="5" t="s">
        <v>313</v>
      </c>
      <c r="B14" s="5" t="s">
        <v>1761</v>
      </c>
      <c r="C14" s="5">
        <v>2015</v>
      </c>
      <c r="D14" s="5">
        <v>45</v>
      </c>
      <c r="E14" s="5">
        <v>3</v>
      </c>
      <c r="F14" s="5">
        <v>10</v>
      </c>
      <c r="G14" s="5">
        <v>10</v>
      </c>
      <c r="H14" s="5">
        <v>240</v>
      </c>
      <c r="K14" s="25"/>
      <c r="L14" s="25"/>
      <c r="M14" s="25"/>
      <c r="N14" s="25"/>
      <c r="O14" s="25"/>
      <c r="P14" s="25"/>
      <c r="Q14" s="25"/>
    </row>
    <row r="15" spans="1:17" ht="14.25" customHeight="1" x14ac:dyDescent="0.2">
      <c r="A15" s="5" t="s">
        <v>313</v>
      </c>
      <c r="B15" s="5" t="s">
        <v>1761</v>
      </c>
      <c r="C15" s="5">
        <v>2015</v>
      </c>
      <c r="D15" s="5">
        <v>45</v>
      </c>
      <c r="E15" s="5">
        <v>4</v>
      </c>
      <c r="F15" s="5">
        <v>19</v>
      </c>
      <c r="G15" s="5">
        <v>8</v>
      </c>
      <c r="H15" s="5">
        <v>152</v>
      </c>
      <c r="K15" s="25"/>
      <c r="L15" s="25"/>
      <c r="M15" s="25"/>
      <c r="N15" s="25"/>
      <c r="O15" s="25"/>
      <c r="P15" s="25"/>
      <c r="Q15" s="25"/>
    </row>
    <row r="16" spans="1:17" ht="14.25" customHeight="1" x14ac:dyDescent="0.2">
      <c r="A16" s="5" t="s">
        <v>313</v>
      </c>
      <c r="B16" s="5" t="s">
        <v>1761</v>
      </c>
      <c r="C16" s="5">
        <v>2015</v>
      </c>
      <c r="D16" s="5">
        <v>45</v>
      </c>
      <c r="E16" s="5">
        <v>5</v>
      </c>
      <c r="F16" s="5">
        <v>20</v>
      </c>
      <c r="G16" s="5">
        <v>6</v>
      </c>
      <c r="H16" s="5">
        <v>90</v>
      </c>
      <c r="K16" s="25"/>
      <c r="L16" s="25"/>
      <c r="M16" s="25"/>
      <c r="N16" s="25"/>
      <c r="O16" s="25"/>
      <c r="P16" s="25"/>
      <c r="Q16" s="25"/>
    </row>
    <row r="17" spans="1:17" ht="14.25" customHeight="1" x14ac:dyDescent="0.2">
      <c r="A17" s="5" t="s">
        <v>313</v>
      </c>
      <c r="B17" s="5" t="s">
        <v>1761</v>
      </c>
      <c r="C17" s="5">
        <v>2015</v>
      </c>
      <c r="D17" s="5">
        <v>45</v>
      </c>
      <c r="E17" s="5">
        <v>6</v>
      </c>
      <c r="F17" s="5">
        <v>6</v>
      </c>
      <c r="G17" s="5">
        <v>20</v>
      </c>
      <c r="H17" s="5">
        <v>292</v>
      </c>
      <c r="K17" s="25"/>
      <c r="L17" s="25"/>
      <c r="M17" s="25"/>
      <c r="N17" s="25"/>
      <c r="O17" s="25"/>
      <c r="P17" s="25"/>
      <c r="Q17" s="25"/>
    </row>
    <row r="18" spans="1:17" ht="14.25" customHeight="1" x14ac:dyDescent="0.2">
      <c r="A18" s="5" t="s">
        <v>313</v>
      </c>
      <c r="B18" s="5" t="s">
        <v>1761</v>
      </c>
      <c r="C18" s="5">
        <v>2015</v>
      </c>
      <c r="D18" s="5">
        <v>45</v>
      </c>
      <c r="E18" s="5">
        <v>7</v>
      </c>
      <c r="F18" s="5">
        <v>16</v>
      </c>
      <c r="G18" s="5">
        <v>2</v>
      </c>
      <c r="J18" s="5" t="s">
        <v>1978</v>
      </c>
      <c r="K18" s="5">
        <v>237</v>
      </c>
      <c r="L18" s="25"/>
      <c r="M18" s="25"/>
      <c r="N18" s="25"/>
      <c r="O18" s="25"/>
      <c r="P18" s="25"/>
      <c r="Q18" s="25"/>
    </row>
    <row r="19" spans="1:17" ht="14.25" customHeight="1" x14ac:dyDescent="0.2">
      <c r="A19" s="5" t="s">
        <v>313</v>
      </c>
      <c r="B19" s="5" t="s">
        <v>1761</v>
      </c>
      <c r="C19" s="5">
        <v>2015</v>
      </c>
      <c r="D19" s="5">
        <v>45</v>
      </c>
      <c r="E19" s="5">
        <v>8</v>
      </c>
      <c r="F19" s="5">
        <v>21</v>
      </c>
      <c r="G19" s="5">
        <v>10</v>
      </c>
      <c r="H19" s="5">
        <v>351</v>
      </c>
      <c r="K19" s="25"/>
      <c r="L19" s="25"/>
      <c r="M19" s="25"/>
      <c r="N19" s="25"/>
      <c r="O19" s="25"/>
      <c r="P19" s="25"/>
      <c r="Q19" s="25"/>
    </row>
    <row r="20" spans="1:17" ht="14.25" customHeight="1" x14ac:dyDescent="0.2">
      <c r="A20" s="5" t="s">
        <v>313</v>
      </c>
      <c r="B20" s="5" t="s">
        <v>1761</v>
      </c>
      <c r="C20" s="5">
        <v>2015</v>
      </c>
      <c r="D20" s="5">
        <v>45</v>
      </c>
      <c r="E20" s="5">
        <v>9</v>
      </c>
      <c r="F20" s="5">
        <v>18</v>
      </c>
      <c r="G20" s="5">
        <v>8</v>
      </c>
      <c r="H20" s="5">
        <v>232</v>
      </c>
      <c r="K20" s="25"/>
      <c r="L20" s="25"/>
      <c r="M20" s="25"/>
      <c r="N20" s="25"/>
      <c r="O20" s="25"/>
      <c r="P20" s="25"/>
      <c r="Q20" s="25"/>
    </row>
    <row r="21" spans="1:17" ht="14.25" customHeight="1" x14ac:dyDescent="0.2">
      <c r="A21" s="5" t="s">
        <v>313</v>
      </c>
      <c r="B21" s="5" t="s">
        <v>1761</v>
      </c>
      <c r="C21" s="5">
        <v>2015</v>
      </c>
      <c r="D21" s="5">
        <v>45</v>
      </c>
      <c r="E21" s="5">
        <v>10</v>
      </c>
      <c r="F21" s="5">
        <v>2</v>
      </c>
      <c r="G21" s="5">
        <v>24</v>
      </c>
      <c r="H21" s="5">
        <v>230</v>
      </c>
      <c r="K21" s="25"/>
      <c r="L21" s="25"/>
      <c r="M21" s="25"/>
      <c r="N21" s="25"/>
      <c r="O21" s="25"/>
      <c r="P21" s="25"/>
      <c r="Q21" s="25"/>
    </row>
  </sheetData>
  <pageMargins left="0.7" right="0.7" top="0.75" bottom="0.75" header="0.3" footer="0.3"/>
  <pageSetup paperSize="9" orientation="portrait" horizontalDpi="4294967293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X1789"/>
  <sheetViews>
    <sheetView workbookViewId="0">
      <pane ySplit="1" topLeftCell="A2" activePane="bottomLeft" state="frozen"/>
      <selection pane="bottomLeft"/>
    </sheetView>
  </sheetViews>
  <sheetFormatPr defaultRowHeight="14.25" customHeight="1" x14ac:dyDescent="0.2"/>
  <cols>
    <col min="1" max="1" width="10.109375" style="19" bestFit="1" customWidth="1"/>
    <col min="2" max="4" width="8.88671875" style="19"/>
    <col min="5" max="5" width="8.6640625" style="19" bestFit="1" customWidth="1"/>
    <col min="6" max="6" width="15.109375" style="19" bestFit="1" customWidth="1"/>
    <col min="7" max="16" width="7.109375" style="19" customWidth="1"/>
    <col min="17" max="17" width="19" style="106" customWidth="1"/>
    <col min="18" max="20" width="9.44140625" style="5" customWidth="1"/>
    <col min="21" max="21" width="7.77734375" style="5" customWidth="1"/>
    <col min="22" max="22" width="7.6640625" style="5" customWidth="1"/>
    <col min="23" max="23" width="7.5546875" style="5" customWidth="1"/>
    <col min="24" max="24" width="6.6640625" style="5" bestFit="1" customWidth="1"/>
    <col min="25" max="16384" width="8.88671875" style="108"/>
  </cols>
  <sheetData>
    <row r="1" spans="1:24" s="107" customFormat="1" ht="26.25" customHeight="1" x14ac:dyDescent="0.2">
      <c r="A1" s="202" t="s">
        <v>219</v>
      </c>
      <c r="B1" s="202" t="s">
        <v>220</v>
      </c>
      <c r="C1" s="202" t="s">
        <v>222</v>
      </c>
      <c r="D1" s="202" t="s">
        <v>223</v>
      </c>
      <c r="E1" s="211" t="s">
        <v>224</v>
      </c>
      <c r="F1" s="202" t="s">
        <v>221</v>
      </c>
      <c r="G1" s="202" t="s">
        <v>1686</v>
      </c>
      <c r="H1" s="202" t="s">
        <v>1687</v>
      </c>
      <c r="I1" s="202" t="s">
        <v>1688</v>
      </c>
      <c r="J1" s="202" t="s">
        <v>1689</v>
      </c>
      <c r="K1" s="202" t="s">
        <v>1690</v>
      </c>
      <c r="L1" s="202" t="s">
        <v>1691</v>
      </c>
      <c r="M1" s="202" t="s">
        <v>1692</v>
      </c>
      <c r="N1" s="202" t="s">
        <v>1693</v>
      </c>
      <c r="O1" s="202" t="s">
        <v>1694</v>
      </c>
      <c r="P1" s="202" t="s">
        <v>1695</v>
      </c>
      <c r="Q1" s="202" t="s">
        <v>1446</v>
      </c>
      <c r="R1" s="203" t="s">
        <v>1475</v>
      </c>
      <c r="S1" s="203" t="s">
        <v>1476</v>
      </c>
      <c r="T1" s="203" t="s">
        <v>1477</v>
      </c>
      <c r="U1" s="203" t="s">
        <v>1746</v>
      </c>
      <c r="V1" s="203" t="s">
        <v>1747</v>
      </c>
      <c r="W1" s="203" t="s">
        <v>1748</v>
      </c>
      <c r="X1" s="205" t="s">
        <v>1474</v>
      </c>
    </row>
    <row r="2" spans="1:24" ht="14.25" customHeight="1" x14ac:dyDescent="0.2">
      <c r="A2" s="137" t="s">
        <v>313</v>
      </c>
      <c r="B2" s="137" t="s">
        <v>1761</v>
      </c>
      <c r="C2" s="137">
        <v>2015</v>
      </c>
      <c r="D2" s="137">
        <v>19</v>
      </c>
      <c r="E2" s="137">
        <v>2634</v>
      </c>
      <c r="F2" s="159" t="s">
        <v>594</v>
      </c>
      <c r="G2" s="137">
        <v>1</v>
      </c>
      <c r="H2" s="137">
        <v>2</v>
      </c>
      <c r="I2" s="137">
        <v>0</v>
      </c>
      <c r="J2" s="137">
        <v>0</v>
      </c>
      <c r="K2" s="137">
        <v>0</v>
      </c>
      <c r="L2" s="137">
        <v>0</v>
      </c>
      <c r="M2" s="137">
        <v>2</v>
      </c>
      <c r="N2" s="137">
        <v>0</v>
      </c>
      <c r="O2" s="137">
        <v>0</v>
      </c>
      <c r="P2" s="137">
        <v>0</v>
      </c>
      <c r="Q2" s="19"/>
    </row>
    <row r="3" spans="1:24" ht="14.25" customHeight="1" x14ac:dyDescent="0.2">
      <c r="E3" s="19" t="s">
        <v>1979</v>
      </c>
    </row>
    <row r="4" spans="1:24" ht="14.25" customHeight="1" x14ac:dyDescent="0.2">
      <c r="E4" s="19" t="s">
        <v>1979</v>
      </c>
    </row>
    <row r="5" spans="1:24" ht="14.25" customHeight="1" x14ac:dyDescent="0.2">
      <c r="E5" s="19" t="s">
        <v>1979</v>
      </c>
    </row>
    <row r="6" spans="1:24" ht="14.25" customHeight="1" x14ac:dyDescent="0.2">
      <c r="E6" s="19" t="s">
        <v>1979</v>
      </c>
    </row>
    <row r="7" spans="1:24" ht="14.25" customHeight="1" x14ac:dyDescent="0.2">
      <c r="E7" s="19" t="s">
        <v>1979</v>
      </c>
    </row>
    <row r="8" spans="1:24" ht="14.25" customHeight="1" x14ac:dyDescent="0.2">
      <c r="E8" s="19" t="s">
        <v>1979</v>
      </c>
    </row>
    <row r="9" spans="1:24" ht="14.25" customHeight="1" x14ac:dyDescent="0.2">
      <c r="E9" s="19" t="s">
        <v>1979</v>
      </c>
    </row>
    <row r="10" spans="1:24" ht="14.25" customHeight="1" x14ac:dyDescent="0.2">
      <c r="E10" s="19" t="s">
        <v>1979</v>
      </c>
    </row>
    <row r="11" spans="1:24" ht="14.25" customHeight="1" x14ac:dyDescent="0.2">
      <c r="E11" s="19" t="s">
        <v>1979</v>
      </c>
    </row>
    <row r="12" spans="1:24" ht="14.25" customHeight="1" x14ac:dyDescent="0.2">
      <c r="E12" s="19" t="s">
        <v>1979</v>
      </c>
    </row>
    <row r="13" spans="1:24" ht="14.25" customHeight="1" x14ac:dyDescent="0.2">
      <c r="E13" s="19" t="s">
        <v>1979</v>
      </c>
    </row>
    <row r="14" spans="1:24" ht="14.25" customHeight="1" x14ac:dyDescent="0.2">
      <c r="E14" s="19" t="s">
        <v>1979</v>
      </c>
    </row>
    <row r="15" spans="1:24" ht="14.25" customHeight="1" x14ac:dyDescent="0.2">
      <c r="E15" s="19" t="s">
        <v>1979</v>
      </c>
    </row>
    <row r="16" spans="1:24" ht="14.25" customHeight="1" x14ac:dyDescent="0.2">
      <c r="E16" s="19" t="s">
        <v>1979</v>
      </c>
    </row>
    <row r="17" spans="5:5" ht="14.25" customHeight="1" x14ac:dyDescent="0.2">
      <c r="E17" s="19" t="s">
        <v>1979</v>
      </c>
    </row>
    <row r="18" spans="5:5" ht="14.25" customHeight="1" x14ac:dyDescent="0.2">
      <c r="E18" s="19" t="s">
        <v>1979</v>
      </c>
    </row>
    <row r="19" spans="5:5" ht="14.25" customHeight="1" x14ac:dyDescent="0.2">
      <c r="E19" s="19" t="s">
        <v>1979</v>
      </c>
    </row>
    <row r="20" spans="5:5" ht="14.25" customHeight="1" x14ac:dyDescent="0.2">
      <c r="E20" s="19" t="s">
        <v>1979</v>
      </c>
    </row>
    <row r="21" spans="5:5" ht="14.25" customHeight="1" x14ac:dyDescent="0.2">
      <c r="E21" s="19" t="s">
        <v>1979</v>
      </c>
    </row>
    <row r="22" spans="5:5" ht="14.25" customHeight="1" x14ac:dyDescent="0.2">
      <c r="E22" s="19" t="s">
        <v>1979</v>
      </c>
    </row>
    <row r="23" spans="5:5" ht="14.25" customHeight="1" x14ac:dyDescent="0.2">
      <c r="E23" s="19" t="s">
        <v>1979</v>
      </c>
    </row>
    <row r="24" spans="5:5" ht="14.25" customHeight="1" x14ac:dyDescent="0.2">
      <c r="E24" s="19" t="s">
        <v>1979</v>
      </c>
    </row>
    <row r="25" spans="5:5" ht="14.25" customHeight="1" x14ac:dyDescent="0.2">
      <c r="E25" s="19" t="s">
        <v>1979</v>
      </c>
    </row>
    <row r="26" spans="5:5" ht="14.25" customHeight="1" x14ac:dyDescent="0.2">
      <c r="E26" s="19" t="s">
        <v>1979</v>
      </c>
    </row>
    <row r="27" spans="5:5" ht="14.25" customHeight="1" x14ac:dyDescent="0.2">
      <c r="E27" s="19" t="s">
        <v>1979</v>
      </c>
    </row>
    <row r="28" spans="5:5" ht="14.25" customHeight="1" x14ac:dyDescent="0.2">
      <c r="E28" s="19" t="s">
        <v>1979</v>
      </c>
    </row>
    <row r="29" spans="5:5" ht="14.25" customHeight="1" x14ac:dyDescent="0.2">
      <c r="E29" s="19" t="s">
        <v>1979</v>
      </c>
    </row>
    <row r="30" spans="5:5" ht="14.25" customHeight="1" x14ac:dyDescent="0.2">
      <c r="E30" s="19" t="s">
        <v>1979</v>
      </c>
    </row>
    <row r="31" spans="5:5" ht="14.25" customHeight="1" x14ac:dyDescent="0.2">
      <c r="E31" s="19" t="s">
        <v>1979</v>
      </c>
    </row>
    <row r="32" spans="5:5" ht="14.25" customHeight="1" x14ac:dyDescent="0.2">
      <c r="E32" s="19" t="s">
        <v>1979</v>
      </c>
    </row>
    <row r="33" spans="5:5" ht="14.25" customHeight="1" x14ac:dyDescent="0.2">
      <c r="E33" s="19" t="s">
        <v>1979</v>
      </c>
    </row>
    <row r="34" spans="5:5" ht="14.25" customHeight="1" x14ac:dyDescent="0.2">
      <c r="E34" s="19" t="s">
        <v>1979</v>
      </c>
    </row>
    <row r="35" spans="5:5" ht="14.25" customHeight="1" x14ac:dyDescent="0.2">
      <c r="E35" s="19" t="s">
        <v>1979</v>
      </c>
    </row>
    <row r="36" spans="5:5" ht="14.25" customHeight="1" x14ac:dyDescent="0.2">
      <c r="E36" s="19" t="s">
        <v>1979</v>
      </c>
    </row>
    <row r="37" spans="5:5" ht="14.25" customHeight="1" x14ac:dyDescent="0.2">
      <c r="E37" s="19" t="s">
        <v>1979</v>
      </c>
    </row>
    <row r="38" spans="5:5" ht="14.25" customHeight="1" x14ac:dyDescent="0.2">
      <c r="E38" s="19" t="s">
        <v>1979</v>
      </c>
    </row>
    <row r="39" spans="5:5" ht="14.25" customHeight="1" x14ac:dyDescent="0.2">
      <c r="E39" s="19" t="s">
        <v>1979</v>
      </c>
    </row>
    <row r="40" spans="5:5" ht="14.25" customHeight="1" x14ac:dyDescent="0.2">
      <c r="E40" s="19" t="s">
        <v>1979</v>
      </c>
    </row>
    <row r="41" spans="5:5" ht="14.25" customHeight="1" x14ac:dyDescent="0.2">
      <c r="E41" s="19" t="s">
        <v>1979</v>
      </c>
    </row>
    <row r="42" spans="5:5" ht="14.25" customHeight="1" x14ac:dyDescent="0.2">
      <c r="E42" s="19" t="s">
        <v>1979</v>
      </c>
    </row>
    <row r="43" spans="5:5" ht="14.25" customHeight="1" x14ac:dyDescent="0.2">
      <c r="E43" s="19" t="s">
        <v>1979</v>
      </c>
    </row>
    <row r="44" spans="5:5" ht="14.25" customHeight="1" x14ac:dyDescent="0.2">
      <c r="E44" s="19" t="s">
        <v>1979</v>
      </c>
    </row>
    <row r="45" spans="5:5" ht="14.25" customHeight="1" x14ac:dyDescent="0.2">
      <c r="E45" s="19" t="s">
        <v>1979</v>
      </c>
    </row>
    <row r="46" spans="5:5" ht="14.25" customHeight="1" x14ac:dyDescent="0.2">
      <c r="E46" s="19" t="s">
        <v>1979</v>
      </c>
    </row>
    <row r="47" spans="5:5" ht="14.25" customHeight="1" x14ac:dyDescent="0.2">
      <c r="E47" s="19" t="s">
        <v>1979</v>
      </c>
    </row>
    <row r="48" spans="5:5" ht="14.25" customHeight="1" x14ac:dyDescent="0.2">
      <c r="E48" s="19" t="s">
        <v>1979</v>
      </c>
    </row>
    <row r="49" spans="5:5" ht="14.25" customHeight="1" x14ac:dyDescent="0.2">
      <c r="E49" s="19" t="s">
        <v>1979</v>
      </c>
    </row>
    <row r="50" spans="5:5" ht="14.25" customHeight="1" x14ac:dyDescent="0.2">
      <c r="E50" s="19" t="s">
        <v>1979</v>
      </c>
    </row>
    <row r="51" spans="5:5" ht="14.25" customHeight="1" x14ac:dyDescent="0.2">
      <c r="E51" s="19" t="s">
        <v>1979</v>
      </c>
    </row>
    <row r="52" spans="5:5" ht="14.25" customHeight="1" x14ac:dyDescent="0.2">
      <c r="E52" s="19" t="s">
        <v>1979</v>
      </c>
    </row>
    <row r="53" spans="5:5" ht="14.25" customHeight="1" x14ac:dyDescent="0.2">
      <c r="E53" s="19" t="s">
        <v>1979</v>
      </c>
    </row>
    <row r="54" spans="5:5" ht="14.25" customHeight="1" x14ac:dyDescent="0.2">
      <c r="E54" s="19" t="s">
        <v>1979</v>
      </c>
    </row>
    <row r="55" spans="5:5" ht="14.25" customHeight="1" x14ac:dyDescent="0.2">
      <c r="E55" s="19" t="s">
        <v>1979</v>
      </c>
    </row>
    <row r="56" spans="5:5" ht="14.25" customHeight="1" x14ac:dyDescent="0.2">
      <c r="E56" s="19" t="s">
        <v>1979</v>
      </c>
    </row>
    <row r="57" spans="5:5" ht="14.25" customHeight="1" x14ac:dyDescent="0.2">
      <c r="E57" s="19" t="s">
        <v>1979</v>
      </c>
    </row>
    <row r="58" spans="5:5" ht="14.25" customHeight="1" x14ac:dyDescent="0.2">
      <c r="E58" s="19" t="s">
        <v>1979</v>
      </c>
    </row>
    <row r="59" spans="5:5" ht="14.25" customHeight="1" x14ac:dyDescent="0.2">
      <c r="E59" s="19" t="s">
        <v>1979</v>
      </c>
    </row>
    <row r="60" spans="5:5" ht="14.25" customHeight="1" x14ac:dyDescent="0.2">
      <c r="E60" s="19" t="s">
        <v>1979</v>
      </c>
    </row>
    <row r="61" spans="5:5" ht="14.25" customHeight="1" x14ac:dyDescent="0.2">
      <c r="E61" s="19" t="s">
        <v>1979</v>
      </c>
    </row>
    <row r="62" spans="5:5" ht="14.25" customHeight="1" x14ac:dyDescent="0.2">
      <c r="E62" s="19" t="s">
        <v>1979</v>
      </c>
    </row>
    <row r="63" spans="5:5" ht="14.25" customHeight="1" x14ac:dyDescent="0.2">
      <c r="E63" s="19" t="s">
        <v>1979</v>
      </c>
    </row>
    <row r="64" spans="5:5" ht="14.25" customHeight="1" x14ac:dyDescent="0.2">
      <c r="E64" s="19" t="s">
        <v>1979</v>
      </c>
    </row>
    <row r="65" spans="5:5" ht="14.25" customHeight="1" x14ac:dyDescent="0.2">
      <c r="E65" s="19" t="s">
        <v>1979</v>
      </c>
    </row>
    <row r="66" spans="5:5" ht="14.25" customHeight="1" x14ac:dyDescent="0.2">
      <c r="E66" s="19" t="s">
        <v>1979</v>
      </c>
    </row>
    <row r="67" spans="5:5" ht="14.25" customHeight="1" x14ac:dyDescent="0.2">
      <c r="E67" s="19" t="s">
        <v>1979</v>
      </c>
    </row>
    <row r="68" spans="5:5" ht="14.25" customHeight="1" x14ac:dyDescent="0.2">
      <c r="E68" s="19" t="s">
        <v>1979</v>
      </c>
    </row>
    <row r="69" spans="5:5" ht="14.25" customHeight="1" x14ac:dyDescent="0.2">
      <c r="E69" s="19" t="s">
        <v>1979</v>
      </c>
    </row>
    <row r="70" spans="5:5" ht="14.25" customHeight="1" x14ac:dyDescent="0.2">
      <c r="E70" s="19" t="s">
        <v>1979</v>
      </c>
    </row>
    <row r="71" spans="5:5" ht="14.25" customHeight="1" x14ac:dyDescent="0.2">
      <c r="E71" s="19" t="s">
        <v>1979</v>
      </c>
    </row>
    <row r="72" spans="5:5" ht="14.25" customHeight="1" x14ac:dyDescent="0.2">
      <c r="E72" s="19" t="s">
        <v>1979</v>
      </c>
    </row>
    <row r="73" spans="5:5" ht="14.25" customHeight="1" x14ac:dyDescent="0.2">
      <c r="E73" s="19" t="s">
        <v>1979</v>
      </c>
    </row>
    <row r="74" spans="5:5" ht="14.25" customHeight="1" x14ac:dyDescent="0.2">
      <c r="E74" s="19" t="s">
        <v>1979</v>
      </c>
    </row>
    <row r="75" spans="5:5" ht="14.25" customHeight="1" x14ac:dyDescent="0.2">
      <c r="E75" s="19" t="s">
        <v>1979</v>
      </c>
    </row>
    <row r="76" spans="5:5" ht="14.25" customHeight="1" x14ac:dyDescent="0.2">
      <c r="E76" s="19" t="s">
        <v>1979</v>
      </c>
    </row>
    <row r="77" spans="5:5" ht="14.25" customHeight="1" x14ac:dyDescent="0.2">
      <c r="E77" s="19" t="s">
        <v>1979</v>
      </c>
    </row>
    <row r="78" spans="5:5" ht="14.25" customHeight="1" x14ac:dyDescent="0.2">
      <c r="E78" s="19" t="s">
        <v>1979</v>
      </c>
    </row>
    <row r="79" spans="5:5" ht="14.25" customHeight="1" x14ac:dyDescent="0.2">
      <c r="E79" s="19" t="s">
        <v>1979</v>
      </c>
    </row>
    <row r="80" spans="5:5" ht="14.25" customHeight="1" x14ac:dyDescent="0.2">
      <c r="E80" s="19" t="s">
        <v>1979</v>
      </c>
    </row>
    <row r="81" spans="5:5" ht="14.25" customHeight="1" x14ac:dyDescent="0.2">
      <c r="E81" s="19" t="s">
        <v>1979</v>
      </c>
    </row>
    <row r="82" spans="5:5" ht="14.25" customHeight="1" x14ac:dyDescent="0.2">
      <c r="E82" s="19" t="s">
        <v>1979</v>
      </c>
    </row>
    <row r="83" spans="5:5" ht="14.25" customHeight="1" x14ac:dyDescent="0.2">
      <c r="E83" s="19" t="s">
        <v>1979</v>
      </c>
    </row>
    <row r="84" spans="5:5" ht="14.25" customHeight="1" x14ac:dyDescent="0.2">
      <c r="E84" s="19" t="s">
        <v>1979</v>
      </c>
    </row>
    <row r="85" spans="5:5" ht="14.25" customHeight="1" x14ac:dyDescent="0.2">
      <c r="E85" s="19" t="s">
        <v>1979</v>
      </c>
    </row>
    <row r="86" spans="5:5" ht="14.25" customHeight="1" x14ac:dyDescent="0.2">
      <c r="E86" s="19" t="s">
        <v>1979</v>
      </c>
    </row>
    <row r="87" spans="5:5" ht="14.25" customHeight="1" x14ac:dyDescent="0.2">
      <c r="E87" s="19" t="s">
        <v>1979</v>
      </c>
    </row>
    <row r="88" spans="5:5" ht="14.25" customHeight="1" x14ac:dyDescent="0.2">
      <c r="E88" s="19" t="s">
        <v>1979</v>
      </c>
    </row>
    <row r="89" spans="5:5" ht="14.25" customHeight="1" x14ac:dyDescent="0.2">
      <c r="E89" s="19" t="s">
        <v>1979</v>
      </c>
    </row>
    <row r="90" spans="5:5" ht="14.25" customHeight="1" x14ac:dyDescent="0.2">
      <c r="E90" s="19" t="s">
        <v>1979</v>
      </c>
    </row>
    <row r="91" spans="5:5" ht="14.25" customHeight="1" x14ac:dyDescent="0.2">
      <c r="E91" s="19" t="s">
        <v>1979</v>
      </c>
    </row>
    <row r="92" spans="5:5" ht="14.25" customHeight="1" x14ac:dyDescent="0.2">
      <c r="E92" s="19" t="s">
        <v>1979</v>
      </c>
    </row>
    <row r="93" spans="5:5" ht="14.25" customHeight="1" x14ac:dyDescent="0.2">
      <c r="E93" s="19" t="s">
        <v>1979</v>
      </c>
    </row>
    <row r="94" spans="5:5" ht="14.25" customHeight="1" x14ac:dyDescent="0.2">
      <c r="E94" s="19" t="s">
        <v>1979</v>
      </c>
    </row>
    <row r="95" spans="5:5" ht="14.25" customHeight="1" x14ac:dyDescent="0.2">
      <c r="E95" s="19" t="s">
        <v>1979</v>
      </c>
    </row>
    <row r="96" spans="5:5" ht="14.25" customHeight="1" x14ac:dyDescent="0.2">
      <c r="E96" s="19" t="s">
        <v>1979</v>
      </c>
    </row>
    <row r="97" spans="5:5" ht="14.25" customHeight="1" x14ac:dyDescent="0.2">
      <c r="E97" s="19" t="s">
        <v>1979</v>
      </c>
    </row>
    <row r="98" spans="5:5" ht="14.25" customHeight="1" x14ac:dyDescent="0.2">
      <c r="E98" s="19" t="s">
        <v>1979</v>
      </c>
    </row>
    <row r="99" spans="5:5" ht="14.25" customHeight="1" x14ac:dyDescent="0.2">
      <c r="E99" s="19" t="s">
        <v>1979</v>
      </c>
    </row>
    <row r="100" spans="5:5" ht="14.25" customHeight="1" x14ac:dyDescent="0.2">
      <c r="E100" s="19" t="s">
        <v>1979</v>
      </c>
    </row>
    <row r="101" spans="5:5" ht="14.25" customHeight="1" x14ac:dyDescent="0.2">
      <c r="E101" s="19" t="s">
        <v>1979</v>
      </c>
    </row>
    <row r="102" spans="5:5" ht="14.25" customHeight="1" x14ac:dyDescent="0.2">
      <c r="E102" s="19" t="s">
        <v>1979</v>
      </c>
    </row>
    <row r="103" spans="5:5" ht="14.25" customHeight="1" x14ac:dyDescent="0.2">
      <c r="E103" s="19" t="s">
        <v>1979</v>
      </c>
    </row>
    <row r="104" spans="5:5" ht="14.25" customHeight="1" x14ac:dyDescent="0.2">
      <c r="E104" s="19" t="s">
        <v>1979</v>
      </c>
    </row>
    <row r="105" spans="5:5" ht="14.25" customHeight="1" x14ac:dyDescent="0.2">
      <c r="E105" s="19" t="s">
        <v>1979</v>
      </c>
    </row>
    <row r="106" spans="5:5" ht="14.25" customHeight="1" x14ac:dyDescent="0.2">
      <c r="E106" s="19" t="s">
        <v>1979</v>
      </c>
    </row>
    <row r="107" spans="5:5" ht="14.25" customHeight="1" x14ac:dyDescent="0.2">
      <c r="E107" s="19" t="s">
        <v>1979</v>
      </c>
    </row>
    <row r="108" spans="5:5" ht="14.25" customHeight="1" x14ac:dyDescent="0.2">
      <c r="E108" s="19" t="s">
        <v>1979</v>
      </c>
    </row>
    <row r="109" spans="5:5" ht="14.25" customHeight="1" x14ac:dyDescent="0.2">
      <c r="E109" s="19" t="s">
        <v>1979</v>
      </c>
    </row>
    <row r="110" spans="5:5" ht="14.25" customHeight="1" x14ac:dyDescent="0.2">
      <c r="E110" s="19" t="s">
        <v>1979</v>
      </c>
    </row>
    <row r="111" spans="5:5" ht="14.25" customHeight="1" x14ac:dyDescent="0.2">
      <c r="E111" s="19" t="s">
        <v>1979</v>
      </c>
    </row>
    <row r="112" spans="5:5" ht="14.25" customHeight="1" x14ac:dyDescent="0.2">
      <c r="E112" s="19" t="s">
        <v>1979</v>
      </c>
    </row>
    <row r="113" spans="5:5" ht="14.25" customHeight="1" x14ac:dyDescent="0.2">
      <c r="E113" s="19" t="s">
        <v>1979</v>
      </c>
    </row>
    <row r="114" spans="5:5" ht="14.25" customHeight="1" x14ac:dyDescent="0.2">
      <c r="E114" s="19" t="s">
        <v>1979</v>
      </c>
    </row>
    <row r="115" spans="5:5" ht="14.25" customHeight="1" x14ac:dyDescent="0.2">
      <c r="E115" s="19" t="s">
        <v>1979</v>
      </c>
    </row>
    <row r="116" spans="5:5" ht="14.25" customHeight="1" x14ac:dyDescent="0.2">
      <c r="E116" s="19" t="s">
        <v>1979</v>
      </c>
    </row>
    <row r="117" spans="5:5" ht="14.25" customHeight="1" x14ac:dyDescent="0.2">
      <c r="E117" s="19" t="s">
        <v>1979</v>
      </c>
    </row>
    <row r="118" spans="5:5" ht="14.25" customHeight="1" x14ac:dyDescent="0.2">
      <c r="E118" s="19" t="s">
        <v>1979</v>
      </c>
    </row>
    <row r="119" spans="5:5" ht="14.25" customHeight="1" x14ac:dyDescent="0.2">
      <c r="E119" s="19" t="s">
        <v>1979</v>
      </c>
    </row>
    <row r="120" spans="5:5" ht="14.25" customHeight="1" x14ac:dyDescent="0.2">
      <c r="E120" s="19" t="s">
        <v>1979</v>
      </c>
    </row>
    <row r="121" spans="5:5" ht="14.25" customHeight="1" x14ac:dyDescent="0.2">
      <c r="E121" s="19" t="s">
        <v>1979</v>
      </c>
    </row>
    <row r="122" spans="5:5" ht="14.25" customHeight="1" x14ac:dyDescent="0.2">
      <c r="E122" s="19" t="s">
        <v>1979</v>
      </c>
    </row>
    <row r="123" spans="5:5" ht="14.25" customHeight="1" x14ac:dyDescent="0.2">
      <c r="E123" s="19" t="s">
        <v>1979</v>
      </c>
    </row>
    <row r="124" spans="5:5" ht="14.25" customHeight="1" x14ac:dyDescent="0.2">
      <c r="E124" s="19" t="s">
        <v>1979</v>
      </c>
    </row>
    <row r="125" spans="5:5" ht="14.25" customHeight="1" x14ac:dyDescent="0.2">
      <c r="E125" s="19" t="s">
        <v>1979</v>
      </c>
    </row>
    <row r="126" spans="5:5" ht="14.25" customHeight="1" x14ac:dyDescent="0.2">
      <c r="E126" s="19" t="s">
        <v>1979</v>
      </c>
    </row>
    <row r="127" spans="5:5" ht="14.25" customHeight="1" x14ac:dyDescent="0.2">
      <c r="E127" s="19" t="s">
        <v>1979</v>
      </c>
    </row>
    <row r="128" spans="5:5" ht="14.25" customHeight="1" x14ac:dyDescent="0.2">
      <c r="E128" s="19" t="s">
        <v>1979</v>
      </c>
    </row>
    <row r="129" spans="5:5" ht="14.25" customHeight="1" x14ac:dyDescent="0.2">
      <c r="E129" s="19" t="s">
        <v>1979</v>
      </c>
    </row>
    <row r="130" spans="5:5" ht="14.25" customHeight="1" x14ac:dyDescent="0.2">
      <c r="E130" s="19" t="s">
        <v>1979</v>
      </c>
    </row>
    <row r="131" spans="5:5" ht="14.25" customHeight="1" x14ac:dyDescent="0.2">
      <c r="E131" s="19" t="s">
        <v>1979</v>
      </c>
    </row>
    <row r="132" spans="5:5" ht="14.25" customHeight="1" x14ac:dyDescent="0.2">
      <c r="E132" s="19" t="s">
        <v>1979</v>
      </c>
    </row>
    <row r="133" spans="5:5" ht="14.25" customHeight="1" x14ac:dyDescent="0.2">
      <c r="E133" s="19" t="s">
        <v>1979</v>
      </c>
    </row>
    <row r="134" spans="5:5" ht="14.25" customHeight="1" x14ac:dyDescent="0.2">
      <c r="E134" s="19" t="s">
        <v>1979</v>
      </c>
    </row>
    <row r="135" spans="5:5" ht="14.25" customHeight="1" x14ac:dyDescent="0.2">
      <c r="E135" s="19" t="s">
        <v>1979</v>
      </c>
    </row>
    <row r="136" spans="5:5" ht="14.25" customHeight="1" x14ac:dyDescent="0.2">
      <c r="E136" s="19" t="s">
        <v>1979</v>
      </c>
    </row>
    <row r="137" spans="5:5" ht="14.25" customHeight="1" x14ac:dyDescent="0.2">
      <c r="E137" s="19" t="s">
        <v>1979</v>
      </c>
    </row>
    <row r="138" spans="5:5" ht="14.25" customHeight="1" x14ac:dyDescent="0.2">
      <c r="E138" s="19" t="s">
        <v>1979</v>
      </c>
    </row>
    <row r="139" spans="5:5" ht="14.25" customHeight="1" x14ac:dyDescent="0.2">
      <c r="E139" s="19" t="s">
        <v>1979</v>
      </c>
    </row>
    <row r="140" spans="5:5" ht="14.25" customHeight="1" x14ac:dyDescent="0.2">
      <c r="E140" s="19" t="s">
        <v>1979</v>
      </c>
    </row>
    <row r="141" spans="5:5" ht="14.25" customHeight="1" x14ac:dyDescent="0.2">
      <c r="E141" s="19" t="s">
        <v>1979</v>
      </c>
    </row>
    <row r="142" spans="5:5" ht="14.25" customHeight="1" x14ac:dyDescent="0.2">
      <c r="E142" s="19" t="s">
        <v>1979</v>
      </c>
    </row>
    <row r="143" spans="5:5" ht="14.25" customHeight="1" x14ac:dyDescent="0.2">
      <c r="E143" s="19" t="s">
        <v>1979</v>
      </c>
    </row>
    <row r="144" spans="5:5" ht="14.25" customHeight="1" x14ac:dyDescent="0.2">
      <c r="E144" s="19" t="s">
        <v>1979</v>
      </c>
    </row>
    <row r="145" spans="5:5" ht="14.25" customHeight="1" x14ac:dyDescent="0.2">
      <c r="E145" s="19" t="s">
        <v>1979</v>
      </c>
    </row>
    <row r="146" spans="5:5" ht="14.25" customHeight="1" x14ac:dyDescent="0.2">
      <c r="E146" s="19" t="s">
        <v>1979</v>
      </c>
    </row>
    <row r="147" spans="5:5" ht="14.25" customHeight="1" x14ac:dyDescent="0.2">
      <c r="E147" s="19" t="s">
        <v>1979</v>
      </c>
    </row>
    <row r="148" spans="5:5" ht="14.25" customHeight="1" x14ac:dyDescent="0.2">
      <c r="E148" s="19" t="s">
        <v>1979</v>
      </c>
    </row>
    <row r="149" spans="5:5" ht="14.25" customHeight="1" x14ac:dyDescent="0.2">
      <c r="E149" s="19" t="s">
        <v>1979</v>
      </c>
    </row>
    <row r="150" spans="5:5" ht="14.25" customHeight="1" x14ac:dyDescent="0.2">
      <c r="E150" s="19" t="s">
        <v>1979</v>
      </c>
    </row>
    <row r="151" spans="5:5" ht="14.25" customHeight="1" x14ac:dyDescent="0.2">
      <c r="E151" s="19" t="s">
        <v>1979</v>
      </c>
    </row>
    <row r="152" spans="5:5" ht="14.25" customHeight="1" x14ac:dyDescent="0.2">
      <c r="E152" s="19" t="s">
        <v>1979</v>
      </c>
    </row>
    <row r="153" spans="5:5" ht="14.25" customHeight="1" x14ac:dyDescent="0.2">
      <c r="E153" s="19" t="s">
        <v>1979</v>
      </c>
    </row>
    <row r="154" spans="5:5" ht="14.25" customHeight="1" x14ac:dyDescent="0.2">
      <c r="E154" s="19" t="s">
        <v>1979</v>
      </c>
    </row>
    <row r="155" spans="5:5" ht="14.25" customHeight="1" x14ac:dyDescent="0.2">
      <c r="E155" s="19" t="s">
        <v>1979</v>
      </c>
    </row>
    <row r="156" spans="5:5" ht="14.25" customHeight="1" x14ac:dyDescent="0.2">
      <c r="E156" s="19" t="s">
        <v>1979</v>
      </c>
    </row>
    <row r="157" spans="5:5" ht="14.25" customHeight="1" x14ac:dyDescent="0.2">
      <c r="E157" s="19" t="s">
        <v>1979</v>
      </c>
    </row>
    <row r="158" spans="5:5" ht="14.25" customHeight="1" x14ac:dyDescent="0.2">
      <c r="E158" s="19" t="s">
        <v>1979</v>
      </c>
    </row>
    <row r="159" spans="5:5" ht="14.25" customHeight="1" x14ac:dyDescent="0.2">
      <c r="E159" s="19" t="s">
        <v>1979</v>
      </c>
    </row>
    <row r="160" spans="5:5" ht="14.25" customHeight="1" x14ac:dyDescent="0.2">
      <c r="E160" s="19" t="s">
        <v>1979</v>
      </c>
    </row>
    <row r="161" spans="5:5" ht="14.25" customHeight="1" x14ac:dyDescent="0.2">
      <c r="E161" s="19" t="s">
        <v>1979</v>
      </c>
    </row>
    <row r="162" spans="5:5" ht="14.25" customHeight="1" x14ac:dyDescent="0.2">
      <c r="E162" s="19" t="s">
        <v>1979</v>
      </c>
    </row>
    <row r="163" spans="5:5" ht="14.25" customHeight="1" x14ac:dyDescent="0.2">
      <c r="E163" s="19" t="s">
        <v>1979</v>
      </c>
    </row>
    <row r="164" spans="5:5" ht="14.25" customHeight="1" x14ac:dyDescent="0.2">
      <c r="E164" s="19" t="s">
        <v>1979</v>
      </c>
    </row>
    <row r="165" spans="5:5" ht="14.25" customHeight="1" x14ac:dyDescent="0.2">
      <c r="E165" s="19" t="s">
        <v>1979</v>
      </c>
    </row>
    <row r="166" spans="5:5" ht="14.25" customHeight="1" x14ac:dyDescent="0.2">
      <c r="E166" s="19" t="s">
        <v>1979</v>
      </c>
    </row>
    <row r="167" spans="5:5" ht="14.25" customHeight="1" x14ac:dyDescent="0.2">
      <c r="E167" s="19" t="s">
        <v>1979</v>
      </c>
    </row>
    <row r="168" spans="5:5" ht="14.25" customHeight="1" x14ac:dyDescent="0.2">
      <c r="E168" s="19" t="s">
        <v>1979</v>
      </c>
    </row>
    <row r="169" spans="5:5" ht="14.25" customHeight="1" x14ac:dyDescent="0.2">
      <c r="E169" s="19" t="s">
        <v>1979</v>
      </c>
    </row>
    <row r="170" spans="5:5" ht="14.25" customHeight="1" x14ac:dyDescent="0.2">
      <c r="E170" s="19" t="s">
        <v>1979</v>
      </c>
    </row>
    <row r="171" spans="5:5" ht="14.25" customHeight="1" x14ac:dyDescent="0.2">
      <c r="E171" s="19" t="s">
        <v>1979</v>
      </c>
    </row>
    <row r="172" spans="5:5" ht="14.25" customHeight="1" x14ac:dyDescent="0.2">
      <c r="E172" s="19" t="s">
        <v>1979</v>
      </c>
    </row>
    <row r="173" spans="5:5" ht="14.25" customHeight="1" x14ac:dyDescent="0.2">
      <c r="E173" s="19" t="s">
        <v>1979</v>
      </c>
    </row>
    <row r="174" spans="5:5" ht="14.25" customHeight="1" x14ac:dyDescent="0.2">
      <c r="E174" s="19" t="s">
        <v>1979</v>
      </c>
    </row>
    <row r="175" spans="5:5" ht="14.25" customHeight="1" x14ac:dyDescent="0.2">
      <c r="E175" s="19" t="s">
        <v>1979</v>
      </c>
    </row>
    <row r="176" spans="5:5" ht="14.25" customHeight="1" x14ac:dyDescent="0.2">
      <c r="E176" s="19" t="s">
        <v>1979</v>
      </c>
    </row>
    <row r="177" spans="5:5" ht="14.25" customHeight="1" x14ac:dyDescent="0.2">
      <c r="E177" s="19" t="s">
        <v>1979</v>
      </c>
    </row>
    <row r="178" spans="5:5" ht="14.25" customHeight="1" x14ac:dyDescent="0.2">
      <c r="E178" s="19" t="s">
        <v>1979</v>
      </c>
    </row>
    <row r="179" spans="5:5" ht="14.25" customHeight="1" x14ac:dyDescent="0.2">
      <c r="E179" s="19" t="s">
        <v>1979</v>
      </c>
    </row>
    <row r="180" spans="5:5" ht="14.25" customHeight="1" x14ac:dyDescent="0.2">
      <c r="E180" s="19" t="s">
        <v>1979</v>
      </c>
    </row>
    <row r="181" spans="5:5" ht="14.25" customHeight="1" x14ac:dyDescent="0.2">
      <c r="E181" s="19" t="s">
        <v>1979</v>
      </c>
    </row>
    <row r="182" spans="5:5" ht="14.25" customHeight="1" x14ac:dyDescent="0.2">
      <c r="E182" s="19" t="s">
        <v>1979</v>
      </c>
    </row>
    <row r="183" spans="5:5" ht="14.25" customHeight="1" x14ac:dyDescent="0.2">
      <c r="E183" s="19" t="s">
        <v>1979</v>
      </c>
    </row>
    <row r="184" spans="5:5" ht="14.25" customHeight="1" x14ac:dyDescent="0.2">
      <c r="E184" s="19" t="s">
        <v>1979</v>
      </c>
    </row>
    <row r="185" spans="5:5" ht="14.25" customHeight="1" x14ac:dyDescent="0.2">
      <c r="E185" s="19" t="s">
        <v>1979</v>
      </c>
    </row>
    <row r="186" spans="5:5" ht="14.25" customHeight="1" x14ac:dyDescent="0.2">
      <c r="E186" s="19" t="s">
        <v>1979</v>
      </c>
    </row>
    <row r="187" spans="5:5" ht="14.25" customHeight="1" x14ac:dyDescent="0.2">
      <c r="E187" s="19" t="s">
        <v>1979</v>
      </c>
    </row>
    <row r="188" spans="5:5" ht="14.25" customHeight="1" x14ac:dyDescent="0.2">
      <c r="E188" s="19" t="s">
        <v>1979</v>
      </c>
    </row>
    <row r="189" spans="5:5" ht="14.25" customHeight="1" x14ac:dyDescent="0.2">
      <c r="E189" s="19" t="s">
        <v>1979</v>
      </c>
    </row>
    <row r="190" spans="5:5" ht="14.25" customHeight="1" x14ac:dyDescent="0.2">
      <c r="E190" s="19" t="s">
        <v>1979</v>
      </c>
    </row>
    <row r="191" spans="5:5" ht="14.25" customHeight="1" x14ac:dyDescent="0.2">
      <c r="E191" s="19" t="s">
        <v>1979</v>
      </c>
    </row>
    <row r="192" spans="5:5" ht="14.25" customHeight="1" x14ac:dyDescent="0.2">
      <c r="E192" s="19" t="s">
        <v>1979</v>
      </c>
    </row>
    <row r="193" spans="5:5" ht="14.25" customHeight="1" x14ac:dyDescent="0.2">
      <c r="E193" s="19" t="s">
        <v>1979</v>
      </c>
    </row>
    <row r="194" spans="5:5" ht="14.25" customHeight="1" x14ac:dyDescent="0.2">
      <c r="E194" s="19" t="s">
        <v>1979</v>
      </c>
    </row>
    <row r="195" spans="5:5" ht="14.25" customHeight="1" x14ac:dyDescent="0.2">
      <c r="E195" s="19" t="s">
        <v>1979</v>
      </c>
    </row>
    <row r="196" spans="5:5" ht="14.25" customHeight="1" x14ac:dyDescent="0.2">
      <c r="E196" s="19" t="s">
        <v>1979</v>
      </c>
    </row>
    <row r="197" spans="5:5" ht="14.25" customHeight="1" x14ac:dyDescent="0.2">
      <c r="E197" s="19" t="s">
        <v>1979</v>
      </c>
    </row>
    <row r="198" spans="5:5" ht="14.25" customHeight="1" x14ac:dyDescent="0.2">
      <c r="E198" s="19" t="s">
        <v>1979</v>
      </c>
    </row>
    <row r="199" spans="5:5" ht="14.25" customHeight="1" x14ac:dyDescent="0.2">
      <c r="E199" s="19" t="s">
        <v>1979</v>
      </c>
    </row>
    <row r="200" spans="5:5" ht="14.25" customHeight="1" x14ac:dyDescent="0.2">
      <c r="E200" s="19" t="s">
        <v>1979</v>
      </c>
    </row>
    <row r="201" spans="5:5" ht="14.25" customHeight="1" x14ac:dyDescent="0.2">
      <c r="E201" s="19" t="s">
        <v>1979</v>
      </c>
    </row>
    <row r="202" spans="5:5" ht="14.25" customHeight="1" x14ac:dyDescent="0.2">
      <c r="E202" s="19" t="s">
        <v>1979</v>
      </c>
    </row>
    <row r="203" spans="5:5" ht="14.25" customHeight="1" x14ac:dyDescent="0.2">
      <c r="E203" s="19" t="s">
        <v>1979</v>
      </c>
    </row>
    <row r="204" spans="5:5" ht="14.25" customHeight="1" x14ac:dyDescent="0.2">
      <c r="E204" s="19" t="s">
        <v>1979</v>
      </c>
    </row>
    <row r="205" spans="5:5" ht="14.25" customHeight="1" x14ac:dyDescent="0.2">
      <c r="E205" s="19" t="s">
        <v>1979</v>
      </c>
    </row>
    <row r="206" spans="5:5" ht="14.25" customHeight="1" x14ac:dyDescent="0.2">
      <c r="E206" s="19" t="s">
        <v>1979</v>
      </c>
    </row>
    <row r="207" spans="5:5" ht="14.25" customHeight="1" x14ac:dyDescent="0.2">
      <c r="E207" s="19" t="s">
        <v>1979</v>
      </c>
    </row>
    <row r="208" spans="5:5" ht="14.25" customHeight="1" x14ac:dyDescent="0.2">
      <c r="E208" s="19" t="s">
        <v>1979</v>
      </c>
    </row>
    <row r="209" spans="5:5" ht="14.25" customHeight="1" x14ac:dyDescent="0.2">
      <c r="E209" s="19" t="s">
        <v>1979</v>
      </c>
    </row>
    <row r="210" spans="5:5" ht="14.25" customHeight="1" x14ac:dyDescent="0.2">
      <c r="E210" s="19" t="s">
        <v>1979</v>
      </c>
    </row>
    <row r="211" spans="5:5" ht="14.25" customHeight="1" x14ac:dyDescent="0.2">
      <c r="E211" s="19" t="s">
        <v>1979</v>
      </c>
    </row>
    <row r="212" spans="5:5" ht="14.25" customHeight="1" x14ac:dyDescent="0.2">
      <c r="E212" s="19" t="s">
        <v>1979</v>
      </c>
    </row>
    <row r="213" spans="5:5" ht="14.25" customHeight="1" x14ac:dyDescent="0.2">
      <c r="E213" s="19" t="s">
        <v>1979</v>
      </c>
    </row>
    <row r="214" spans="5:5" ht="14.25" customHeight="1" x14ac:dyDescent="0.2">
      <c r="E214" s="19" t="s">
        <v>1979</v>
      </c>
    </row>
    <row r="215" spans="5:5" ht="14.25" customHeight="1" x14ac:dyDescent="0.2">
      <c r="E215" s="19" t="s">
        <v>1979</v>
      </c>
    </row>
    <row r="216" spans="5:5" ht="14.25" customHeight="1" x14ac:dyDescent="0.2">
      <c r="E216" s="19" t="s">
        <v>1979</v>
      </c>
    </row>
    <row r="217" spans="5:5" ht="14.25" customHeight="1" x14ac:dyDescent="0.2">
      <c r="E217" s="19" t="s">
        <v>1979</v>
      </c>
    </row>
    <row r="218" spans="5:5" ht="14.25" customHeight="1" x14ac:dyDescent="0.2">
      <c r="E218" s="19" t="s">
        <v>1979</v>
      </c>
    </row>
    <row r="219" spans="5:5" ht="14.25" customHeight="1" x14ac:dyDescent="0.2">
      <c r="E219" s="19" t="s">
        <v>1979</v>
      </c>
    </row>
    <row r="220" spans="5:5" ht="14.25" customHeight="1" x14ac:dyDescent="0.2">
      <c r="E220" s="19" t="s">
        <v>1979</v>
      </c>
    </row>
    <row r="221" spans="5:5" ht="14.25" customHeight="1" x14ac:dyDescent="0.2">
      <c r="E221" s="19" t="s">
        <v>1979</v>
      </c>
    </row>
    <row r="222" spans="5:5" ht="14.25" customHeight="1" x14ac:dyDescent="0.2">
      <c r="E222" s="19" t="s">
        <v>1979</v>
      </c>
    </row>
    <row r="223" spans="5:5" ht="14.25" customHeight="1" x14ac:dyDescent="0.2">
      <c r="E223" s="19" t="s">
        <v>1979</v>
      </c>
    </row>
    <row r="224" spans="5:5" ht="14.25" customHeight="1" x14ac:dyDescent="0.2">
      <c r="E224" s="19" t="s">
        <v>1979</v>
      </c>
    </row>
    <row r="225" spans="5:5" ht="14.25" customHeight="1" x14ac:dyDescent="0.2">
      <c r="E225" s="19" t="s">
        <v>1979</v>
      </c>
    </row>
    <row r="226" spans="5:5" ht="14.25" customHeight="1" x14ac:dyDescent="0.2">
      <c r="E226" s="19" t="s">
        <v>1979</v>
      </c>
    </row>
    <row r="227" spans="5:5" ht="14.25" customHeight="1" x14ac:dyDescent="0.2">
      <c r="E227" s="19" t="s">
        <v>1979</v>
      </c>
    </row>
    <row r="228" spans="5:5" ht="14.25" customHeight="1" x14ac:dyDescent="0.2">
      <c r="E228" s="19" t="s">
        <v>1979</v>
      </c>
    </row>
    <row r="229" spans="5:5" ht="14.25" customHeight="1" x14ac:dyDescent="0.2">
      <c r="E229" s="19" t="s">
        <v>1979</v>
      </c>
    </row>
    <row r="230" spans="5:5" ht="14.25" customHeight="1" x14ac:dyDescent="0.2">
      <c r="E230" s="19" t="s">
        <v>1979</v>
      </c>
    </row>
    <row r="231" spans="5:5" ht="14.25" customHeight="1" x14ac:dyDescent="0.2">
      <c r="E231" s="19" t="s">
        <v>1979</v>
      </c>
    </row>
    <row r="232" spans="5:5" ht="14.25" customHeight="1" x14ac:dyDescent="0.2">
      <c r="E232" s="19" t="s">
        <v>1979</v>
      </c>
    </row>
    <row r="233" spans="5:5" ht="14.25" customHeight="1" x14ac:dyDescent="0.2">
      <c r="E233" s="19" t="s">
        <v>1979</v>
      </c>
    </row>
    <row r="234" spans="5:5" ht="14.25" customHeight="1" x14ac:dyDescent="0.2">
      <c r="E234" s="19" t="s">
        <v>1979</v>
      </c>
    </row>
    <row r="235" spans="5:5" ht="14.25" customHeight="1" x14ac:dyDescent="0.2">
      <c r="E235" s="19" t="s">
        <v>1979</v>
      </c>
    </row>
    <row r="236" spans="5:5" ht="14.25" customHeight="1" x14ac:dyDescent="0.2">
      <c r="E236" s="19" t="s">
        <v>1979</v>
      </c>
    </row>
    <row r="237" spans="5:5" ht="14.25" customHeight="1" x14ac:dyDescent="0.2">
      <c r="E237" s="19" t="s">
        <v>1979</v>
      </c>
    </row>
    <row r="238" spans="5:5" ht="14.25" customHeight="1" x14ac:dyDescent="0.2">
      <c r="E238" s="19" t="s">
        <v>1979</v>
      </c>
    </row>
    <row r="239" spans="5:5" ht="14.25" customHeight="1" x14ac:dyDescent="0.2">
      <c r="E239" s="19" t="s">
        <v>1979</v>
      </c>
    </row>
    <row r="240" spans="5:5" ht="14.25" customHeight="1" x14ac:dyDescent="0.2">
      <c r="E240" s="19" t="s">
        <v>1979</v>
      </c>
    </row>
    <row r="241" spans="5:5" ht="14.25" customHeight="1" x14ac:dyDescent="0.2">
      <c r="E241" s="19" t="s">
        <v>1979</v>
      </c>
    </row>
    <row r="242" spans="5:5" ht="14.25" customHeight="1" x14ac:dyDescent="0.2">
      <c r="E242" s="19" t="s">
        <v>1979</v>
      </c>
    </row>
    <row r="243" spans="5:5" ht="14.25" customHeight="1" x14ac:dyDescent="0.2">
      <c r="E243" s="19" t="s">
        <v>1979</v>
      </c>
    </row>
    <row r="244" spans="5:5" ht="14.25" customHeight="1" x14ac:dyDescent="0.2">
      <c r="E244" s="19" t="s">
        <v>1979</v>
      </c>
    </row>
    <row r="245" spans="5:5" ht="14.25" customHeight="1" x14ac:dyDescent="0.2">
      <c r="E245" s="19" t="s">
        <v>1979</v>
      </c>
    </row>
    <row r="246" spans="5:5" ht="14.25" customHeight="1" x14ac:dyDescent="0.2">
      <c r="E246" s="19" t="s">
        <v>1979</v>
      </c>
    </row>
    <row r="247" spans="5:5" ht="14.25" customHeight="1" x14ac:dyDescent="0.2">
      <c r="E247" s="19" t="s">
        <v>1979</v>
      </c>
    </row>
    <row r="248" spans="5:5" ht="14.25" customHeight="1" x14ac:dyDescent="0.2">
      <c r="E248" s="19" t="s">
        <v>1979</v>
      </c>
    </row>
    <row r="249" spans="5:5" ht="14.25" customHeight="1" x14ac:dyDescent="0.2">
      <c r="E249" s="19" t="s">
        <v>1979</v>
      </c>
    </row>
    <row r="250" spans="5:5" ht="14.25" customHeight="1" x14ac:dyDescent="0.2">
      <c r="E250" s="19" t="s">
        <v>1979</v>
      </c>
    </row>
    <row r="251" spans="5:5" ht="14.25" customHeight="1" x14ac:dyDescent="0.2">
      <c r="E251" s="19" t="s">
        <v>1979</v>
      </c>
    </row>
    <row r="252" spans="5:5" ht="14.25" customHeight="1" x14ac:dyDescent="0.2">
      <c r="E252" s="19" t="s">
        <v>1979</v>
      </c>
    </row>
    <row r="253" spans="5:5" ht="14.25" customHeight="1" x14ac:dyDescent="0.2">
      <c r="E253" s="19" t="s">
        <v>1979</v>
      </c>
    </row>
    <row r="254" spans="5:5" ht="14.25" customHeight="1" x14ac:dyDescent="0.2">
      <c r="E254" s="19" t="s">
        <v>1979</v>
      </c>
    </row>
    <row r="255" spans="5:5" ht="14.25" customHeight="1" x14ac:dyDescent="0.2">
      <c r="E255" s="19" t="s">
        <v>1979</v>
      </c>
    </row>
    <row r="256" spans="5:5" ht="14.25" customHeight="1" x14ac:dyDescent="0.2">
      <c r="E256" s="19" t="s">
        <v>1979</v>
      </c>
    </row>
    <row r="257" spans="5:5" ht="14.25" customHeight="1" x14ac:dyDescent="0.2">
      <c r="E257" s="19" t="s">
        <v>1979</v>
      </c>
    </row>
    <row r="258" spans="5:5" ht="14.25" customHeight="1" x14ac:dyDescent="0.2">
      <c r="E258" s="19" t="s">
        <v>1979</v>
      </c>
    </row>
    <row r="259" spans="5:5" ht="14.25" customHeight="1" x14ac:dyDescent="0.2">
      <c r="E259" s="19" t="s">
        <v>1979</v>
      </c>
    </row>
    <row r="260" spans="5:5" ht="14.25" customHeight="1" x14ac:dyDescent="0.2">
      <c r="E260" s="19" t="s">
        <v>1979</v>
      </c>
    </row>
    <row r="261" spans="5:5" ht="14.25" customHeight="1" x14ac:dyDescent="0.2">
      <c r="E261" s="19" t="s">
        <v>1979</v>
      </c>
    </row>
    <row r="262" spans="5:5" ht="14.25" customHeight="1" x14ac:dyDescent="0.2">
      <c r="E262" s="19" t="s">
        <v>1979</v>
      </c>
    </row>
    <row r="263" spans="5:5" ht="14.25" customHeight="1" x14ac:dyDescent="0.2">
      <c r="E263" s="19" t="s">
        <v>1979</v>
      </c>
    </row>
    <row r="264" spans="5:5" ht="14.25" customHeight="1" x14ac:dyDescent="0.2">
      <c r="E264" s="19" t="s">
        <v>1979</v>
      </c>
    </row>
    <row r="265" spans="5:5" ht="14.25" customHeight="1" x14ac:dyDescent="0.2">
      <c r="E265" s="19" t="s">
        <v>1979</v>
      </c>
    </row>
    <row r="266" spans="5:5" ht="14.25" customHeight="1" x14ac:dyDescent="0.2">
      <c r="E266" s="19" t="s">
        <v>1979</v>
      </c>
    </row>
    <row r="267" spans="5:5" ht="14.25" customHeight="1" x14ac:dyDescent="0.2">
      <c r="E267" s="19" t="s">
        <v>1979</v>
      </c>
    </row>
    <row r="268" spans="5:5" ht="14.25" customHeight="1" x14ac:dyDescent="0.2">
      <c r="E268" s="19" t="s">
        <v>1979</v>
      </c>
    </row>
    <row r="269" spans="5:5" ht="14.25" customHeight="1" x14ac:dyDescent="0.2">
      <c r="E269" s="19" t="s">
        <v>1979</v>
      </c>
    </row>
    <row r="270" spans="5:5" ht="14.25" customHeight="1" x14ac:dyDescent="0.2">
      <c r="E270" s="19" t="s">
        <v>1979</v>
      </c>
    </row>
    <row r="271" spans="5:5" ht="14.25" customHeight="1" x14ac:dyDescent="0.2">
      <c r="E271" s="19" t="s">
        <v>1979</v>
      </c>
    </row>
    <row r="272" spans="5:5" ht="14.25" customHeight="1" x14ac:dyDescent="0.2">
      <c r="E272" s="19" t="s">
        <v>1979</v>
      </c>
    </row>
    <row r="273" spans="5:5" ht="14.25" customHeight="1" x14ac:dyDescent="0.2">
      <c r="E273" s="19" t="s">
        <v>1979</v>
      </c>
    </row>
    <row r="274" spans="5:5" ht="14.25" customHeight="1" x14ac:dyDescent="0.2">
      <c r="E274" s="19" t="s">
        <v>1979</v>
      </c>
    </row>
    <row r="275" spans="5:5" ht="14.25" customHeight="1" x14ac:dyDescent="0.2">
      <c r="E275" s="19" t="s">
        <v>1979</v>
      </c>
    </row>
    <row r="276" spans="5:5" ht="14.25" customHeight="1" x14ac:dyDescent="0.2">
      <c r="E276" s="19" t="s">
        <v>1979</v>
      </c>
    </row>
    <row r="277" spans="5:5" ht="14.25" customHeight="1" x14ac:dyDescent="0.2">
      <c r="E277" s="19" t="s">
        <v>1979</v>
      </c>
    </row>
    <row r="278" spans="5:5" ht="14.25" customHeight="1" x14ac:dyDescent="0.2">
      <c r="E278" s="19" t="s">
        <v>1979</v>
      </c>
    </row>
    <row r="279" spans="5:5" ht="14.25" customHeight="1" x14ac:dyDescent="0.2">
      <c r="E279" s="19" t="s">
        <v>1979</v>
      </c>
    </row>
    <row r="280" spans="5:5" ht="14.25" customHeight="1" x14ac:dyDescent="0.2">
      <c r="E280" s="19" t="s">
        <v>1979</v>
      </c>
    </row>
    <row r="281" spans="5:5" ht="14.25" customHeight="1" x14ac:dyDescent="0.2">
      <c r="E281" s="19" t="s">
        <v>1979</v>
      </c>
    </row>
    <row r="282" spans="5:5" ht="14.25" customHeight="1" x14ac:dyDescent="0.2">
      <c r="E282" s="19" t="s">
        <v>1979</v>
      </c>
    </row>
    <row r="283" spans="5:5" ht="14.25" customHeight="1" x14ac:dyDescent="0.2">
      <c r="E283" s="19" t="s">
        <v>1979</v>
      </c>
    </row>
    <row r="284" spans="5:5" ht="14.25" customHeight="1" x14ac:dyDescent="0.2">
      <c r="E284" s="19" t="s">
        <v>1979</v>
      </c>
    </row>
    <row r="285" spans="5:5" ht="14.25" customHeight="1" x14ac:dyDescent="0.2">
      <c r="E285" s="19" t="s">
        <v>1979</v>
      </c>
    </row>
    <row r="286" spans="5:5" ht="14.25" customHeight="1" x14ac:dyDescent="0.2">
      <c r="E286" s="19" t="s">
        <v>1979</v>
      </c>
    </row>
    <row r="287" spans="5:5" ht="14.25" customHeight="1" x14ac:dyDescent="0.2">
      <c r="E287" s="19" t="s">
        <v>1979</v>
      </c>
    </row>
    <row r="288" spans="5:5" ht="14.25" customHeight="1" x14ac:dyDescent="0.2">
      <c r="E288" s="19" t="s">
        <v>1979</v>
      </c>
    </row>
    <row r="289" spans="5:5" ht="14.25" customHeight="1" x14ac:dyDescent="0.2">
      <c r="E289" s="19" t="s">
        <v>1979</v>
      </c>
    </row>
    <row r="290" spans="5:5" ht="14.25" customHeight="1" x14ac:dyDescent="0.2">
      <c r="E290" s="19" t="s">
        <v>1979</v>
      </c>
    </row>
    <row r="291" spans="5:5" ht="14.25" customHeight="1" x14ac:dyDescent="0.2">
      <c r="E291" s="19" t="s">
        <v>1979</v>
      </c>
    </row>
    <row r="292" spans="5:5" ht="14.25" customHeight="1" x14ac:dyDescent="0.2">
      <c r="E292" s="19" t="s">
        <v>1979</v>
      </c>
    </row>
    <row r="293" spans="5:5" ht="14.25" customHeight="1" x14ac:dyDescent="0.2">
      <c r="E293" s="19" t="s">
        <v>1979</v>
      </c>
    </row>
    <row r="294" spans="5:5" ht="14.25" customHeight="1" x14ac:dyDescent="0.2">
      <c r="E294" s="19" t="s">
        <v>1979</v>
      </c>
    </row>
    <row r="295" spans="5:5" ht="14.25" customHeight="1" x14ac:dyDescent="0.2">
      <c r="E295" s="19" t="s">
        <v>1979</v>
      </c>
    </row>
    <row r="296" spans="5:5" ht="14.25" customHeight="1" x14ac:dyDescent="0.2">
      <c r="E296" s="19" t="s">
        <v>1979</v>
      </c>
    </row>
    <row r="297" spans="5:5" ht="14.25" customHeight="1" x14ac:dyDescent="0.2">
      <c r="E297" s="19" t="s">
        <v>1979</v>
      </c>
    </row>
    <row r="298" spans="5:5" ht="14.25" customHeight="1" x14ac:dyDescent="0.2">
      <c r="E298" s="19" t="s">
        <v>1979</v>
      </c>
    </row>
    <row r="299" spans="5:5" ht="14.25" customHeight="1" x14ac:dyDescent="0.2">
      <c r="E299" s="19" t="s">
        <v>1979</v>
      </c>
    </row>
    <row r="300" spans="5:5" ht="14.25" customHeight="1" x14ac:dyDescent="0.2">
      <c r="E300" s="19" t="s">
        <v>1979</v>
      </c>
    </row>
    <row r="301" spans="5:5" ht="14.25" customHeight="1" x14ac:dyDescent="0.2">
      <c r="E301" s="19" t="s">
        <v>1979</v>
      </c>
    </row>
    <row r="302" spans="5:5" ht="14.25" customHeight="1" x14ac:dyDescent="0.2">
      <c r="E302" s="19" t="s">
        <v>1979</v>
      </c>
    </row>
    <row r="303" spans="5:5" ht="14.25" customHeight="1" x14ac:dyDescent="0.2">
      <c r="E303" s="19" t="s">
        <v>1979</v>
      </c>
    </row>
    <row r="304" spans="5:5" ht="14.25" customHeight="1" x14ac:dyDescent="0.2">
      <c r="E304" s="19" t="s">
        <v>1979</v>
      </c>
    </row>
    <row r="305" spans="5:5" ht="14.25" customHeight="1" x14ac:dyDescent="0.2">
      <c r="E305" s="19" t="s">
        <v>1979</v>
      </c>
    </row>
    <row r="306" spans="5:5" ht="14.25" customHeight="1" x14ac:dyDescent="0.2">
      <c r="E306" s="19" t="s">
        <v>1979</v>
      </c>
    </row>
    <row r="307" spans="5:5" ht="14.25" customHeight="1" x14ac:dyDescent="0.2">
      <c r="E307" s="19" t="s">
        <v>1979</v>
      </c>
    </row>
    <row r="308" spans="5:5" ht="14.25" customHeight="1" x14ac:dyDescent="0.2">
      <c r="E308" s="19" t="s">
        <v>1979</v>
      </c>
    </row>
    <row r="309" spans="5:5" ht="14.25" customHeight="1" x14ac:dyDescent="0.2">
      <c r="E309" s="19" t="s">
        <v>1979</v>
      </c>
    </row>
    <row r="310" spans="5:5" ht="14.25" customHeight="1" x14ac:dyDescent="0.2">
      <c r="E310" s="19" t="s">
        <v>1979</v>
      </c>
    </row>
    <row r="311" spans="5:5" ht="14.25" customHeight="1" x14ac:dyDescent="0.2">
      <c r="E311" s="19" t="s">
        <v>1979</v>
      </c>
    </row>
    <row r="312" spans="5:5" ht="14.25" customHeight="1" x14ac:dyDescent="0.2">
      <c r="E312" s="19" t="s">
        <v>1979</v>
      </c>
    </row>
    <row r="313" spans="5:5" ht="14.25" customHeight="1" x14ac:dyDescent="0.2">
      <c r="E313" s="19" t="s">
        <v>1979</v>
      </c>
    </row>
    <row r="314" spans="5:5" ht="14.25" customHeight="1" x14ac:dyDescent="0.2">
      <c r="E314" s="19" t="s">
        <v>1979</v>
      </c>
    </row>
    <row r="315" spans="5:5" ht="14.25" customHeight="1" x14ac:dyDescent="0.2">
      <c r="E315" s="19" t="s">
        <v>1979</v>
      </c>
    </row>
    <row r="316" spans="5:5" ht="14.25" customHeight="1" x14ac:dyDescent="0.2">
      <c r="E316" s="19" t="s">
        <v>1979</v>
      </c>
    </row>
    <row r="317" spans="5:5" ht="14.25" customHeight="1" x14ac:dyDescent="0.2">
      <c r="E317" s="19" t="s">
        <v>1979</v>
      </c>
    </row>
    <row r="318" spans="5:5" ht="14.25" customHeight="1" x14ac:dyDescent="0.2">
      <c r="E318" s="19" t="s">
        <v>1979</v>
      </c>
    </row>
    <row r="319" spans="5:5" ht="14.25" customHeight="1" x14ac:dyDescent="0.2">
      <c r="E319" s="19" t="s">
        <v>1979</v>
      </c>
    </row>
    <row r="320" spans="5:5" ht="14.25" customHeight="1" x14ac:dyDescent="0.2">
      <c r="E320" s="19" t="s">
        <v>1979</v>
      </c>
    </row>
    <row r="321" spans="5:5" ht="14.25" customHeight="1" x14ac:dyDescent="0.2">
      <c r="E321" s="19" t="s">
        <v>1979</v>
      </c>
    </row>
    <row r="322" spans="5:5" ht="14.25" customHeight="1" x14ac:dyDescent="0.2">
      <c r="E322" s="19" t="s">
        <v>1979</v>
      </c>
    </row>
    <row r="323" spans="5:5" ht="14.25" customHeight="1" x14ac:dyDescent="0.2">
      <c r="E323" s="19" t="s">
        <v>1979</v>
      </c>
    </row>
    <row r="324" spans="5:5" ht="14.25" customHeight="1" x14ac:dyDescent="0.2">
      <c r="E324" s="19" t="s">
        <v>1979</v>
      </c>
    </row>
    <row r="325" spans="5:5" ht="14.25" customHeight="1" x14ac:dyDescent="0.2">
      <c r="E325" s="19" t="s">
        <v>1979</v>
      </c>
    </row>
    <row r="326" spans="5:5" ht="14.25" customHeight="1" x14ac:dyDescent="0.2">
      <c r="E326" s="19" t="s">
        <v>1979</v>
      </c>
    </row>
    <row r="327" spans="5:5" ht="14.25" customHeight="1" x14ac:dyDescent="0.2">
      <c r="E327" s="19" t="s">
        <v>1979</v>
      </c>
    </row>
    <row r="328" spans="5:5" ht="14.25" customHeight="1" x14ac:dyDescent="0.2">
      <c r="E328" s="19" t="s">
        <v>1979</v>
      </c>
    </row>
    <row r="329" spans="5:5" ht="14.25" customHeight="1" x14ac:dyDescent="0.2">
      <c r="E329" s="19" t="s">
        <v>1979</v>
      </c>
    </row>
    <row r="330" spans="5:5" ht="14.25" customHeight="1" x14ac:dyDescent="0.2">
      <c r="E330" s="19" t="s">
        <v>1979</v>
      </c>
    </row>
    <row r="331" spans="5:5" ht="14.25" customHeight="1" x14ac:dyDescent="0.2">
      <c r="E331" s="19" t="s">
        <v>1979</v>
      </c>
    </row>
    <row r="332" spans="5:5" ht="14.25" customHeight="1" x14ac:dyDescent="0.2">
      <c r="E332" s="19" t="s">
        <v>1979</v>
      </c>
    </row>
    <row r="333" spans="5:5" ht="14.25" customHeight="1" x14ac:dyDescent="0.2">
      <c r="E333" s="19" t="s">
        <v>1979</v>
      </c>
    </row>
    <row r="334" spans="5:5" ht="14.25" customHeight="1" x14ac:dyDescent="0.2">
      <c r="E334" s="19" t="s">
        <v>1979</v>
      </c>
    </row>
    <row r="335" spans="5:5" ht="14.25" customHeight="1" x14ac:dyDescent="0.2">
      <c r="E335" s="19" t="s">
        <v>1979</v>
      </c>
    </row>
    <row r="336" spans="5:5" ht="14.25" customHeight="1" x14ac:dyDescent="0.2">
      <c r="E336" s="19" t="s">
        <v>1979</v>
      </c>
    </row>
    <row r="337" spans="5:5" ht="14.25" customHeight="1" x14ac:dyDescent="0.2">
      <c r="E337" s="19" t="s">
        <v>1979</v>
      </c>
    </row>
    <row r="338" spans="5:5" ht="14.25" customHeight="1" x14ac:dyDescent="0.2">
      <c r="E338" s="19" t="s">
        <v>1979</v>
      </c>
    </row>
    <row r="339" spans="5:5" ht="14.25" customHeight="1" x14ac:dyDescent="0.2">
      <c r="E339" s="19" t="s">
        <v>1979</v>
      </c>
    </row>
    <row r="340" spans="5:5" ht="14.25" customHeight="1" x14ac:dyDescent="0.2">
      <c r="E340" s="19" t="s">
        <v>1979</v>
      </c>
    </row>
    <row r="341" spans="5:5" ht="14.25" customHeight="1" x14ac:dyDescent="0.2">
      <c r="E341" s="19" t="s">
        <v>1979</v>
      </c>
    </row>
    <row r="342" spans="5:5" ht="14.25" customHeight="1" x14ac:dyDescent="0.2">
      <c r="E342" s="19" t="s">
        <v>1979</v>
      </c>
    </row>
    <row r="343" spans="5:5" ht="14.25" customHeight="1" x14ac:dyDescent="0.2">
      <c r="E343" s="19" t="s">
        <v>1979</v>
      </c>
    </row>
    <row r="344" spans="5:5" ht="14.25" customHeight="1" x14ac:dyDescent="0.2">
      <c r="E344" s="19" t="s">
        <v>1979</v>
      </c>
    </row>
    <row r="345" spans="5:5" ht="14.25" customHeight="1" x14ac:dyDescent="0.2">
      <c r="E345" s="19" t="s">
        <v>1979</v>
      </c>
    </row>
    <row r="346" spans="5:5" ht="14.25" customHeight="1" x14ac:dyDescent="0.2">
      <c r="E346" s="19" t="s">
        <v>1979</v>
      </c>
    </row>
    <row r="347" spans="5:5" ht="14.25" customHeight="1" x14ac:dyDescent="0.2">
      <c r="E347" s="19" t="s">
        <v>1979</v>
      </c>
    </row>
    <row r="348" spans="5:5" ht="14.25" customHeight="1" x14ac:dyDescent="0.2">
      <c r="E348" s="19" t="s">
        <v>1979</v>
      </c>
    </row>
    <row r="349" spans="5:5" ht="14.25" customHeight="1" x14ac:dyDescent="0.2">
      <c r="E349" s="19" t="s">
        <v>1979</v>
      </c>
    </row>
    <row r="350" spans="5:5" ht="14.25" customHeight="1" x14ac:dyDescent="0.2">
      <c r="E350" s="19" t="s">
        <v>1979</v>
      </c>
    </row>
    <row r="351" spans="5:5" ht="14.25" customHeight="1" x14ac:dyDescent="0.2">
      <c r="E351" s="19" t="s">
        <v>1979</v>
      </c>
    </row>
    <row r="352" spans="5:5" ht="14.25" customHeight="1" x14ac:dyDescent="0.2">
      <c r="E352" s="19" t="s">
        <v>1979</v>
      </c>
    </row>
    <row r="353" spans="5:5" ht="14.25" customHeight="1" x14ac:dyDescent="0.2">
      <c r="E353" s="19" t="s">
        <v>1979</v>
      </c>
    </row>
    <row r="354" spans="5:5" ht="14.25" customHeight="1" x14ac:dyDescent="0.2">
      <c r="E354" s="19" t="s">
        <v>1979</v>
      </c>
    </row>
    <row r="355" spans="5:5" ht="14.25" customHeight="1" x14ac:dyDescent="0.2">
      <c r="E355" s="19" t="s">
        <v>1979</v>
      </c>
    </row>
    <row r="356" spans="5:5" ht="14.25" customHeight="1" x14ac:dyDescent="0.2">
      <c r="E356" s="19" t="s">
        <v>1979</v>
      </c>
    </row>
    <row r="357" spans="5:5" ht="14.25" customHeight="1" x14ac:dyDescent="0.2">
      <c r="E357" s="19" t="s">
        <v>1979</v>
      </c>
    </row>
    <row r="358" spans="5:5" ht="14.25" customHeight="1" x14ac:dyDescent="0.2">
      <c r="E358" s="19" t="s">
        <v>1979</v>
      </c>
    </row>
    <row r="359" spans="5:5" ht="14.25" customHeight="1" x14ac:dyDescent="0.2">
      <c r="E359" s="19" t="s">
        <v>1979</v>
      </c>
    </row>
    <row r="360" spans="5:5" ht="14.25" customHeight="1" x14ac:dyDescent="0.2">
      <c r="E360" s="19" t="s">
        <v>1979</v>
      </c>
    </row>
    <row r="361" spans="5:5" ht="14.25" customHeight="1" x14ac:dyDescent="0.2">
      <c r="E361" s="19" t="s">
        <v>1979</v>
      </c>
    </row>
    <row r="362" spans="5:5" ht="14.25" customHeight="1" x14ac:dyDescent="0.2">
      <c r="E362" s="19" t="s">
        <v>1979</v>
      </c>
    </row>
    <row r="363" spans="5:5" ht="14.25" customHeight="1" x14ac:dyDescent="0.2">
      <c r="E363" s="19" t="s">
        <v>1979</v>
      </c>
    </row>
    <row r="364" spans="5:5" ht="14.25" customHeight="1" x14ac:dyDescent="0.2">
      <c r="E364" s="19" t="s">
        <v>1979</v>
      </c>
    </row>
    <row r="365" spans="5:5" ht="14.25" customHeight="1" x14ac:dyDescent="0.2">
      <c r="E365" s="19" t="s">
        <v>1979</v>
      </c>
    </row>
    <row r="366" spans="5:5" ht="14.25" customHeight="1" x14ac:dyDescent="0.2">
      <c r="E366" s="19" t="s">
        <v>1979</v>
      </c>
    </row>
    <row r="367" spans="5:5" ht="14.25" customHeight="1" x14ac:dyDescent="0.2">
      <c r="E367" s="19" t="s">
        <v>1979</v>
      </c>
    </row>
    <row r="368" spans="5:5" ht="14.25" customHeight="1" x14ac:dyDescent="0.2">
      <c r="E368" s="19" t="s">
        <v>1979</v>
      </c>
    </row>
    <row r="369" spans="5:5" ht="14.25" customHeight="1" x14ac:dyDescent="0.2">
      <c r="E369" s="19" t="s">
        <v>1979</v>
      </c>
    </row>
    <row r="370" spans="5:5" ht="14.25" customHeight="1" x14ac:dyDescent="0.2">
      <c r="E370" s="19" t="s">
        <v>1979</v>
      </c>
    </row>
    <row r="371" spans="5:5" ht="14.25" customHeight="1" x14ac:dyDescent="0.2">
      <c r="E371" s="19" t="s">
        <v>1979</v>
      </c>
    </row>
    <row r="372" spans="5:5" ht="14.25" customHeight="1" x14ac:dyDescent="0.2">
      <c r="E372" s="19" t="s">
        <v>1979</v>
      </c>
    </row>
    <row r="373" spans="5:5" ht="14.25" customHeight="1" x14ac:dyDescent="0.2">
      <c r="E373" s="19" t="s">
        <v>1979</v>
      </c>
    </row>
    <row r="374" spans="5:5" ht="14.25" customHeight="1" x14ac:dyDescent="0.2">
      <c r="E374" s="19" t="s">
        <v>1979</v>
      </c>
    </row>
    <row r="375" spans="5:5" ht="14.25" customHeight="1" x14ac:dyDescent="0.2">
      <c r="E375" s="19" t="s">
        <v>1979</v>
      </c>
    </row>
    <row r="376" spans="5:5" ht="14.25" customHeight="1" x14ac:dyDescent="0.2">
      <c r="E376" s="19" t="s">
        <v>1979</v>
      </c>
    </row>
    <row r="377" spans="5:5" ht="14.25" customHeight="1" x14ac:dyDescent="0.2">
      <c r="E377" s="19" t="s">
        <v>1979</v>
      </c>
    </row>
    <row r="378" spans="5:5" ht="14.25" customHeight="1" x14ac:dyDescent="0.2">
      <c r="E378" s="19" t="s">
        <v>1979</v>
      </c>
    </row>
    <row r="379" spans="5:5" ht="14.25" customHeight="1" x14ac:dyDescent="0.2">
      <c r="E379" s="19" t="s">
        <v>1979</v>
      </c>
    </row>
    <row r="380" spans="5:5" ht="14.25" customHeight="1" x14ac:dyDescent="0.2">
      <c r="E380" s="19" t="s">
        <v>1979</v>
      </c>
    </row>
    <row r="381" spans="5:5" ht="14.25" customHeight="1" x14ac:dyDescent="0.2">
      <c r="E381" s="19" t="s">
        <v>1979</v>
      </c>
    </row>
    <row r="382" spans="5:5" ht="14.25" customHeight="1" x14ac:dyDescent="0.2">
      <c r="E382" s="19" t="s">
        <v>1979</v>
      </c>
    </row>
    <row r="383" spans="5:5" ht="14.25" customHeight="1" x14ac:dyDescent="0.2">
      <c r="E383" s="19" t="s">
        <v>1979</v>
      </c>
    </row>
    <row r="384" spans="5:5" ht="14.25" customHeight="1" x14ac:dyDescent="0.2">
      <c r="E384" s="19" t="s">
        <v>1979</v>
      </c>
    </row>
    <row r="385" spans="5:5" ht="14.25" customHeight="1" x14ac:dyDescent="0.2">
      <c r="E385" s="19" t="s">
        <v>1979</v>
      </c>
    </row>
    <row r="386" spans="5:5" ht="14.25" customHeight="1" x14ac:dyDescent="0.2">
      <c r="E386" s="19" t="s">
        <v>1979</v>
      </c>
    </row>
    <row r="387" spans="5:5" ht="14.25" customHeight="1" x14ac:dyDescent="0.2">
      <c r="E387" s="19" t="s">
        <v>1979</v>
      </c>
    </row>
    <row r="388" spans="5:5" ht="14.25" customHeight="1" x14ac:dyDescent="0.2">
      <c r="E388" s="19" t="s">
        <v>1979</v>
      </c>
    </row>
    <row r="389" spans="5:5" ht="14.25" customHeight="1" x14ac:dyDescent="0.2">
      <c r="E389" s="19" t="s">
        <v>1979</v>
      </c>
    </row>
    <row r="390" spans="5:5" ht="14.25" customHeight="1" x14ac:dyDescent="0.2">
      <c r="E390" s="19" t="s">
        <v>1979</v>
      </c>
    </row>
    <row r="391" spans="5:5" ht="14.25" customHeight="1" x14ac:dyDescent="0.2">
      <c r="E391" s="19" t="s">
        <v>1979</v>
      </c>
    </row>
    <row r="392" spans="5:5" ht="14.25" customHeight="1" x14ac:dyDescent="0.2">
      <c r="E392" s="19" t="s">
        <v>1979</v>
      </c>
    </row>
    <row r="393" spans="5:5" ht="14.25" customHeight="1" x14ac:dyDescent="0.2">
      <c r="E393" s="19" t="s">
        <v>1979</v>
      </c>
    </row>
    <row r="394" spans="5:5" ht="14.25" customHeight="1" x14ac:dyDescent="0.2">
      <c r="E394" s="19" t="s">
        <v>1979</v>
      </c>
    </row>
    <row r="395" spans="5:5" ht="14.25" customHeight="1" x14ac:dyDescent="0.2">
      <c r="E395" s="19" t="s">
        <v>1979</v>
      </c>
    </row>
    <row r="396" spans="5:5" ht="14.25" customHeight="1" x14ac:dyDescent="0.2">
      <c r="E396" s="19" t="s">
        <v>1979</v>
      </c>
    </row>
    <row r="397" spans="5:5" ht="14.25" customHeight="1" x14ac:dyDescent="0.2">
      <c r="E397" s="19" t="s">
        <v>1979</v>
      </c>
    </row>
    <row r="398" spans="5:5" ht="14.25" customHeight="1" x14ac:dyDescent="0.2">
      <c r="E398" s="19" t="s">
        <v>1979</v>
      </c>
    </row>
    <row r="399" spans="5:5" ht="14.25" customHeight="1" x14ac:dyDescent="0.2">
      <c r="E399" s="19" t="s">
        <v>1979</v>
      </c>
    </row>
    <row r="400" spans="5:5" ht="14.25" customHeight="1" x14ac:dyDescent="0.2">
      <c r="E400" s="19" t="s">
        <v>1979</v>
      </c>
    </row>
    <row r="401" spans="5:5" ht="14.25" customHeight="1" x14ac:dyDescent="0.2">
      <c r="E401" s="19" t="s">
        <v>1979</v>
      </c>
    </row>
    <row r="402" spans="5:5" ht="14.25" customHeight="1" x14ac:dyDescent="0.2">
      <c r="E402" s="19" t="s">
        <v>1979</v>
      </c>
    </row>
    <row r="403" spans="5:5" ht="14.25" customHeight="1" x14ac:dyDescent="0.2">
      <c r="E403" s="19" t="s">
        <v>1979</v>
      </c>
    </row>
    <row r="404" spans="5:5" ht="14.25" customHeight="1" x14ac:dyDescent="0.2">
      <c r="E404" s="19" t="s">
        <v>1979</v>
      </c>
    </row>
    <row r="405" spans="5:5" ht="14.25" customHeight="1" x14ac:dyDescent="0.2">
      <c r="E405" s="19" t="s">
        <v>1979</v>
      </c>
    </row>
    <row r="406" spans="5:5" ht="14.25" customHeight="1" x14ac:dyDescent="0.2">
      <c r="E406" s="19" t="s">
        <v>1979</v>
      </c>
    </row>
    <row r="407" spans="5:5" ht="14.25" customHeight="1" x14ac:dyDescent="0.2">
      <c r="E407" s="19" t="s">
        <v>1979</v>
      </c>
    </row>
    <row r="408" spans="5:5" ht="14.25" customHeight="1" x14ac:dyDescent="0.2">
      <c r="E408" s="19" t="s">
        <v>1979</v>
      </c>
    </row>
    <row r="409" spans="5:5" ht="14.25" customHeight="1" x14ac:dyDescent="0.2">
      <c r="E409" s="19" t="s">
        <v>1979</v>
      </c>
    </row>
    <row r="410" spans="5:5" ht="14.25" customHeight="1" x14ac:dyDescent="0.2">
      <c r="E410" s="19" t="s">
        <v>1979</v>
      </c>
    </row>
    <row r="411" spans="5:5" ht="14.25" customHeight="1" x14ac:dyDescent="0.2">
      <c r="E411" s="19" t="s">
        <v>1979</v>
      </c>
    </row>
    <row r="412" spans="5:5" ht="14.25" customHeight="1" x14ac:dyDescent="0.2">
      <c r="E412" s="19" t="s">
        <v>1979</v>
      </c>
    </row>
    <row r="413" spans="5:5" ht="14.25" customHeight="1" x14ac:dyDescent="0.2">
      <c r="E413" s="19" t="s">
        <v>1979</v>
      </c>
    </row>
    <row r="414" spans="5:5" ht="14.25" customHeight="1" x14ac:dyDescent="0.2">
      <c r="E414" s="19" t="s">
        <v>1979</v>
      </c>
    </row>
    <row r="415" spans="5:5" ht="14.25" customHeight="1" x14ac:dyDescent="0.2">
      <c r="E415" s="19" t="s">
        <v>1979</v>
      </c>
    </row>
    <row r="416" spans="5:5" ht="14.25" customHeight="1" x14ac:dyDescent="0.2">
      <c r="E416" s="19" t="s">
        <v>1979</v>
      </c>
    </row>
    <row r="417" spans="5:5" ht="14.25" customHeight="1" x14ac:dyDescent="0.2">
      <c r="E417" s="19" t="s">
        <v>1979</v>
      </c>
    </row>
    <row r="418" spans="5:5" ht="14.25" customHeight="1" x14ac:dyDescent="0.2">
      <c r="E418" s="19" t="s">
        <v>1979</v>
      </c>
    </row>
    <row r="419" spans="5:5" ht="14.25" customHeight="1" x14ac:dyDescent="0.2">
      <c r="E419" s="19" t="s">
        <v>1979</v>
      </c>
    </row>
    <row r="420" spans="5:5" ht="14.25" customHeight="1" x14ac:dyDescent="0.2">
      <c r="E420" s="19" t="s">
        <v>1979</v>
      </c>
    </row>
    <row r="421" spans="5:5" ht="14.25" customHeight="1" x14ac:dyDescent="0.2">
      <c r="E421" s="19" t="s">
        <v>1979</v>
      </c>
    </row>
    <row r="422" spans="5:5" ht="14.25" customHeight="1" x14ac:dyDescent="0.2">
      <c r="E422" s="19" t="s">
        <v>1979</v>
      </c>
    </row>
    <row r="423" spans="5:5" ht="14.25" customHeight="1" x14ac:dyDescent="0.2">
      <c r="E423" s="19" t="s">
        <v>1979</v>
      </c>
    </row>
    <row r="424" spans="5:5" ht="14.25" customHeight="1" x14ac:dyDescent="0.2">
      <c r="E424" s="19" t="s">
        <v>1979</v>
      </c>
    </row>
    <row r="425" spans="5:5" ht="14.25" customHeight="1" x14ac:dyDescent="0.2">
      <c r="E425" s="19" t="s">
        <v>1979</v>
      </c>
    </row>
    <row r="426" spans="5:5" ht="14.25" customHeight="1" x14ac:dyDescent="0.2">
      <c r="E426" s="19" t="s">
        <v>1979</v>
      </c>
    </row>
    <row r="427" spans="5:5" ht="14.25" customHeight="1" x14ac:dyDescent="0.2">
      <c r="E427" s="19" t="s">
        <v>1979</v>
      </c>
    </row>
    <row r="428" spans="5:5" ht="14.25" customHeight="1" x14ac:dyDescent="0.2">
      <c r="E428" s="19" t="s">
        <v>1979</v>
      </c>
    </row>
    <row r="429" spans="5:5" ht="14.25" customHeight="1" x14ac:dyDescent="0.2">
      <c r="E429" s="19" t="s">
        <v>1979</v>
      </c>
    </row>
    <row r="430" spans="5:5" ht="14.25" customHeight="1" x14ac:dyDescent="0.2">
      <c r="E430" s="19" t="s">
        <v>1979</v>
      </c>
    </row>
    <row r="431" spans="5:5" ht="14.25" customHeight="1" x14ac:dyDescent="0.2">
      <c r="E431" s="19" t="s">
        <v>1979</v>
      </c>
    </row>
    <row r="432" spans="5:5" ht="14.25" customHeight="1" x14ac:dyDescent="0.2">
      <c r="E432" s="19" t="s">
        <v>1979</v>
      </c>
    </row>
    <row r="433" spans="5:5" ht="14.25" customHeight="1" x14ac:dyDescent="0.2">
      <c r="E433" s="19" t="s">
        <v>1979</v>
      </c>
    </row>
    <row r="434" spans="5:5" ht="14.25" customHeight="1" x14ac:dyDescent="0.2">
      <c r="E434" s="19" t="s">
        <v>1979</v>
      </c>
    </row>
    <row r="435" spans="5:5" ht="14.25" customHeight="1" x14ac:dyDescent="0.2">
      <c r="E435" s="19" t="s">
        <v>1979</v>
      </c>
    </row>
    <row r="436" spans="5:5" ht="14.25" customHeight="1" x14ac:dyDescent="0.2">
      <c r="E436" s="19" t="s">
        <v>1979</v>
      </c>
    </row>
    <row r="437" spans="5:5" ht="14.25" customHeight="1" x14ac:dyDescent="0.2">
      <c r="E437" s="19" t="s">
        <v>1979</v>
      </c>
    </row>
    <row r="438" spans="5:5" ht="14.25" customHeight="1" x14ac:dyDescent="0.2">
      <c r="E438" s="19" t="s">
        <v>1979</v>
      </c>
    </row>
    <row r="439" spans="5:5" ht="14.25" customHeight="1" x14ac:dyDescent="0.2">
      <c r="E439" s="19" t="s">
        <v>1979</v>
      </c>
    </row>
    <row r="440" spans="5:5" ht="14.25" customHeight="1" x14ac:dyDescent="0.2">
      <c r="E440" s="19" t="s">
        <v>1979</v>
      </c>
    </row>
    <row r="441" spans="5:5" ht="14.25" customHeight="1" x14ac:dyDescent="0.2">
      <c r="E441" s="19" t="s">
        <v>1979</v>
      </c>
    </row>
    <row r="442" spans="5:5" ht="14.25" customHeight="1" x14ac:dyDescent="0.2">
      <c r="E442" s="19" t="s">
        <v>1979</v>
      </c>
    </row>
    <row r="443" spans="5:5" ht="14.25" customHeight="1" x14ac:dyDescent="0.2">
      <c r="E443" s="19" t="s">
        <v>1979</v>
      </c>
    </row>
    <row r="444" spans="5:5" ht="14.25" customHeight="1" x14ac:dyDescent="0.2">
      <c r="E444" s="19" t="s">
        <v>1979</v>
      </c>
    </row>
    <row r="445" spans="5:5" ht="14.25" customHeight="1" x14ac:dyDescent="0.2">
      <c r="E445" s="19" t="s">
        <v>1979</v>
      </c>
    </row>
    <row r="446" spans="5:5" ht="14.25" customHeight="1" x14ac:dyDescent="0.2">
      <c r="E446" s="19" t="s">
        <v>1979</v>
      </c>
    </row>
    <row r="447" spans="5:5" ht="14.25" customHeight="1" x14ac:dyDescent="0.2">
      <c r="E447" s="19" t="s">
        <v>1979</v>
      </c>
    </row>
    <row r="448" spans="5:5" ht="14.25" customHeight="1" x14ac:dyDescent="0.2">
      <c r="E448" s="19" t="s">
        <v>1979</v>
      </c>
    </row>
    <row r="449" spans="5:5" ht="14.25" customHeight="1" x14ac:dyDescent="0.2">
      <c r="E449" s="19" t="s">
        <v>1979</v>
      </c>
    </row>
    <row r="450" spans="5:5" ht="14.25" customHeight="1" x14ac:dyDescent="0.2">
      <c r="E450" s="19" t="s">
        <v>1979</v>
      </c>
    </row>
    <row r="451" spans="5:5" ht="14.25" customHeight="1" x14ac:dyDescent="0.2">
      <c r="E451" s="19" t="s">
        <v>1979</v>
      </c>
    </row>
    <row r="452" spans="5:5" ht="14.25" customHeight="1" x14ac:dyDescent="0.2">
      <c r="E452" s="19" t="s">
        <v>1979</v>
      </c>
    </row>
    <row r="453" spans="5:5" ht="14.25" customHeight="1" x14ac:dyDescent="0.2">
      <c r="E453" s="19" t="s">
        <v>1979</v>
      </c>
    </row>
    <row r="454" spans="5:5" ht="14.25" customHeight="1" x14ac:dyDescent="0.2">
      <c r="E454" s="19" t="s">
        <v>1979</v>
      </c>
    </row>
    <row r="455" spans="5:5" ht="14.25" customHeight="1" x14ac:dyDescent="0.2">
      <c r="E455" s="19" t="s">
        <v>1979</v>
      </c>
    </row>
    <row r="456" spans="5:5" ht="14.25" customHeight="1" x14ac:dyDescent="0.2">
      <c r="E456" s="19" t="s">
        <v>1979</v>
      </c>
    </row>
    <row r="457" spans="5:5" ht="14.25" customHeight="1" x14ac:dyDescent="0.2">
      <c r="E457" s="19" t="s">
        <v>1979</v>
      </c>
    </row>
    <row r="458" spans="5:5" ht="14.25" customHeight="1" x14ac:dyDescent="0.2">
      <c r="E458" s="19" t="s">
        <v>1979</v>
      </c>
    </row>
    <row r="459" spans="5:5" ht="14.25" customHeight="1" x14ac:dyDescent="0.2">
      <c r="E459" s="19" t="s">
        <v>1979</v>
      </c>
    </row>
    <row r="460" spans="5:5" ht="14.25" customHeight="1" x14ac:dyDescent="0.2">
      <c r="E460" s="19" t="s">
        <v>1979</v>
      </c>
    </row>
    <row r="461" spans="5:5" ht="14.25" customHeight="1" x14ac:dyDescent="0.2">
      <c r="E461" s="19" t="s">
        <v>1979</v>
      </c>
    </row>
    <row r="462" spans="5:5" ht="14.25" customHeight="1" x14ac:dyDescent="0.2">
      <c r="E462" s="19" t="s">
        <v>1979</v>
      </c>
    </row>
    <row r="463" spans="5:5" ht="14.25" customHeight="1" x14ac:dyDescent="0.2">
      <c r="E463" s="19" t="s">
        <v>1979</v>
      </c>
    </row>
    <row r="464" spans="5:5" ht="14.25" customHeight="1" x14ac:dyDescent="0.2">
      <c r="E464" s="19" t="s">
        <v>1979</v>
      </c>
    </row>
    <row r="465" spans="5:5" ht="14.25" customHeight="1" x14ac:dyDescent="0.2">
      <c r="E465" s="19" t="s">
        <v>1979</v>
      </c>
    </row>
    <row r="466" spans="5:5" ht="14.25" customHeight="1" x14ac:dyDescent="0.2">
      <c r="E466" s="19" t="s">
        <v>1979</v>
      </c>
    </row>
    <row r="467" spans="5:5" ht="14.25" customHeight="1" x14ac:dyDescent="0.2">
      <c r="E467" s="19" t="s">
        <v>1979</v>
      </c>
    </row>
    <row r="468" spans="5:5" ht="14.25" customHeight="1" x14ac:dyDescent="0.2">
      <c r="E468" s="19" t="s">
        <v>1979</v>
      </c>
    </row>
    <row r="469" spans="5:5" ht="14.25" customHeight="1" x14ac:dyDescent="0.2">
      <c r="E469" s="19" t="s">
        <v>1979</v>
      </c>
    </row>
    <row r="470" spans="5:5" ht="14.25" customHeight="1" x14ac:dyDescent="0.2">
      <c r="E470" s="19" t="s">
        <v>1979</v>
      </c>
    </row>
    <row r="471" spans="5:5" ht="14.25" customHeight="1" x14ac:dyDescent="0.2">
      <c r="E471" s="19" t="s">
        <v>1979</v>
      </c>
    </row>
    <row r="472" spans="5:5" ht="14.25" customHeight="1" x14ac:dyDescent="0.2">
      <c r="E472" s="19" t="s">
        <v>1979</v>
      </c>
    </row>
    <row r="473" spans="5:5" ht="14.25" customHeight="1" x14ac:dyDescent="0.2">
      <c r="E473" s="19" t="s">
        <v>1979</v>
      </c>
    </row>
    <row r="474" spans="5:5" ht="14.25" customHeight="1" x14ac:dyDescent="0.2">
      <c r="E474" s="19" t="s">
        <v>1979</v>
      </c>
    </row>
    <row r="475" spans="5:5" ht="14.25" customHeight="1" x14ac:dyDescent="0.2">
      <c r="E475" s="19" t="s">
        <v>1979</v>
      </c>
    </row>
    <row r="476" spans="5:5" ht="14.25" customHeight="1" x14ac:dyDescent="0.2">
      <c r="E476" s="19" t="s">
        <v>1979</v>
      </c>
    </row>
    <row r="477" spans="5:5" ht="14.25" customHeight="1" x14ac:dyDescent="0.2">
      <c r="E477" s="19" t="s">
        <v>1979</v>
      </c>
    </row>
    <row r="478" spans="5:5" ht="14.25" customHeight="1" x14ac:dyDescent="0.2">
      <c r="E478" s="19" t="s">
        <v>1979</v>
      </c>
    </row>
    <row r="479" spans="5:5" ht="14.25" customHeight="1" x14ac:dyDescent="0.2">
      <c r="E479" s="19" t="s">
        <v>1979</v>
      </c>
    </row>
    <row r="480" spans="5:5" ht="14.25" customHeight="1" x14ac:dyDescent="0.2">
      <c r="E480" s="19" t="s">
        <v>1979</v>
      </c>
    </row>
    <row r="481" spans="5:5" ht="14.25" customHeight="1" x14ac:dyDescent="0.2">
      <c r="E481" s="19" t="s">
        <v>1979</v>
      </c>
    </row>
    <row r="482" spans="5:5" ht="14.25" customHeight="1" x14ac:dyDescent="0.2">
      <c r="E482" s="19" t="s">
        <v>1979</v>
      </c>
    </row>
    <row r="483" spans="5:5" ht="14.25" customHeight="1" x14ac:dyDescent="0.2">
      <c r="E483" s="19" t="s">
        <v>1979</v>
      </c>
    </row>
    <row r="484" spans="5:5" ht="14.25" customHeight="1" x14ac:dyDescent="0.2">
      <c r="E484" s="19" t="s">
        <v>1979</v>
      </c>
    </row>
    <row r="485" spans="5:5" ht="14.25" customHeight="1" x14ac:dyDescent="0.2">
      <c r="E485" s="19" t="s">
        <v>1979</v>
      </c>
    </row>
    <row r="486" spans="5:5" ht="14.25" customHeight="1" x14ac:dyDescent="0.2">
      <c r="E486" s="19" t="s">
        <v>1979</v>
      </c>
    </row>
    <row r="487" spans="5:5" ht="14.25" customHeight="1" x14ac:dyDescent="0.2">
      <c r="E487" s="19" t="s">
        <v>1979</v>
      </c>
    </row>
    <row r="488" spans="5:5" ht="14.25" customHeight="1" x14ac:dyDescent="0.2">
      <c r="E488" s="19" t="s">
        <v>1979</v>
      </c>
    </row>
    <row r="489" spans="5:5" ht="14.25" customHeight="1" x14ac:dyDescent="0.2">
      <c r="E489" s="19" t="s">
        <v>1979</v>
      </c>
    </row>
    <row r="490" spans="5:5" ht="14.25" customHeight="1" x14ac:dyDescent="0.2">
      <c r="E490" s="19" t="s">
        <v>1979</v>
      </c>
    </row>
    <row r="491" spans="5:5" ht="14.25" customHeight="1" x14ac:dyDescent="0.2">
      <c r="E491" s="19" t="s">
        <v>1979</v>
      </c>
    </row>
    <row r="492" spans="5:5" ht="14.25" customHeight="1" x14ac:dyDescent="0.2">
      <c r="E492" s="19" t="s">
        <v>1979</v>
      </c>
    </row>
    <row r="493" spans="5:5" ht="14.25" customHeight="1" x14ac:dyDescent="0.2">
      <c r="E493" s="19" t="s">
        <v>1979</v>
      </c>
    </row>
    <row r="494" spans="5:5" ht="14.25" customHeight="1" x14ac:dyDescent="0.2">
      <c r="E494" s="19" t="s">
        <v>1979</v>
      </c>
    </row>
    <row r="495" spans="5:5" ht="14.25" customHeight="1" x14ac:dyDescent="0.2">
      <c r="E495" s="19" t="s">
        <v>1979</v>
      </c>
    </row>
    <row r="496" spans="5:5" ht="14.25" customHeight="1" x14ac:dyDescent="0.2">
      <c r="E496" s="19" t="s">
        <v>1979</v>
      </c>
    </row>
    <row r="497" spans="5:5" ht="14.25" customHeight="1" x14ac:dyDescent="0.2">
      <c r="E497" s="19" t="s">
        <v>1979</v>
      </c>
    </row>
    <row r="498" spans="5:5" ht="14.25" customHeight="1" x14ac:dyDescent="0.2">
      <c r="E498" s="19" t="s">
        <v>1979</v>
      </c>
    </row>
    <row r="499" spans="5:5" ht="14.25" customHeight="1" x14ac:dyDescent="0.2">
      <c r="E499" s="19" t="s">
        <v>1979</v>
      </c>
    </row>
    <row r="500" spans="5:5" ht="14.25" customHeight="1" x14ac:dyDescent="0.2">
      <c r="E500" s="19" t="s">
        <v>1979</v>
      </c>
    </row>
    <row r="501" spans="5:5" ht="14.25" customHeight="1" x14ac:dyDescent="0.2">
      <c r="E501" s="19" t="s">
        <v>1979</v>
      </c>
    </row>
    <row r="502" spans="5:5" ht="14.25" customHeight="1" x14ac:dyDescent="0.2">
      <c r="E502" s="19" t="s">
        <v>1979</v>
      </c>
    </row>
    <row r="503" spans="5:5" ht="14.25" customHeight="1" x14ac:dyDescent="0.2">
      <c r="E503" s="19" t="s">
        <v>1979</v>
      </c>
    </row>
    <row r="504" spans="5:5" ht="14.25" customHeight="1" x14ac:dyDescent="0.2">
      <c r="E504" s="19" t="s">
        <v>1979</v>
      </c>
    </row>
    <row r="505" spans="5:5" ht="14.25" customHeight="1" x14ac:dyDescent="0.2">
      <c r="E505" s="19" t="s">
        <v>1979</v>
      </c>
    </row>
    <row r="506" spans="5:5" ht="14.25" customHeight="1" x14ac:dyDescent="0.2">
      <c r="E506" s="19" t="s">
        <v>1979</v>
      </c>
    </row>
    <row r="507" spans="5:5" ht="14.25" customHeight="1" x14ac:dyDescent="0.2">
      <c r="E507" s="19" t="s">
        <v>1979</v>
      </c>
    </row>
    <row r="508" spans="5:5" ht="14.25" customHeight="1" x14ac:dyDescent="0.2">
      <c r="E508" s="19" t="s">
        <v>1979</v>
      </c>
    </row>
    <row r="509" spans="5:5" ht="14.25" customHeight="1" x14ac:dyDescent="0.2">
      <c r="E509" s="19" t="s">
        <v>1979</v>
      </c>
    </row>
    <row r="510" spans="5:5" ht="14.25" customHeight="1" x14ac:dyDescent="0.2">
      <c r="E510" s="19" t="s">
        <v>1979</v>
      </c>
    </row>
    <row r="511" spans="5:5" ht="14.25" customHeight="1" x14ac:dyDescent="0.2">
      <c r="E511" s="19" t="s">
        <v>1979</v>
      </c>
    </row>
    <row r="512" spans="5:5" ht="14.25" customHeight="1" x14ac:dyDescent="0.2">
      <c r="E512" s="19" t="s">
        <v>1979</v>
      </c>
    </row>
    <row r="513" spans="5:5" ht="14.25" customHeight="1" x14ac:dyDescent="0.2">
      <c r="E513" s="19" t="s">
        <v>1979</v>
      </c>
    </row>
    <row r="514" spans="5:5" ht="14.25" customHeight="1" x14ac:dyDescent="0.2">
      <c r="E514" s="19" t="s">
        <v>1979</v>
      </c>
    </row>
    <row r="515" spans="5:5" ht="14.25" customHeight="1" x14ac:dyDescent="0.2">
      <c r="E515" s="19" t="s">
        <v>1979</v>
      </c>
    </row>
    <row r="516" spans="5:5" ht="14.25" customHeight="1" x14ac:dyDescent="0.2">
      <c r="E516" s="19" t="s">
        <v>1979</v>
      </c>
    </row>
    <row r="517" spans="5:5" ht="14.25" customHeight="1" x14ac:dyDescent="0.2">
      <c r="E517" s="19" t="s">
        <v>1979</v>
      </c>
    </row>
    <row r="518" spans="5:5" ht="14.25" customHeight="1" x14ac:dyDescent="0.2">
      <c r="E518" s="19" t="s">
        <v>1979</v>
      </c>
    </row>
    <row r="519" spans="5:5" ht="14.25" customHeight="1" x14ac:dyDescent="0.2">
      <c r="E519" s="19" t="s">
        <v>1979</v>
      </c>
    </row>
    <row r="520" spans="5:5" ht="14.25" customHeight="1" x14ac:dyDescent="0.2">
      <c r="E520" s="19" t="s">
        <v>1979</v>
      </c>
    </row>
    <row r="521" spans="5:5" ht="14.25" customHeight="1" x14ac:dyDescent="0.2">
      <c r="E521" s="19" t="s">
        <v>1979</v>
      </c>
    </row>
    <row r="522" spans="5:5" ht="14.25" customHeight="1" x14ac:dyDescent="0.2">
      <c r="E522" s="19" t="s">
        <v>1979</v>
      </c>
    </row>
    <row r="523" spans="5:5" ht="14.25" customHeight="1" x14ac:dyDescent="0.2">
      <c r="E523" s="19" t="s">
        <v>1979</v>
      </c>
    </row>
    <row r="524" spans="5:5" ht="14.25" customHeight="1" x14ac:dyDescent="0.2">
      <c r="E524" s="19" t="s">
        <v>1979</v>
      </c>
    </row>
    <row r="525" spans="5:5" ht="14.25" customHeight="1" x14ac:dyDescent="0.2">
      <c r="E525" s="19" t="s">
        <v>1979</v>
      </c>
    </row>
    <row r="526" spans="5:5" ht="14.25" customHeight="1" x14ac:dyDescent="0.2">
      <c r="E526" s="19" t="s">
        <v>1979</v>
      </c>
    </row>
    <row r="527" spans="5:5" ht="14.25" customHeight="1" x14ac:dyDescent="0.2">
      <c r="E527" s="19" t="s">
        <v>1979</v>
      </c>
    </row>
    <row r="528" spans="5:5" ht="14.25" customHeight="1" x14ac:dyDescent="0.2">
      <c r="E528" s="19" t="s">
        <v>1979</v>
      </c>
    </row>
    <row r="529" spans="5:5" ht="14.25" customHeight="1" x14ac:dyDescent="0.2">
      <c r="E529" s="19" t="s">
        <v>1979</v>
      </c>
    </row>
    <row r="530" spans="5:5" ht="14.25" customHeight="1" x14ac:dyDescent="0.2">
      <c r="E530" s="19" t="s">
        <v>1979</v>
      </c>
    </row>
    <row r="531" spans="5:5" ht="14.25" customHeight="1" x14ac:dyDescent="0.2">
      <c r="E531" s="19" t="s">
        <v>1979</v>
      </c>
    </row>
    <row r="532" spans="5:5" ht="14.25" customHeight="1" x14ac:dyDescent="0.2">
      <c r="E532" s="19" t="s">
        <v>1979</v>
      </c>
    </row>
    <row r="533" spans="5:5" ht="14.25" customHeight="1" x14ac:dyDescent="0.2">
      <c r="E533" s="19" t="s">
        <v>1979</v>
      </c>
    </row>
    <row r="534" spans="5:5" ht="14.25" customHeight="1" x14ac:dyDescent="0.2">
      <c r="E534" s="19" t="s">
        <v>1979</v>
      </c>
    </row>
    <row r="535" spans="5:5" ht="14.25" customHeight="1" x14ac:dyDescent="0.2">
      <c r="E535" s="19" t="s">
        <v>1979</v>
      </c>
    </row>
    <row r="536" spans="5:5" ht="14.25" customHeight="1" x14ac:dyDescent="0.2">
      <c r="E536" s="19" t="s">
        <v>1979</v>
      </c>
    </row>
    <row r="537" spans="5:5" ht="14.25" customHeight="1" x14ac:dyDescent="0.2">
      <c r="E537" s="19" t="s">
        <v>1979</v>
      </c>
    </row>
    <row r="538" spans="5:5" ht="14.25" customHeight="1" x14ac:dyDescent="0.2">
      <c r="E538" s="19" t="s">
        <v>1979</v>
      </c>
    </row>
    <row r="539" spans="5:5" ht="14.25" customHeight="1" x14ac:dyDescent="0.2">
      <c r="E539" s="19" t="s">
        <v>1979</v>
      </c>
    </row>
    <row r="540" spans="5:5" ht="14.25" customHeight="1" x14ac:dyDescent="0.2">
      <c r="E540" s="19" t="s">
        <v>1979</v>
      </c>
    </row>
    <row r="541" spans="5:5" ht="14.25" customHeight="1" x14ac:dyDescent="0.2">
      <c r="E541" s="19" t="s">
        <v>1979</v>
      </c>
    </row>
    <row r="542" spans="5:5" ht="14.25" customHeight="1" x14ac:dyDescent="0.2">
      <c r="E542" s="19" t="s">
        <v>1979</v>
      </c>
    </row>
    <row r="543" spans="5:5" ht="14.25" customHeight="1" x14ac:dyDescent="0.2">
      <c r="E543" s="19" t="s">
        <v>1979</v>
      </c>
    </row>
    <row r="544" spans="5:5" ht="14.25" customHeight="1" x14ac:dyDescent="0.2">
      <c r="E544" s="19" t="s">
        <v>1979</v>
      </c>
    </row>
    <row r="545" spans="5:5" ht="14.25" customHeight="1" x14ac:dyDescent="0.2">
      <c r="E545" s="19" t="s">
        <v>1979</v>
      </c>
    </row>
    <row r="546" spans="5:5" ht="14.25" customHeight="1" x14ac:dyDescent="0.2">
      <c r="E546" s="19" t="s">
        <v>1979</v>
      </c>
    </row>
    <row r="547" spans="5:5" ht="14.25" customHeight="1" x14ac:dyDescent="0.2">
      <c r="E547" s="19" t="s">
        <v>1979</v>
      </c>
    </row>
    <row r="548" spans="5:5" ht="14.25" customHeight="1" x14ac:dyDescent="0.2">
      <c r="E548" s="19" t="s">
        <v>1979</v>
      </c>
    </row>
    <row r="549" spans="5:5" ht="14.25" customHeight="1" x14ac:dyDescent="0.2">
      <c r="E549" s="19" t="s">
        <v>1979</v>
      </c>
    </row>
    <row r="550" spans="5:5" ht="14.25" customHeight="1" x14ac:dyDescent="0.2">
      <c r="E550" s="19" t="s">
        <v>1979</v>
      </c>
    </row>
    <row r="551" spans="5:5" ht="14.25" customHeight="1" x14ac:dyDescent="0.2">
      <c r="E551" s="19" t="s">
        <v>1979</v>
      </c>
    </row>
    <row r="552" spans="5:5" ht="14.25" customHeight="1" x14ac:dyDescent="0.2">
      <c r="E552" s="19" t="s">
        <v>1979</v>
      </c>
    </row>
    <row r="553" spans="5:5" ht="14.25" customHeight="1" x14ac:dyDescent="0.2">
      <c r="E553" s="19" t="s">
        <v>1979</v>
      </c>
    </row>
    <row r="554" spans="5:5" ht="14.25" customHeight="1" x14ac:dyDescent="0.2">
      <c r="E554" s="19" t="s">
        <v>1979</v>
      </c>
    </row>
    <row r="555" spans="5:5" ht="14.25" customHeight="1" x14ac:dyDescent="0.2">
      <c r="E555" s="19" t="s">
        <v>1979</v>
      </c>
    </row>
    <row r="556" spans="5:5" ht="14.25" customHeight="1" x14ac:dyDescent="0.2">
      <c r="E556" s="19" t="s">
        <v>1979</v>
      </c>
    </row>
    <row r="557" spans="5:5" ht="14.25" customHeight="1" x14ac:dyDescent="0.2">
      <c r="E557" s="19" t="s">
        <v>1979</v>
      </c>
    </row>
    <row r="558" spans="5:5" ht="14.25" customHeight="1" x14ac:dyDescent="0.2">
      <c r="E558" s="19" t="s">
        <v>1979</v>
      </c>
    </row>
    <row r="559" spans="5:5" ht="14.25" customHeight="1" x14ac:dyDescent="0.2">
      <c r="E559" s="19" t="s">
        <v>1979</v>
      </c>
    </row>
    <row r="560" spans="5:5" ht="14.25" customHeight="1" x14ac:dyDescent="0.2">
      <c r="E560" s="19" t="s">
        <v>1979</v>
      </c>
    </row>
    <row r="561" spans="5:5" ht="14.25" customHeight="1" x14ac:dyDescent="0.2">
      <c r="E561" s="19" t="s">
        <v>1979</v>
      </c>
    </row>
    <row r="562" spans="5:5" ht="14.25" customHeight="1" x14ac:dyDescent="0.2">
      <c r="E562" s="19" t="s">
        <v>1979</v>
      </c>
    </row>
    <row r="563" spans="5:5" ht="14.25" customHeight="1" x14ac:dyDescent="0.2">
      <c r="E563" s="19" t="s">
        <v>1979</v>
      </c>
    </row>
    <row r="564" spans="5:5" ht="14.25" customHeight="1" x14ac:dyDescent="0.2">
      <c r="E564" s="19" t="s">
        <v>1979</v>
      </c>
    </row>
    <row r="565" spans="5:5" ht="14.25" customHeight="1" x14ac:dyDescent="0.2">
      <c r="E565" s="19" t="s">
        <v>1979</v>
      </c>
    </row>
    <row r="566" spans="5:5" ht="14.25" customHeight="1" x14ac:dyDescent="0.2">
      <c r="E566" s="19" t="s">
        <v>1979</v>
      </c>
    </row>
    <row r="567" spans="5:5" ht="14.25" customHeight="1" x14ac:dyDescent="0.2">
      <c r="E567" s="19" t="s">
        <v>1979</v>
      </c>
    </row>
    <row r="568" spans="5:5" ht="14.25" customHeight="1" x14ac:dyDescent="0.2">
      <c r="E568" s="19" t="s">
        <v>1979</v>
      </c>
    </row>
    <row r="569" spans="5:5" ht="14.25" customHeight="1" x14ac:dyDescent="0.2">
      <c r="E569" s="19" t="s">
        <v>1979</v>
      </c>
    </row>
    <row r="570" spans="5:5" ht="14.25" customHeight="1" x14ac:dyDescent="0.2">
      <c r="E570" s="19" t="s">
        <v>1979</v>
      </c>
    </row>
    <row r="571" spans="5:5" ht="14.25" customHeight="1" x14ac:dyDescent="0.2">
      <c r="E571" s="19" t="s">
        <v>1979</v>
      </c>
    </row>
    <row r="572" spans="5:5" ht="14.25" customHeight="1" x14ac:dyDescent="0.2">
      <c r="E572" s="19" t="s">
        <v>1979</v>
      </c>
    </row>
    <row r="573" spans="5:5" ht="14.25" customHeight="1" x14ac:dyDescent="0.2">
      <c r="E573" s="19" t="s">
        <v>1979</v>
      </c>
    </row>
    <row r="574" spans="5:5" ht="14.25" customHeight="1" x14ac:dyDescent="0.2">
      <c r="E574" s="19" t="s">
        <v>1979</v>
      </c>
    </row>
    <row r="575" spans="5:5" ht="14.25" customHeight="1" x14ac:dyDescent="0.2">
      <c r="E575" s="19" t="s">
        <v>1979</v>
      </c>
    </row>
    <row r="576" spans="5:5" ht="14.25" customHeight="1" x14ac:dyDescent="0.2">
      <c r="E576" s="19" t="s">
        <v>1979</v>
      </c>
    </row>
    <row r="577" spans="5:5" ht="14.25" customHeight="1" x14ac:dyDescent="0.2">
      <c r="E577" s="19" t="s">
        <v>1979</v>
      </c>
    </row>
    <row r="578" spans="5:5" ht="14.25" customHeight="1" x14ac:dyDescent="0.2">
      <c r="E578" s="19" t="s">
        <v>1979</v>
      </c>
    </row>
    <row r="579" spans="5:5" ht="14.25" customHeight="1" x14ac:dyDescent="0.2">
      <c r="E579" s="19" t="s">
        <v>1979</v>
      </c>
    </row>
    <row r="580" spans="5:5" ht="14.25" customHeight="1" x14ac:dyDescent="0.2">
      <c r="E580" s="19" t="s">
        <v>1979</v>
      </c>
    </row>
    <row r="581" spans="5:5" ht="14.25" customHeight="1" x14ac:dyDescent="0.2">
      <c r="E581" s="19" t="s">
        <v>1979</v>
      </c>
    </row>
    <row r="582" spans="5:5" ht="14.25" customHeight="1" x14ac:dyDescent="0.2">
      <c r="E582" s="19" t="s">
        <v>1979</v>
      </c>
    </row>
    <row r="583" spans="5:5" ht="14.25" customHeight="1" x14ac:dyDescent="0.2">
      <c r="E583" s="19" t="s">
        <v>1979</v>
      </c>
    </row>
    <row r="584" spans="5:5" ht="14.25" customHeight="1" x14ac:dyDescent="0.2">
      <c r="E584" s="19" t="s">
        <v>1979</v>
      </c>
    </row>
    <row r="585" spans="5:5" ht="14.25" customHeight="1" x14ac:dyDescent="0.2">
      <c r="E585" s="19" t="s">
        <v>1979</v>
      </c>
    </row>
    <row r="586" spans="5:5" ht="14.25" customHeight="1" x14ac:dyDescent="0.2">
      <c r="E586" s="19" t="s">
        <v>1979</v>
      </c>
    </row>
    <row r="587" spans="5:5" ht="14.25" customHeight="1" x14ac:dyDescent="0.2">
      <c r="E587" s="19" t="s">
        <v>1979</v>
      </c>
    </row>
    <row r="588" spans="5:5" ht="14.25" customHeight="1" x14ac:dyDescent="0.2">
      <c r="E588" s="19" t="s">
        <v>1979</v>
      </c>
    </row>
    <row r="589" spans="5:5" ht="14.25" customHeight="1" x14ac:dyDescent="0.2">
      <c r="E589" s="19" t="s">
        <v>1979</v>
      </c>
    </row>
    <row r="590" spans="5:5" ht="14.25" customHeight="1" x14ac:dyDescent="0.2">
      <c r="E590" s="19" t="s">
        <v>1979</v>
      </c>
    </row>
    <row r="591" spans="5:5" ht="14.25" customHeight="1" x14ac:dyDescent="0.2">
      <c r="E591" s="19" t="s">
        <v>1979</v>
      </c>
    </row>
    <row r="592" spans="5:5" ht="14.25" customHeight="1" x14ac:dyDescent="0.2">
      <c r="E592" s="19" t="s">
        <v>1979</v>
      </c>
    </row>
    <row r="593" spans="5:5" ht="14.25" customHeight="1" x14ac:dyDescent="0.2">
      <c r="E593" s="19" t="s">
        <v>1979</v>
      </c>
    </row>
    <row r="594" spans="5:5" ht="14.25" customHeight="1" x14ac:dyDescent="0.2">
      <c r="E594" s="19" t="s">
        <v>1979</v>
      </c>
    </row>
    <row r="595" spans="5:5" ht="14.25" customHeight="1" x14ac:dyDescent="0.2">
      <c r="E595" s="19" t="s">
        <v>1979</v>
      </c>
    </row>
    <row r="596" spans="5:5" ht="14.25" customHeight="1" x14ac:dyDescent="0.2">
      <c r="E596" s="19" t="s">
        <v>1979</v>
      </c>
    </row>
    <row r="597" spans="5:5" ht="14.25" customHeight="1" x14ac:dyDescent="0.2">
      <c r="E597" s="19" t="s">
        <v>1979</v>
      </c>
    </row>
    <row r="598" spans="5:5" ht="14.25" customHeight="1" x14ac:dyDescent="0.2">
      <c r="E598" s="19" t="s">
        <v>1979</v>
      </c>
    </row>
    <row r="599" spans="5:5" ht="14.25" customHeight="1" x14ac:dyDescent="0.2">
      <c r="E599" s="19" t="s">
        <v>1979</v>
      </c>
    </row>
    <row r="600" spans="5:5" ht="14.25" customHeight="1" x14ac:dyDescent="0.2">
      <c r="E600" s="19" t="s">
        <v>1979</v>
      </c>
    </row>
    <row r="601" spans="5:5" ht="14.25" customHeight="1" x14ac:dyDescent="0.2">
      <c r="E601" s="19" t="s">
        <v>1979</v>
      </c>
    </row>
    <row r="602" spans="5:5" ht="14.25" customHeight="1" x14ac:dyDescent="0.2">
      <c r="E602" s="19" t="s">
        <v>1979</v>
      </c>
    </row>
    <row r="603" spans="5:5" ht="14.25" customHeight="1" x14ac:dyDescent="0.2">
      <c r="E603" s="19" t="s">
        <v>1979</v>
      </c>
    </row>
    <row r="604" spans="5:5" ht="14.25" customHeight="1" x14ac:dyDescent="0.2">
      <c r="E604" s="19" t="s">
        <v>1979</v>
      </c>
    </row>
    <row r="605" spans="5:5" ht="14.25" customHeight="1" x14ac:dyDescent="0.2">
      <c r="E605" s="19" t="s">
        <v>1979</v>
      </c>
    </row>
    <row r="606" spans="5:5" ht="14.25" customHeight="1" x14ac:dyDescent="0.2">
      <c r="E606" s="19" t="s">
        <v>1979</v>
      </c>
    </row>
    <row r="607" spans="5:5" ht="14.25" customHeight="1" x14ac:dyDescent="0.2">
      <c r="E607" s="19" t="s">
        <v>1979</v>
      </c>
    </row>
    <row r="608" spans="5:5" ht="14.25" customHeight="1" x14ac:dyDescent="0.2">
      <c r="E608" s="19" t="s">
        <v>1979</v>
      </c>
    </row>
    <row r="609" spans="5:5" ht="14.25" customHeight="1" x14ac:dyDescent="0.2">
      <c r="E609" s="19" t="s">
        <v>1979</v>
      </c>
    </row>
    <row r="610" spans="5:5" ht="14.25" customHeight="1" x14ac:dyDescent="0.2">
      <c r="E610" s="19" t="s">
        <v>1979</v>
      </c>
    </row>
    <row r="611" spans="5:5" ht="14.25" customHeight="1" x14ac:dyDescent="0.2">
      <c r="E611" s="19" t="s">
        <v>1979</v>
      </c>
    </row>
    <row r="612" spans="5:5" ht="14.25" customHeight="1" x14ac:dyDescent="0.2">
      <c r="E612" s="19" t="s">
        <v>1979</v>
      </c>
    </row>
    <row r="613" spans="5:5" ht="14.25" customHeight="1" x14ac:dyDescent="0.2">
      <c r="E613" s="19" t="s">
        <v>1979</v>
      </c>
    </row>
    <row r="614" spans="5:5" ht="14.25" customHeight="1" x14ac:dyDescent="0.2">
      <c r="E614" s="19" t="s">
        <v>1979</v>
      </c>
    </row>
    <row r="615" spans="5:5" ht="14.25" customHeight="1" x14ac:dyDescent="0.2">
      <c r="E615" s="19" t="s">
        <v>1979</v>
      </c>
    </row>
    <row r="616" spans="5:5" ht="14.25" customHeight="1" x14ac:dyDescent="0.2">
      <c r="E616" s="19" t="s">
        <v>1979</v>
      </c>
    </row>
    <row r="617" spans="5:5" ht="14.25" customHeight="1" x14ac:dyDescent="0.2">
      <c r="E617" s="19" t="s">
        <v>1979</v>
      </c>
    </row>
    <row r="618" spans="5:5" ht="14.25" customHeight="1" x14ac:dyDescent="0.2">
      <c r="E618" s="19" t="s">
        <v>1979</v>
      </c>
    </row>
    <row r="619" spans="5:5" ht="14.25" customHeight="1" x14ac:dyDescent="0.2">
      <c r="E619" s="19" t="s">
        <v>1979</v>
      </c>
    </row>
    <row r="620" spans="5:5" ht="14.25" customHeight="1" x14ac:dyDescent="0.2">
      <c r="E620" s="19" t="s">
        <v>1979</v>
      </c>
    </row>
    <row r="621" spans="5:5" ht="14.25" customHeight="1" x14ac:dyDescent="0.2">
      <c r="E621" s="19" t="s">
        <v>1979</v>
      </c>
    </row>
    <row r="622" spans="5:5" ht="14.25" customHeight="1" x14ac:dyDescent="0.2">
      <c r="E622" s="19" t="s">
        <v>1979</v>
      </c>
    </row>
    <row r="623" spans="5:5" ht="14.25" customHeight="1" x14ac:dyDescent="0.2">
      <c r="E623" s="19" t="s">
        <v>1979</v>
      </c>
    </row>
    <row r="624" spans="5:5" ht="14.25" customHeight="1" x14ac:dyDescent="0.2">
      <c r="E624" s="19" t="s">
        <v>1979</v>
      </c>
    </row>
    <row r="625" spans="5:5" ht="14.25" customHeight="1" x14ac:dyDescent="0.2">
      <c r="E625" s="19" t="s">
        <v>1979</v>
      </c>
    </row>
    <row r="626" spans="5:5" ht="14.25" customHeight="1" x14ac:dyDescent="0.2">
      <c r="E626" s="19" t="s">
        <v>1979</v>
      </c>
    </row>
    <row r="627" spans="5:5" ht="14.25" customHeight="1" x14ac:dyDescent="0.2">
      <c r="E627" s="19" t="s">
        <v>1979</v>
      </c>
    </row>
    <row r="628" spans="5:5" ht="14.25" customHeight="1" x14ac:dyDescent="0.2">
      <c r="E628" s="19" t="s">
        <v>1979</v>
      </c>
    </row>
    <row r="629" spans="5:5" ht="14.25" customHeight="1" x14ac:dyDescent="0.2">
      <c r="E629" s="19" t="s">
        <v>1979</v>
      </c>
    </row>
    <row r="630" spans="5:5" ht="14.25" customHeight="1" x14ac:dyDescent="0.2">
      <c r="E630" s="19" t="s">
        <v>1979</v>
      </c>
    </row>
    <row r="631" spans="5:5" ht="14.25" customHeight="1" x14ac:dyDescent="0.2">
      <c r="E631" s="19" t="s">
        <v>1979</v>
      </c>
    </row>
    <row r="632" spans="5:5" ht="14.25" customHeight="1" x14ac:dyDescent="0.2">
      <c r="E632" s="19" t="s">
        <v>1979</v>
      </c>
    </row>
    <row r="633" spans="5:5" ht="14.25" customHeight="1" x14ac:dyDescent="0.2">
      <c r="E633" s="19" t="s">
        <v>1979</v>
      </c>
    </row>
    <row r="634" spans="5:5" ht="14.25" customHeight="1" x14ac:dyDescent="0.2">
      <c r="E634" s="19" t="s">
        <v>1979</v>
      </c>
    </row>
    <row r="635" spans="5:5" ht="14.25" customHeight="1" x14ac:dyDescent="0.2">
      <c r="E635" s="19" t="s">
        <v>1979</v>
      </c>
    </row>
    <row r="636" spans="5:5" ht="14.25" customHeight="1" x14ac:dyDescent="0.2">
      <c r="E636" s="19" t="s">
        <v>1979</v>
      </c>
    </row>
    <row r="637" spans="5:5" ht="14.25" customHeight="1" x14ac:dyDescent="0.2">
      <c r="E637" s="19" t="s">
        <v>1979</v>
      </c>
    </row>
    <row r="638" spans="5:5" ht="14.25" customHeight="1" x14ac:dyDescent="0.2">
      <c r="E638" s="19" t="s">
        <v>1979</v>
      </c>
    </row>
    <row r="639" spans="5:5" ht="14.25" customHeight="1" x14ac:dyDescent="0.2">
      <c r="E639" s="19" t="s">
        <v>1979</v>
      </c>
    </row>
    <row r="640" spans="5:5" ht="14.25" customHeight="1" x14ac:dyDescent="0.2">
      <c r="E640" s="19" t="s">
        <v>1979</v>
      </c>
    </row>
    <row r="641" spans="5:5" ht="14.25" customHeight="1" x14ac:dyDescent="0.2">
      <c r="E641" s="19" t="s">
        <v>1979</v>
      </c>
    </row>
    <row r="642" spans="5:5" ht="14.25" customHeight="1" x14ac:dyDescent="0.2">
      <c r="E642" s="19" t="s">
        <v>1979</v>
      </c>
    </row>
    <row r="643" spans="5:5" ht="14.25" customHeight="1" x14ac:dyDescent="0.2">
      <c r="E643" s="19" t="s">
        <v>1979</v>
      </c>
    </row>
    <row r="644" spans="5:5" ht="14.25" customHeight="1" x14ac:dyDescent="0.2">
      <c r="E644" s="19" t="s">
        <v>1979</v>
      </c>
    </row>
    <row r="645" spans="5:5" ht="14.25" customHeight="1" x14ac:dyDescent="0.2">
      <c r="E645" s="19" t="s">
        <v>1979</v>
      </c>
    </row>
    <row r="646" spans="5:5" ht="14.25" customHeight="1" x14ac:dyDescent="0.2">
      <c r="E646" s="19" t="s">
        <v>1979</v>
      </c>
    </row>
    <row r="647" spans="5:5" ht="14.25" customHeight="1" x14ac:dyDescent="0.2">
      <c r="E647" s="19" t="s">
        <v>1979</v>
      </c>
    </row>
    <row r="648" spans="5:5" ht="14.25" customHeight="1" x14ac:dyDescent="0.2">
      <c r="E648" s="19" t="s">
        <v>1979</v>
      </c>
    </row>
    <row r="649" spans="5:5" ht="14.25" customHeight="1" x14ac:dyDescent="0.2">
      <c r="E649" s="19" t="s">
        <v>1979</v>
      </c>
    </row>
    <row r="650" spans="5:5" ht="14.25" customHeight="1" x14ac:dyDescent="0.2">
      <c r="E650" s="19" t="s">
        <v>1979</v>
      </c>
    </row>
    <row r="651" spans="5:5" ht="14.25" customHeight="1" x14ac:dyDescent="0.2">
      <c r="E651" s="19" t="s">
        <v>1979</v>
      </c>
    </row>
    <row r="652" spans="5:5" ht="14.25" customHeight="1" x14ac:dyDescent="0.2">
      <c r="E652" s="19" t="s">
        <v>1979</v>
      </c>
    </row>
    <row r="653" spans="5:5" ht="14.25" customHeight="1" x14ac:dyDescent="0.2">
      <c r="E653" s="19" t="s">
        <v>1979</v>
      </c>
    </row>
    <row r="654" spans="5:5" ht="14.25" customHeight="1" x14ac:dyDescent="0.2">
      <c r="E654" s="19" t="s">
        <v>1979</v>
      </c>
    </row>
    <row r="655" spans="5:5" ht="14.25" customHeight="1" x14ac:dyDescent="0.2">
      <c r="E655" s="19" t="s">
        <v>1979</v>
      </c>
    </row>
    <row r="656" spans="5:5" ht="14.25" customHeight="1" x14ac:dyDescent="0.2">
      <c r="E656" s="19" t="s">
        <v>1979</v>
      </c>
    </row>
    <row r="657" spans="5:5" ht="14.25" customHeight="1" x14ac:dyDescent="0.2">
      <c r="E657" s="19" t="s">
        <v>1979</v>
      </c>
    </row>
    <row r="658" spans="5:5" ht="14.25" customHeight="1" x14ac:dyDescent="0.2">
      <c r="E658" s="19" t="s">
        <v>1979</v>
      </c>
    </row>
    <row r="659" spans="5:5" ht="14.25" customHeight="1" x14ac:dyDescent="0.2">
      <c r="E659" s="19" t="s">
        <v>1979</v>
      </c>
    </row>
    <row r="660" spans="5:5" ht="14.25" customHeight="1" x14ac:dyDescent="0.2">
      <c r="E660" s="19" t="s">
        <v>1979</v>
      </c>
    </row>
    <row r="661" spans="5:5" ht="14.25" customHeight="1" x14ac:dyDescent="0.2">
      <c r="E661" s="19" t="s">
        <v>1979</v>
      </c>
    </row>
    <row r="662" spans="5:5" ht="14.25" customHeight="1" x14ac:dyDescent="0.2">
      <c r="E662" s="19" t="s">
        <v>1979</v>
      </c>
    </row>
    <row r="663" spans="5:5" ht="14.25" customHeight="1" x14ac:dyDescent="0.2">
      <c r="E663" s="19" t="s">
        <v>1979</v>
      </c>
    </row>
    <row r="664" spans="5:5" ht="14.25" customHeight="1" x14ac:dyDescent="0.2">
      <c r="E664" s="19" t="s">
        <v>1979</v>
      </c>
    </row>
    <row r="665" spans="5:5" ht="14.25" customHeight="1" x14ac:dyDescent="0.2">
      <c r="E665" s="19" t="s">
        <v>1979</v>
      </c>
    </row>
    <row r="666" spans="5:5" ht="14.25" customHeight="1" x14ac:dyDescent="0.2">
      <c r="E666" s="19" t="s">
        <v>1979</v>
      </c>
    </row>
    <row r="667" spans="5:5" ht="14.25" customHeight="1" x14ac:dyDescent="0.2">
      <c r="E667" s="19" t="s">
        <v>1979</v>
      </c>
    </row>
    <row r="668" spans="5:5" ht="14.25" customHeight="1" x14ac:dyDescent="0.2">
      <c r="E668" s="19" t="s">
        <v>1979</v>
      </c>
    </row>
    <row r="669" spans="5:5" ht="14.25" customHeight="1" x14ac:dyDescent="0.2">
      <c r="E669" s="19" t="s">
        <v>1979</v>
      </c>
    </row>
    <row r="670" spans="5:5" ht="14.25" customHeight="1" x14ac:dyDescent="0.2">
      <c r="E670" s="19" t="s">
        <v>1979</v>
      </c>
    </row>
    <row r="671" spans="5:5" ht="14.25" customHeight="1" x14ac:dyDescent="0.2">
      <c r="E671" s="19" t="s">
        <v>1979</v>
      </c>
    </row>
    <row r="672" spans="5:5" ht="14.25" customHeight="1" x14ac:dyDescent="0.2">
      <c r="E672" s="19" t="s">
        <v>1979</v>
      </c>
    </row>
    <row r="673" spans="5:5" ht="14.25" customHeight="1" x14ac:dyDescent="0.2">
      <c r="E673" s="19" t="s">
        <v>1979</v>
      </c>
    </row>
    <row r="674" spans="5:5" ht="14.25" customHeight="1" x14ac:dyDescent="0.2">
      <c r="E674" s="19" t="s">
        <v>1979</v>
      </c>
    </row>
    <row r="675" spans="5:5" ht="14.25" customHeight="1" x14ac:dyDescent="0.2">
      <c r="E675" s="19" t="s">
        <v>1979</v>
      </c>
    </row>
    <row r="676" spans="5:5" ht="14.25" customHeight="1" x14ac:dyDescent="0.2">
      <c r="E676" s="19" t="s">
        <v>1979</v>
      </c>
    </row>
    <row r="677" spans="5:5" ht="14.25" customHeight="1" x14ac:dyDescent="0.2">
      <c r="E677" s="19" t="s">
        <v>1979</v>
      </c>
    </row>
    <row r="678" spans="5:5" ht="14.25" customHeight="1" x14ac:dyDescent="0.2">
      <c r="E678" s="19" t="s">
        <v>1979</v>
      </c>
    </row>
    <row r="679" spans="5:5" ht="14.25" customHeight="1" x14ac:dyDescent="0.2">
      <c r="E679" s="19" t="s">
        <v>1979</v>
      </c>
    </row>
    <row r="680" spans="5:5" ht="14.25" customHeight="1" x14ac:dyDescent="0.2">
      <c r="E680" s="19" t="s">
        <v>1979</v>
      </c>
    </row>
    <row r="681" spans="5:5" ht="14.25" customHeight="1" x14ac:dyDescent="0.2">
      <c r="E681" s="19" t="s">
        <v>1979</v>
      </c>
    </row>
    <row r="682" spans="5:5" ht="14.25" customHeight="1" x14ac:dyDescent="0.2">
      <c r="E682" s="19" t="s">
        <v>1979</v>
      </c>
    </row>
    <row r="683" spans="5:5" ht="14.25" customHeight="1" x14ac:dyDescent="0.2">
      <c r="E683" s="19" t="s">
        <v>1979</v>
      </c>
    </row>
    <row r="684" spans="5:5" ht="14.25" customHeight="1" x14ac:dyDescent="0.2">
      <c r="E684" s="19" t="s">
        <v>1979</v>
      </c>
    </row>
    <row r="685" spans="5:5" ht="14.25" customHeight="1" x14ac:dyDescent="0.2">
      <c r="E685" s="19" t="s">
        <v>1979</v>
      </c>
    </row>
    <row r="686" spans="5:5" ht="14.25" customHeight="1" x14ac:dyDescent="0.2">
      <c r="E686" s="19" t="s">
        <v>1979</v>
      </c>
    </row>
    <row r="687" spans="5:5" ht="14.25" customHeight="1" x14ac:dyDescent="0.2">
      <c r="E687" s="19" t="s">
        <v>1979</v>
      </c>
    </row>
    <row r="688" spans="5:5" ht="14.25" customHeight="1" x14ac:dyDescent="0.2">
      <c r="E688" s="19" t="s">
        <v>1979</v>
      </c>
    </row>
    <row r="689" spans="5:5" ht="14.25" customHeight="1" x14ac:dyDescent="0.2">
      <c r="E689" s="19" t="s">
        <v>1979</v>
      </c>
    </row>
    <row r="690" spans="5:5" ht="14.25" customHeight="1" x14ac:dyDescent="0.2">
      <c r="E690" s="19" t="s">
        <v>1979</v>
      </c>
    </row>
    <row r="691" spans="5:5" ht="14.25" customHeight="1" x14ac:dyDescent="0.2">
      <c r="E691" s="19" t="s">
        <v>1979</v>
      </c>
    </row>
    <row r="692" spans="5:5" ht="14.25" customHeight="1" x14ac:dyDescent="0.2">
      <c r="E692" s="19" t="s">
        <v>1979</v>
      </c>
    </row>
    <row r="693" spans="5:5" ht="14.25" customHeight="1" x14ac:dyDescent="0.2">
      <c r="E693" s="19" t="s">
        <v>1979</v>
      </c>
    </row>
    <row r="694" spans="5:5" ht="14.25" customHeight="1" x14ac:dyDescent="0.2">
      <c r="E694" s="19" t="s">
        <v>1979</v>
      </c>
    </row>
    <row r="695" spans="5:5" ht="14.25" customHeight="1" x14ac:dyDescent="0.2">
      <c r="E695" s="19" t="s">
        <v>1979</v>
      </c>
    </row>
    <row r="696" spans="5:5" ht="14.25" customHeight="1" x14ac:dyDescent="0.2">
      <c r="E696" s="19" t="s">
        <v>1979</v>
      </c>
    </row>
    <row r="697" spans="5:5" ht="14.25" customHeight="1" x14ac:dyDescent="0.2">
      <c r="E697" s="19" t="s">
        <v>1979</v>
      </c>
    </row>
    <row r="698" spans="5:5" ht="14.25" customHeight="1" x14ac:dyDescent="0.2">
      <c r="E698" s="19" t="s">
        <v>1979</v>
      </c>
    </row>
    <row r="699" spans="5:5" ht="14.25" customHeight="1" x14ac:dyDescent="0.2">
      <c r="E699" s="19" t="s">
        <v>1979</v>
      </c>
    </row>
    <row r="700" spans="5:5" ht="14.25" customHeight="1" x14ac:dyDescent="0.2">
      <c r="E700" s="19" t="s">
        <v>1979</v>
      </c>
    </row>
    <row r="701" spans="5:5" ht="14.25" customHeight="1" x14ac:dyDescent="0.2">
      <c r="E701" s="19" t="s">
        <v>1979</v>
      </c>
    </row>
    <row r="702" spans="5:5" ht="14.25" customHeight="1" x14ac:dyDescent="0.2">
      <c r="E702" s="19" t="s">
        <v>1979</v>
      </c>
    </row>
    <row r="703" spans="5:5" ht="14.25" customHeight="1" x14ac:dyDescent="0.2">
      <c r="E703" s="19" t="s">
        <v>1979</v>
      </c>
    </row>
    <row r="704" spans="5:5" ht="14.25" customHeight="1" x14ac:dyDescent="0.2">
      <c r="E704" s="19" t="s">
        <v>1979</v>
      </c>
    </row>
    <row r="705" spans="5:5" ht="14.25" customHeight="1" x14ac:dyDescent="0.2">
      <c r="E705" s="19" t="s">
        <v>1979</v>
      </c>
    </row>
    <row r="706" spans="5:5" ht="14.25" customHeight="1" x14ac:dyDescent="0.2">
      <c r="E706" s="19" t="s">
        <v>1979</v>
      </c>
    </row>
    <row r="707" spans="5:5" ht="14.25" customHeight="1" x14ac:dyDescent="0.2">
      <c r="E707" s="19" t="s">
        <v>1979</v>
      </c>
    </row>
    <row r="708" spans="5:5" ht="14.25" customHeight="1" x14ac:dyDescent="0.2">
      <c r="E708" s="19" t="s">
        <v>1979</v>
      </c>
    </row>
    <row r="709" spans="5:5" ht="14.25" customHeight="1" x14ac:dyDescent="0.2">
      <c r="E709" s="19" t="s">
        <v>1979</v>
      </c>
    </row>
    <row r="710" spans="5:5" ht="14.25" customHeight="1" x14ac:dyDescent="0.2">
      <c r="E710" s="19" t="s">
        <v>1979</v>
      </c>
    </row>
    <row r="711" spans="5:5" ht="14.25" customHeight="1" x14ac:dyDescent="0.2">
      <c r="E711" s="19" t="s">
        <v>1979</v>
      </c>
    </row>
    <row r="712" spans="5:5" ht="14.25" customHeight="1" x14ac:dyDescent="0.2">
      <c r="E712" s="19" t="s">
        <v>1979</v>
      </c>
    </row>
    <row r="713" spans="5:5" ht="14.25" customHeight="1" x14ac:dyDescent="0.2">
      <c r="E713" s="19" t="s">
        <v>1979</v>
      </c>
    </row>
    <row r="714" spans="5:5" ht="14.25" customHeight="1" x14ac:dyDescent="0.2">
      <c r="E714" s="19" t="s">
        <v>1979</v>
      </c>
    </row>
    <row r="715" spans="5:5" ht="14.25" customHeight="1" x14ac:dyDescent="0.2">
      <c r="E715" s="19" t="s">
        <v>1979</v>
      </c>
    </row>
    <row r="716" spans="5:5" ht="14.25" customHeight="1" x14ac:dyDescent="0.2">
      <c r="E716" s="19" t="s">
        <v>1979</v>
      </c>
    </row>
    <row r="717" spans="5:5" ht="14.25" customHeight="1" x14ac:dyDescent="0.2">
      <c r="E717" s="19" t="s">
        <v>1979</v>
      </c>
    </row>
    <row r="718" spans="5:5" ht="14.25" customHeight="1" x14ac:dyDescent="0.2">
      <c r="E718" s="19" t="s">
        <v>1979</v>
      </c>
    </row>
    <row r="719" spans="5:5" ht="14.25" customHeight="1" x14ac:dyDescent="0.2">
      <c r="E719" s="19" t="s">
        <v>1979</v>
      </c>
    </row>
    <row r="720" spans="5:5" ht="14.25" customHeight="1" x14ac:dyDescent="0.2">
      <c r="E720" s="19" t="s">
        <v>1979</v>
      </c>
    </row>
    <row r="721" spans="5:5" ht="14.25" customHeight="1" x14ac:dyDescent="0.2">
      <c r="E721" s="19" t="s">
        <v>1979</v>
      </c>
    </row>
    <row r="722" spans="5:5" ht="14.25" customHeight="1" x14ac:dyDescent="0.2">
      <c r="E722" s="19" t="s">
        <v>1979</v>
      </c>
    </row>
    <row r="723" spans="5:5" ht="14.25" customHeight="1" x14ac:dyDescent="0.2">
      <c r="E723" s="19" t="s">
        <v>1979</v>
      </c>
    </row>
    <row r="724" spans="5:5" ht="14.25" customHeight="1" x14ac:dyDescent="0.2">
      <c r="E724" s="19" t="s">
        <v>1979</v>
      </c>
    </row>
    <row r="725" spans="5:5" ht="14.25" customHeight="1" x14ac:dyDescent="0.2">
      <c r="E725" s="19" t="s">
        <v>1979</v>
      </c>
    </row>
    <row r="726" spans="5:5" ht="14.25" customHeight="1" x14ac:dyDescent="0.2">
      <c r="E726" s="19" t="s">
        <v>1979</v>
      </c>
    </row>
    <row r="727" spans="5:5" ht="14.25" customHeight="1" x14ac:dyDescent="0.2">
      <c r="E727" s="19" t="s">
        <v>1979</v>
      </c>
    </row>
    <row r="728" spans="5:5" ht="14.25" customHeight="1" x14ac:dyDescent="0.2">
      <c r="E728" s="19" t="s">
        <v>1979</v>
      </c>
    </row>
    <row r="729" spans="5:5" ht="14.25" customHeight="1" x14ac:dyDescent="0.2">
      <c r="E729" s="19" t="s">
        <v>1979</v>
      </c>
    </row>
    <row r="730" spans="5:5" ht="14.25" customHeight="1" x14ac:dyDescent="0.2">
      <c r="E730" s="19" t="s">
        <v>1979</v>
      </c>
    </row>
    <row r="731" spans="5:5" ht="14.25" customHeight="1" x14ac:dyDescent="0.2">
      <c r="E731" s="19" t="s">
        <v>1979</v>
      </c>
    </row>
    <row r="732" spans="5:5" ht="14.25" customHeight="1" x14ac:dyDescent="0.2">
      <c r="E732" s="19" t="s">
        <v>1979</v>
      </c>
    </row>
    <row r="733" spans="5:5" ht="14.25" customHeight="1" x14ac:dyDescent="0.2">
      <c r="E733" s="19" t="s">
        <v>1979</v>
      </c>
    </row>
    <row r="734" spans="5:5" ht="14.25" customHeight="1" x14ac:dyDescent="0.2">
      <c r="E734" s="19" t="s">
        <v>1979</v>
      </c>
    </row>
    <row r="735" spans="5:5" ht="14.25" customHeight="1" x14ac:dyDescent="0.2">
      <c r="E735" s="19" t="s">
        <v>1979</v>
      </c>
    </row>
    <row r="736" spans="5:5" ht="14.25" customHeight="1" x14ac:dyDescent="0.2">
      <c r="E736" s="19" t="s">
        <v>1979</v>
      </c>
    </row>
    <row r="737" spans="5:5" ht="14.25" customHeight="1" x14ac:dyDescent="0.2">
      <c r="E737" s="19" t="s">
        <v>1979</v>
      </c>
    </row>
    <row r="738" spans="5:5" ht="14.25" customHeight="1" x14ac:dyDescent="0.2">
      <c r="E738" s="19" t="s">
        <v>1979</v>
      </c>
    </row>
    <row r="739" spans="5:5" ht="14.25" customHeight="1" x14ac:dyDescent="0.2">
      <c r="E739" s="19" t="s">
        <v>1979</v>
      </c>
    </row>
    <row r="740" spans="5:5" ht="14.25" customHeight="1" x14ac:dyDescent="0.2">
      <c r="E740" s="19" t="s">
        <v>1979</v>
      </c>
    </row>
    <row r="741" spans="5:5" ht="14.25" customHeight="1" x14ac:dyDescent="0.2">
      <c r="E741" s="19" t="s">
        <v>1979</v>
      </c>
    </row>
    <row r="742" spans="5:5" ht="14.25" customHeight="1" x14ac:dyDescent="0.2">
      <c r="E742" s="19" t="s">
        <v>1979</v>
      </c>
    </row>
    <row r="743" spans="5:5" ht="14.25" customHeight="1" x14ac:dyDescent="0.2">
      <c r="E743" s="19" t="s">
        <v>1979</v>
      </c>
    </row>
    <row r="744" spans="5:5" ht="14.25" customHeight="1" x14ac:dyDescent="0.2">
      <c r="E744" s="19" t="s">
        <v>1979</v>
      </c>
    </row>
    <row r="745" spans="5:5" ht="14.25" customHeight="1" x14ac:dyDescent="0.2">
      <c r="E745" s="19" t="s">
        <v>1979</v>
      </c>
    </row>
    <row r="746" spans="5:5" ht="14.25" customHeight="1" x14ac:dyDescent="0.2">
      <c r="E746" s="19" t="s">
        <v>1979</v>
      </c>
    </row>
    <row r="747" spans="5:5" ht="14.25" customHeight="1" x14ac:dyDescent="0.2">
      <c r="E747" s="19" t="s">
        <v>1979</v>
      </c>
    </row>
    <row r="748" spans="5:5" ht="14.25" customHeight="1" x14ac:dyDescent="0.2">
      <c r="E748" s="19" t="s">
        <v>1979</v>
      </c>
    </row>
    <row r="749" spans="5:5" ht="14.25" customHeight="1" x14ac:dyDescent="0.2">
      <c r="E749" s="19" t="s">
        <v>1979</v>
      </c>
    </row>
    <row r="750" spans="5:5" ht="14.25" customHeight="1" x14ac:dyDescent="0.2">
      <c r="E750" s="19" t="s">
        <v>1979</v>
      </c>
    </row>
    <row r="751" spans="5:5" ht="14.25" customHeight="1" x14ac:dyDescent="0.2">
      <c r="E751" s="19" t="s">
        <v>1979</v>
      </c>
    </row>
    <row r="752" spans="5:5" ht="14.25" customHeight="1" x14ac:dyDescent="0.2">
      <c r="E752" s="19" t="s">
        <v>1979</v>
      </c>
    </row>
    <row r="753" spans="5:5" ht="14.25" customHeight="1" x14ac:dyDescent="0.2">
      <c r="E753" s="19" t="s">
        <v>1979</v>
      </c>
    </row>
    <row r="754" spans="5:5" ht="14.25" customHeight="1" x14ac:dyDescent="0.2">
      <c r="E754" s="19" t="s">
        <v>1979</v>
      </c>
    </row>
    <row r="755" spans="5:5" ht="14.25" customHeight="1" x14ac:dyDescent="0.2">
      <c r="E755" s="19" t="s">
        <v>1979</v>
      </c>
    </row>
    <row r="756" spans="5:5" ht="14.25" customHeight="1" x14ac:dyDescent="0.2">
      <c r="E756" s="19" t="s">
        <v>1979</v>
      </c>
    </row>
    <row r="757" spans="5:5" ht="14.25" customHeight="1" x14ac:dyDescent="0.2">
      <c r="E757" s="19" t="s">
        <v>1979</v>
      </c>
    </row>
    <row r="758" spans="5:5" ht="14.25" customHeight="1" x14ac:dyDescent="0.2">
      <c r="E758" s="19" t="s">
        <v>1979</v>
      </c>
    </row>
    <row r="759" spans="5:5" ht="14.25" customHeight="1" x14ac:dyDescent="0.2">
      <c r="E759" s="19" t="s">
        <v>1979</v>
      </c>
    </row>
    <row r="760" spans="5:5" ht="14.25" customHeight="1" x14ac:dyDescent="0.2">
      <c r="E760" s="19" t="s">
        <v>1979</v>
      </c>
    </row>
    <row r="761" spans="5:5" ht="14.25" customHeight="1" x14ac:dyDescent="0.2">
      <c r="E761" s="19" t="s">
        <v>1979</v>
      </c>
    </row>
    <row r="762" spans="5:5" ht="14.25" customHeight="1" x14ac:dyDescent="0.2">
      <c r="E762" s="19" t="s">
        <v>1979</v>
      </c>
    </row>
    <row r="763" spans="5:5" ht="14.25" customHeight="1" x14ac:dyDescent="0.2">
      <c r="E763" s="19" t="s">
        <v>1979</v>
      </c>
    </row>
    <row r="764" spans="5:5" ht="14.25" customHeight="1" x14ac:dyDescent="0.2">
      <c r="E764" s="19" t="s">
        <v>1979</v>
      </c>
    </row>
    <row r="765" spans="5:5" ht="14.25" customHeight="1" x14ac:dyDescent="0.2">
      <c r="E765" s="19" t="s">
        <v>1979</v>
      </c>
    </row>
    <row r="766" spans="5:5" ht="14.25" customHeight="1" x14ac:dyDescent="0.2">
      <c r="E766" s="19" t="s">
        <v>1979</v>
      </c>
    </row>
    <row r="767" spans="5:5" ht="14.25" customHeight="1" x14ac:dyDescent="0.2">
      <c r="E767" s="19" t="s">
        <v>1979</v>
      </c>
    </row>
    <row r="768" spans="5:5" ht="14.25" customHeight="1" x14ac:dyDescent="0.2">
      <c r="E768" s="19" t="s">
        <v>1979</v>
      </c>
    </row>
    <row r="769" spans="5:5" ht="14.25" customHeight="1" x14ac:dyDescent="0.2">
      <c r="E769" s="19" t="s">
        <v>1979</v>
      </c>
    </row>
    <row r="770" spans="5:5" ht="14.25" customHeight="1" x14ac:dyDescent="0.2">
      <c r="E770" s="19" t="s">
        <v>1979</v>
      </c>
    </row>
    <row r="771" spans="5:5" ht="14.25" customHeight="1" x14ac:dyDescent="0.2">
      <c r="E771" s="19" t="s">
        <v>1979</v>
      </c>
    </row>
    <row r="772" spans="5:5" ht="14.25" customHeight="1" x14ac:dyDescent="0.2">
      <c r="E772" s="19" t="s">
        <v>1979</v>
      </c>
    </row>
    <row r="773" spans="5:5" ht="14.25" customHeight="1" x14ac:dyDescent="0.2">
      <c r="E773" s="19" t="s">
        <v>1979</v>
      </c>
    </row>
    <row r="774" spans="5:5" ht="14.25" customHeight="1" x14ac:dyDescent="0.2">
      <c r="E774" s="19" t="s">
        <v>1979</v>
      </c>
    </row>
    <row r="775" spans="5:5" ht="14.25" customHeight="1" x14ac:dyDescent="0.2">
      <c r="E775" s="19" t="s">
        <v>1979</v>
      </c>
    </row>
    <row r="776" spans="5:5" ht="14.25" customHeight="1" x14ac:dyDescent="0.2">
      <c r="E776" s="19" t="s">
        <v>1979</v>
      </c>
    </row>
    <row r="777" spans="5:5" ht="14.25" customHeight="1" x14ac:dyDescent="0.2">
      <c r="E777" s="19" t="s">
        <v>1979</v>
      </c>
    </row>
    <row r="778" spans="5:5" ht="14.25" customHeight="1" x14ac:dyDescent="0.2">
      <c r="E778" s="19" t="s">
        <v>1979</v>
      </c>
    </row>
    <row r="779" spans="5:5" ht="14.25" customHeight="1" x14ac:dyDescent="0.2">
      <c r="E779" s="19" t="s">
        <v>1979</v>
      </c>
    </row>
    <row r="780" spans="5:5" ht="14.25" customHeight="1" x14ac:dyDescent="0.2">
      <c r="E780" s="19" t="s">
        <v>1979</v>
      </c>
    </row>
    <row r="781" spans="5:5" ht="14.25" customHeight="1" x14ac:dyDescent="0.2">
      <c r="E781" s="19" t="s">
        <v>1979</v>
      </c>
    </row>
    <row r="782" spans="5:5" ht="14.25" customHeight="1" x14ac:dyDescent="0.2">
      <c r="E782" s="19" t="s">
        <v>1979</v>
      </c>
    </row>
    <row r="783" spans="5:5" ht="14.25" customHeight="1" x14ac:dyDescent="0.2">
      <c r="E783" s="19" t="s">
        <v>1979</v>
      </c>
    </row>
    <row r="784" spans="5:5" ht="14.25" customHeight="1" x14ac:dyDescent="0.2">
      <c r="E784" s="19" t="s">
        <v>1979</v>
      </c>
    </row>
    <row r="785" spans="5:5" ht="14.25" customHeight="1" x14ac:dyDescent="0.2">
      <c r="E785" s="19" t="s">
        <v>1979</v>
      </c>
    </row>
    <row r="786" spans="5:5" ht="14.25" customHeight="1" x14ac:dyDescent="0.2">
      <c r="E786" s="19" t="s">
        <v>1979</v>
      </c>
    </row>
    <row r="787" spans="5:5" ht="14.25" customHeight="1" x14ac:dyDescent="0.2">
      <c r="E787" s="19" t="s">
        <v>1979</v>
      </c>
    </row>
    <row r="788" spans="5:5" ht="14.25" customHeight="1" x14ac:dyDescent="0.2">
      <c r="E788" s="19" t="s">
        <v>1979</v>
      </c>
    </row>
    <row r="789" spans="5:5" ht="14.25" customHeight="1" x14ac:dyDescent="0.2">
      <c r="E789" s="19" t="s">
        <v>1979</v>
      </c>
    </row>
    <row r="790" spans="5:5" ht="14.25" customHeight="1" x14ac:dyDescent="0.2">
      <c r="E790" s="19" t="s">
        <v>1979</v>
      </c>
    </row>
    <row r="791" spans="5:5" ht="14.25" customHeight="1" x14ac:dyDescent="0.2">
      <c r="E791" s="19" t="s">
        <v>1979</v>
      </c>
    </row>
    <row r="792" spans="5:5" ht="14.25" customHeight="1" x14ac:dyDescent="0.2">
      <c r="E792" s="19" t="s">
        <v>1979</v>
      </c>
    </row>
    <row r="793" spans="5:5" ht="14.25" customHeight="1" x14ac:dyDescent="0.2">
      <c r="E793" s="19" t="s">
        <v>1979</v>
      </c>
    </row>
    <row r="794" spans="5:5" ht="14.25" customHeight="1" x14ac:dyDescent="0.2">
      <c r="E794" s="19" t="s">
        <v>1979</v>
      </c>
    </row>
    <row r="795" spans="5:5" ht="14.25" customHeight="1" x14ac:dyDescent="0.2">
      <c r="E795" s="19" t="s">
        <v>1979</v>
      </c>
    </row>
    <row r="796" spans="5:5" ht="14.25" customHeight="1" x14ac:dyDescent="0.2">
      <c r="E796" s="19" t="s">
        <v>1979</v>
      </c>
    </row>
    <row r="797" spans="5:5" ht="14.25" customHeight="1" x14ac:dyDescent="0.2">
      <c r="E797" s="19" t="s">
        <v>1979</v>
      </c>
    </row>
    <row r="798" spans="5:5" ht="14.25" customHeight="1" x14ac:dyDescent="0.2">
      <c r="E798" s="19" t="s">
        <v>1979</v>
      </c>
    </row>
    <row r="799" spans="5:5" ht="14.25" customHeight="1" x14ac:dyDescent="0.2">
      <c r="E799" s="19" t="s">
        <v>1979</v>
      </c>
    </row>
    <row r="800" spans="5:5" ht="14.25" customHeight="1" x14ac:dyDescent="0.2">
      <c r="E800" s="19" t="s">
        <v>1979</v>
      </c>
    </row>
    <row r="801" spans="5:5" ht="14.25" customHeight="1" x14ac:dyDescent="0.2">
      <c r="E801" s="19" t="s">
        <v>1979</v>
      </c>
    </row>
    <row r="802" spans="5:5" ht="14.25" customHeight="1" x14ac:dyDescent="0.2">
      <c r="E802" s="19" t="s">
        <v>1979</v>
      </c>
    </row>
    <row r="803" spans="5:5" ht="14.25" customHeight="1" x14ac:dyDescent="0.2">
      <c r="E803" s="19" t="s">
        <v>1979</v>
      </c>
    </row>
    <row r="804" spans="5:5" ht="14.25" customHeight="1" x14ac:dyDescent="0.2">
      <c r="E804" s="19" t="s">
        <v>1979</v>
      </c>
    </row>
    <row r="805" spans="5:5" ht="14.25" customHeight="1" x14ac:dyDescent="0.2">
      <c r="E805" s="19" t="s">
        <v>1979</v>
      </c>
    </row>
    <row r="806" spans="5:5" ht="14.25" customHeight="1" x14ac:dyDescent="0.2">
      <c r="E806" s="19" t="s">
        <v>1979</v>
      </c>
    </row>
    <row r="807" spans="5:5" ht="14.25" customHeight="1" x14ac:dyDescent="0.2">
      <c r="E807" s="19" t="s">
        <v>1979</v>
      </c>
    </row>
    <row r="808" spans="5:5" ht="14.25" customHeight="1" x14ac:dyDescent="0.2">
      <c r="E808" s="19" t="s">
        <v>1979</v>
      </c>
    </row>
    <row r="809" spans="5:5" ht="14.25" customHeight="1" x14ac:dyDescent="0.2">
      <c r="E809" s="19" t="s">
        <v>1979</v>
      </c>
    </row>
    <row r="810" spans="5:5" ht="14.25" customHeight="1" x14ac:dyDescent="0.2">
      <c r="E810" s="19" t="s">
        <v>1979</v>
      </c>
    </row>
    <row r="811" spans="5:5" ht="14.25" customHeight="1" x14ac:dyDescent="0.2">
      <c r="E811" s="19" t="s">
        <v>1979</v>
      </c>
    </row>
    <row r="812" spans="5:5" ht="14.25" customHeight="1" x14ac:dyDescent="0.2">
      <c r="E812" s="19" t="s">
        <v>1979</v>
      </c>
    </row>
    <row r="813" spans="5:5" ht="14.25" customHeight="1" x14ac:dyDescent="0.2">
      <c r="E813" s="19" t="s">
        <v>1979</v>
      </c>
    </row>
    <row r="814" spans="5:5" ht="14.25" customHeight="1" x14ac:dyDescent="0.2">
      <c r="E814" s="19" t="s">
        <v>1979</v>
      </c>
    </row>
    <row r="815" spans="5:5" ht="14.25" customHeight="1" x14ac:dyDescent="0.2">
      <c r="E815" s="19" t="s">
        <v>1979</v>
      </c>
    </row>
    <row r="816" spans="5:5" ht="14.25" customHeight="1" x14ac:dyDescent="0.2">
      <c r="E816" s="19" t="s">
        <v>1979</v>
      </c>
    </row>
    <row r="817" spans="5:5" ht="14.25" customHeight="1" x14ac:dyDescent="0.2">
      <c r="E817" s="19" t="s">
        <v>1979</v>
      </c>
    </row>
    <row r="818" spans="5:5" ht="14.25" customHeight="1" x14ac:dyDescent="0.2">
      <c r="E818" s="19" t="s">
        <v>1979</v>
      </c>
    </row>
    <row r="819" spans="5:5" ht="14.25" customHeight="1" x14ac:dyDescent="0.2">
      <c r="E819" s="19" t="s">
        <v>1979</v>
      </c>
    </row>
    <row r="820" spans="5:5" ht="14.25" customHeight="1" x14ac:dyDescent="0.2">
      <c r="E820" s="19" t="s">
        <v>1979</v>
      </c>
    </row>
    <row r="821" spans="5:5" ht="14.25" customHeight="1" x14ac:dyDescent="0.2">
      <c r="E821" s="19" t="s">
        <v>1979</v>
      </c>
    </row>
    <row r="822" spans="5:5" ht="14.25" customHeight="1" x14ac:dyDescent="0.2">
      <c r="E822" s="19" t="s">
        <v>1979</v>
      </c>
    </row>
    <row r="823" spans="5:5" ht="14.25" customHeight="1" x14ac:dyDescent="0.2">
      <c r="E823" s="19" t="s">
        <v>1979</v>
      </c>
    </row>
    <row r="824" spans="5:5" ht="14.25" customHeight="1" x14ac:dyDescent="0.2">
      <c r="E824" s="19" t="s">
        <v>1979</v>
      </c>
    </row>
    <row r="825" spans="5:5" ht="14.25" customHeight="1" x14ac:dyDescent="0.2">
      <c r="E825" s="19" t="s">
        <v>1979</v>
      </c>
    </row>
    <row r="826" spans="5:5" ht="14.25" customHeight="1" x14ac:dyDescent="0.2">
      <c r="E826" s="19" t="s">
        <v>1979</v>
      </c>
    </row>
    <row r="827" spans="5:5" ht="14.25" customHeight="1" x14ac:dyDescent="0.2">
      <c r="E827" s="19" t="s">
        <v>1979</v>
      </c>
    </row>
    <row r="828" spans="5:5" ht="14.25" customHeight="1" x14ac:dyDescent="0.2">
      <c r="E828" s="19" t="s">
        <v>1979</v>
      </c>
    </row>
    <row r="829" spans="5:5" ht="14.25" customHeight="1" x14ac:dyDescent="0.2">
      <c r="E829" s="19" t="s">
        <v>1979</v>
      </c>
    </row>
    <row r="830" spans="5:5" ht="14.25" customHeight="1" x14ac:dyDescent="0.2">
      <c r="E830" s="19" t="s">
        <v>1979</v>
      </c>
    </row>
    <row r="831" spans="5:5" ht="14.25" customHeight="1" x14ac:dyDescent="0.2">
      <c r="E831" s="19" t="s">
        <v>1979</v>
      </c>
    </row>
    <row r="832" spans="5:5" ht="14.25" customHeight="1" x14ac:dyDescent="0.2">
      <c r="E832" s="19" t="s">
        <v>1979</v>
      </c>
    </row>
    <row r="833" spans="5:5" ht="14.25" customHeight="1" x14ac:dyDescent="0.2">
      <c r="E833" s="19" t="s">
        <v>1979</v>
      </c>
    </row>
    <row r="834" spans="5:5" ht="14.25" customHeight="1" x14ac:dyDescent="0.2">
      <c r="E834" s="19" t="s">
        <v>1979</v>
      </c>
    </row>
    <row r="835" spans="5:5" ht="14.25" customHeight="1" x14ac:dyDescent="0.2">
      <c r="E835" s="19" t="s">
        <v>1979</v>
      </c>
    </row>
    <row r="836" spans="5:5" ht="14.25" customHeight="1" x14ac:dyDescent="0.2">
      <c r="E836" s="19" t="s">
        <v>1979</v>
      </c>
    </row>
    <row r="837" spans="5:5" ht="14.25" customHeight="1" x14ac:dyDescent="0.2">
      <c r="E837" s="19" t="s">
        <v>1979</v>
      </c>
    </row>
    <row r="838" spans="5:5" ht="14.25" customHeight="1" x14ac:dyDescent="0.2">
      <c r="E838" s="19" t="s">
        <v>1979</v>
      </c>
    </row>
    <row r="839" spans="5:5" ht="14.25" customHeight="1" x14ac:dyDescent="0.2">
      <c r="E839" s="19" t="s">
        <v>1979</v>
      </c>
    </row>
    <row r="840" spans="5:5" ht="14.25" customHeight="1" x14ac:dyDescent="0.2">
      <c r="E840" s="19" t="s">
        <v>1979</v>
      </c>
    </row>
    <row r="841" spans="5:5" ht="14.25" customHeight="1" x14ac:dyDescent="0.2">
      <c r="E841" s="19" t="s">
        <v>1979</v>
      </c>
    </row>
    <row r="842" spans="5:5" ht="14.25" customHeight="1" x14ac:dyDescent="0.2">
      <c r="E842" s="19" t="s">
        <v>1979</v>
      </c>
    </row>
    <row r="843" spans="5:5" ht="14.25" customHeight="1" x14ac:dyDescent="0.2">
      <c r="E843" s="19" t="s">
        <v>1979</v>
      </c>
    </row>
    <row r="844" spans="5:5" ht="14.25" customHeight="1" x14ac:dyDescent="0.2">
      <c r="E844" s="19" t="s">
        <v>1979</v>
      </c>
    </row>
    <row r="845" spans="5:5" ht="14.25" customHeight="1" x14ac:dyDescent="0.2">
      <c r="E845" s="19" t="s">
        <v>1979</v>
      </c>
    </row>
    <row r="846" spans="5:5" ht="14.25" customHeight="1" x14ac:dyDescent="0.2">
      <c r="E846" s="19" t="s">
        <v>1979</v>
      </c>
    </row>
    <row r="847" spans="5:5" ht="14.25" customHeight="1" x14ac:dyDescent="0.2">
      <c r="E847" s="19" t="s">
        <v>1979</v>
      </c>
    </row>
    <row r="848" spans="5:5" ht="14.25" customHeight="1" x14ac:dyDescent="0.2">
      <c r="E848" s="19" t="s">
        <v>1979</v>
      </c>
    </row>
    <row r="849" spans="5:5" ht="14.25" customHeight="1" x14ac:dyDescent="0.2">
      <c r="E849" s="19" t="s">
        <v>1979</v>
      </c>
    </row>
    <row r="850" spans="5:5" ht="14.25" customHeight="1" x14ac:dyDescent="0.2">
      <c r="E850" s="19" t="s">
        <v>1979</v>
      </c>
    </row>
    <row r="851" spans="5:5" ht="14.25" customHeight="1" x14ac:dyDescent="0.2">
      <c r="E851" s="19" t="s">
        <v>1979</v>
      </c>
    </row>
    <row r="852" spans="5:5" ht="14.25" customHeight="1" x14ac:dyDescent="0.2">
      <c r="E852" s="19" t="s">
        <v>1979</v>
      </c>
    </row>
    <row r="853" spans="5:5" ht="14.25" customHeight="1" x14ac:dyDescent="0.2">
      <c r="E853" s="19" t="s">
        <v>1979</v>
      </c>
    </row>
    <row r="854" spans="5:5" ht="14.25" customHeight="1" x14ac:dyDescent="0.2">
      <c r="E854" s="19" t="s">
        <v>1979</v>
      </c>
    </row>
    <row r="855" spans="5:5" ht="14.25" customHeight="1" x14ac:dyDescent="0.2">
      <c r="E855" s="19" t="s">
        <v>1979</v>
      </c>
    </row>
    <row r="856" spans="5:5" ht="14.25" customHeight="1" x14ac:dyDescent="0.2">
      <c r="E856" s="19" t="s">
        <v>1979</v>
      </c>
    </row>
    <row r="857" spans="5:5" ht="14.25" customHeight="1" x14ac:dyDescent="0.2">
      <c r="E857" s="19" t="s">
        <v>1979</v>
      </c>
    </row>
    <row r="858" spans="5:5" ht="14.25" customHeight="1" x14ac:dyDescent="0.2">
      <c r="E858" s="19" t="s">
        <v>1979</v>
      </c>
    </row>
    <row r="859" spans="5:5" ht="14.25" customHeight="1" x14ac:dyDescent="0.2">
      <c r="E859" s="19" t="s">
        <v>1979</v>
      </c>
    </row>
    <row r="860" spans="5:5" ht="14.25" customHeight="1" x14ac:dyDescent="0.2">
      <c r="E860" s="19" t="s">
        <v>1979</v>
      </c>
    </row>
    <row r="861" spans="5:5" ht="14.25" customHeight="1" x14ac:dyDescent="0.2">
      <c r="E861" s="19" t="s">
        <v>1979</v>
      </c>
    </row>
    <row r="862" spans="5:5" ht="14.25" customHeight="1" x14ac:dyDescent="0.2">
      <c r="E862" s="19" t="s">
        <v>1979</v>
      </c>
    </row>
    <row r="863" spans="5:5" ht="14.25" customHeight="1" x14ac:dyDescent="0.2">
      <c r="E863" s="19" t="s">
        <v>1979</v>
      </c>
    </row>
    <row r="864" spans="5:5" ht="14.25" customHeight="1" x14ac:dyDescent="0.2">
      <c r="E864" s="19" t="s">
        <v>1979</v>
      </c>
    </row>
    <row r="865" spans="5:5" ht="14.25" customHeight="1" x14ac:dyDescent="0.2">
      <c r="E865" s="19" t="s">
        <v>1979</v>
      </c>
    </row>
    <row r="866" spans="5:5" ht="14.25" customHeight="1" x14ac:dyDescent="0.2">
      <c r="E866" s="19" t="s">
        <v>1979</v>
      </c>
    </row>
    <row r="867" spans="5:5" ht="14.25" customHeight="1" x14ac:dyDescent="0.2">
      <c r="E867" s="19" t="s">
        <v>1979</v>
      </c>
    </row>
    <row r="868" spans="5:5" ht="14.25" customHeight="1" x14ac:dyDescent="0.2">
      <c r="E868" s="19" t="s">
        <v>1979</v>
      </c>
    </row>
    <row r="869" spans="5:5" ht="14.25" customHeight="1" x14ac:dyDescent="0.2">
      <c r="E869" s="19" t="s">
        <v>1979</v>
      </c>
    </row>
    <row r="870" spans="5:5" ht="14.25" customHeight="1" x14ac:dyDescent="0.2">
      <c r="E870" s="19" t="s">
        <v>1979</v>
      </c>
    </row>
    <row r="871" spans="5:5" ht="14.25" customHeight="1" x14ac:dyDescent="0.2">
      <c r="E871" s="19" t="s">
        <v>1979</v>
      </c>
    </row>
    <row r="872" spans="5:5" ht="14.25" customHeight="1" x14ac:dyDescent="0.2">
      <c r="E872" s="19" t="s">
        <v>1979</v>
      </c>
    </row>
    <row r="873" spans="5:5" ht="14.25" customHeight="1" x14ac:dyDescent="0.2">
      <c r="E873" s="19" t="s">
        <v>1979</v>
      </c>
    </row>
    <row r="874" spans="5:5" ht="14.25" customHeight="1" x14ac:dyDescent="0.2">
      <c r="E874" s="19" t="s">
        <v>1979</v>
      </c>
    </row>
    <row r="875" spans="5:5" ht="14.25" customHeight="1" x14ac:dyDescent="0.2">
      <c r="E875" s="19" t="s">
        <v>1979</v>
      </c>
    </row>
    <row r="876" spans="5:5" ht="14.25" customHeight="1" x14ac:dyDescent="0.2">
      <c r="E876" s="19" t="s">
        <v>1979</v>
      </c>
    </row>
    <row r="877" spans="5:5" ht="14.25" customHeight="1" x14ac:dyDescent="0.2">
      <c r="E877" s="19" t="s">
        <v>1979</v>
      </c>
    </row>
    <row r="878" spans="5:5" ht="14.25" customHeight="1" x14ac:dyDescent="0.2">
      <c r="E878" s="19" t="s">
        <v>1979</v>
      </c>
    </row>
    <row r="879" spans="5:5" ht="14.25" customHeight="1" x14ac:dyDescent="0.2">
      <c r="E879" s="19" t="s">
        <v>1979</v>
      </c>
    </row>
    <row r="880" spans="5:5" ht="14.25" customHeight="1" x14ac:dyDescent="0.2">
      <c r="E880" s="19" t="s">
        <v>1979</v>
      </c>
    </row>
    <row r="881" spans="5:5" ht="14.25" customHeight="1" x14ac:dyDescent="0.2">
      <c r="E881" s="19" t="s">
        <v>1979</v>
      </c>
    </row>
    <row r="882" spans="5:5" ht="14.25" customHeight="1" x14ac:dyDescent="0.2">
      <c r="E882" s="19" t="s">
        <v>1979</v>
      </c>
    </row>
    <row r="883" spans="5:5" ht="14.25" customHeight="1" x14ac:dyDescent="0.2">
      <c r="E883" s="19" t="s">
        <v>1979</v>
      </c>
    </row>
    <row r="884" spans="5:5" ht="14.25" customHeight="1" x14ac:dyDescent="0.2">
      <c r="E884" s="19" t="s">
        <v>1979</v>
      </c>
    </row>
    <row r="885" spans="5:5" ht="14.25" customHeight="1" x14ac:dyDescent="0.2">
      <c r="E885" s="19" t="s">
        <v>1979</v>
      </c>
    </row>
    <row r="886" spans="5:5" ht="14.25" customHeight="1" x14ac:dyDescent="0.2">
      <c r="E886" s="19" t="s">
        <v>1979</v>
      </c>
    </row>
    <row r="887" spans="5:5" ht="14.25" customHeight="1" x14ac:dyDescent="0.2">
      <c r="E887" s="19" t="s">
        <v>1979</v>
      </c>
    </row>
    <row r="888" spans="5:5" ht="14.25" customHeight="1" x14ac:dyDescent="0.2">
      <c r="E888" s="19" t="s">
        <v>1979</v>
      </c>
    </row>
    <row r="889" spans="5:5" ht="14.25" customHeight="1" x14ac:dyDescent="0.2">
      <c r="E889" s="19" t="s">
        <v>1979</v>
      </c>
    </row>
    <row r="890" spans="5:5" ht="14.25" customHeight="1" x14ac:dyDescent="0.2">
      <c r="E890" s="19" t="s">
        <v>1979</v>
      </c>
    </row>
    <row r="891" spans="5:5" ht="14.25" customHeight="1" x14ac:dyDescent="0.2">
      <c r="E891" s="19" t="s">
        <v>1979</v>
      </c>
    </row>
    <row r="892" spans="5:5" ht="14.25" customHeight="1" x14ac:dyDescent="0.2">
      <c r="E892" s="19" t="s">
        <v>1979</v>
      </c>
    </row>
    <row r="893" spans="5:5" ht="14.25" customHeight="1" x14ac:dyDescent="0.2">
      <c r="E893" s="19" t="s">
        <v>1979</v>
      </c>
    </row>
    <row r="894" spans="5:5" ht="14.25" customHeight="1" x14ac:dyDescent="0.2">
      <c r="E894" s="19" t="s">
        <v>1979</v>
      </c>
    </row>
    <row r="895" spans="5:5" ht="14.25" customHeight="1" x14ac:dyDescent="0.2">
      <c r="E895" s="19" t="s">
        <v>1979</v>
      </c>
    </row>
    <row r="896" spans="5:5" ht="14.25" customHeight="1" x14ac:dyDescent="0.2">
      <c r="E896" s="19" t="s">
        <v>1979</v>
      </c>
    </row>
    <row r="897" spans="5:5" ht="14.25" customHeight="1" x14ac:dyDescent="0.2">
      <c r="E897" s="19" t="s">
        <v>1979</v>
      </c>
    </row>
    <row r="898" spans="5:5" ht="14.25" customHeight="1" x14ac:dyDescent="0.2">
      <c r="E898" s="19" t="s">
        <v>1979</v>
      </c>
    </row>
    <row r="899" spans="5:5" ht="14.25" customHeight="1" x14ac:dyDescent="0.2">
      <c r="E899" s="19" t="s">
        <v>1979</v>
      </c>
    </row>
    <row r="900" spans="5:5" ht="14.25" customHeight="1" x14ac:dyDescent="0.2">
      <c r="E900" s="19" t="s">
        <v>1979</v>
      </c>
    </row>
    <row r="901" spans="5:5" ht="14.25" customHeight="1" x14ac:dyDescent="0.2">
      <c r="E901" s="19" t="s">
        <v>1979</v>
      </c>
    </row>
    <row r="902" spans="5:5" ht="14.25" customHeight="1" x14ac:dyDescent="0.2">
      <c r="E902" s="19" t="s">
        <v>1979</v>
      </c>
    </row>
    <row r="903" spans="5:5" ht="14.25" customHeight="1" x14ac:dyDescent="0.2">
      <c r="E903" s="19" t="s">
        <v>1979</v>
      </c>
    </row>
    <row r="904" spans="5:5" ht="14.25" customHeight="1" x14ac:dyDescent="0.2">
      <c r="E904" s="19" t="s">
        <v>1979</v>
      </c>
    </row>
    <row r="905" spans="5:5" ht="14.25" customHeight="1" x14ac:dyDescent="0.2">
      <c r="E905" s="19" t="s">
        <v>1979</v>
      </c>
    </row>
    <row r="906" spans="5:5" ht="14.25" customHeight="1" x14ac:dyDescent="0.2">
      <c r="E906" s="19" t="s">
        <v>1979</v>
      </c>
    </row>
    <row r="907" spans="5:5" ht="14.25" customHeight="1" x14ac:dyDescent="0.2">
      <c r="E907" s="19" t="s">
        <v>1979</v>
      </c>
    </row>
    <row r="908" spans="5:5" ht="14.25" customHeight="1" x14ac:dyDescent="0.2">
      <c r="E908" s="19" t="s">
        <v>1979</v>
      </c>
    </row>
    <row r="909" spans="5:5" ht="14.25" customHeight="1" x14ac:dyDescent="0.2">
      <c r="E909" s="19" t="s">
        <v>1979</v>
      </c>
    </row>
    <row r="910" spans="5:5" ht="14.25" customHeight="1" x14ac:dyDescent="0.2">
      <c r="E910" s="19" t="s">
        <v>1979</v>
      </c>
    </row>
    <row r="911" spans="5:5" ht="14.25" customHeight="1" x14ac:dyDescent="0.2">
      <c r="E911" s="19" t="s">
        <v>1979</v>
      </c>
    </row>
    <row r="912" spans="5:5" ht="14.25" customHeight="1" x14ac:dyDescent="0.2">
      <c r="E912" s="19" t="s">
        <v>1979</v>
      </c>
    </row>
    <row r="913" spans="5:5" ht="14.25" customHeight="1" x14ac:dyDescent="0.2">
      <c r="E913" s="19" t="s">
        <v>1979</v>
      </c>
    </row>
    <row r="914" spans="5:5" ht="14.25" customHeight="1" x14ac:dyDescent="0.2">
      <c r="E914" s="19" t="s">
        <v>1979</v>
      </c>
    </row>
    <row r="915" spans="5:5" ht="14.25" customHeight="1" x14ac:dyDescent="0.2">
      <c r="E915" s="19" t="s">
        <v>1979</v>
      </c>
    </row>
    <row r="916" spans="5:5" ht="14.25" customHeight="1" x14ac:dyDescent="0.2">
      <c r="E916" s="19" t="s">
        <v>1979</v>
      </c>
    </row>
    <row r="917" spans="5:5" ht="14.25" customHeight="1" x14ac:dyDescent="0.2">
      <c r="E917" s="19" t="s">
        <v>1979</v>
      </c>
    </row>
    <row r="918" spans="5:5" ht="14.25" customHeight="1" x14ac:dyDescent="0.2">
      <c r="E918" s="19" t="s">
        <v>1979</v>
      </c>
    </row>
    <row r="919" spans="5:5" ht="14.25" customHeight="1" x14ac:dyDescent="0.2">
      <c r="E919" s="19" t="s">
        <v>1979</v>
      </c>
    </row>
    <row r="920" spans="5:5" ht="14.25" customHeight="1" x14ac:dyDescent="0.2">
      <c r="E920" s="19" t="s">
        <v>1979</v>
      </c>
    </row>
    <row r="921" spans="5:5" ht="14.25" customHeight="1" x14ac:dyDescent="0.2">
      <c r="E921" s="19" t="s">
        <v>1979</v>
      </c>
    </row>
    <row r="922" spans="5:5" ht="14.25" customHeight="1" x14ac:dyDescent="0.2">
      <c r="E922" s="19" t="s">
        <v>1979</v>
      </c>
    </row>
    <row r="923" spans="5:5" ht="14.25" customHeight="1" x14ac:dyDescent="0.2">
      <c r="E923" s="19" t="s">
        <v>1979</v>
      </c>
    </row>
    <row r="924" spans="5:5" ht="14.25" customHeight="1" x14ac:dyDescent="0.2">
      <c r="E924" s="19" t="s">
        <v>1979</v>
      </c>
    </row>
    <row r="925" spans="5:5" ht="14.25" customHeight="1" x14ac:dyDescent="0.2">
      <c r="E925" s="19" t="s">
        <v>1979</v>
      </c>
    </row>
    <row r="926" spans="5:5" ht="14.25" customHeight="1" x14ac:dyDescent="0.2">
      <c r="E926" s="19" t="s">
        <v>1979</v>
      </c>
    </row>
    <row r="927" spans="5:5" ht="14.25" customHeight="1" x14ac:dyDescent="0.2">
      <c r="E927" s="19" t="s">
        <v>1979</v>
      </c>
    </row>
    <row r="928" spans="5:5" ht="14.25" customHeight="1" x14ac:dyDescent="0.2">
      <c r="E928" s="19" t="s">
        <v>1979</v>
      </c>
    </row>
    <row r="929" spans="5:5" ht="14.25" customHeight="1" x14ac:dyDescent="0.2">
      <c r="E929" s="19" t="s">
        <v>1979</v>
      </c>
    </row>
    <row r="930" spans="5:5" ht="14.25" customHeight="1" x14ac:dyDescent="0.2">
      <c r="E930" s="19" t="s">
        <v>1979</v>
      </c>
    </row>
    <row r="931" spans="5:5" ht="14.25" customHeight="1" x14ac:dyDescent="0.2">
      <c r="E931" s="19" t="s">
        <v>1979</v>
      </c>
    </row>
    <row r="932" spans="5:5" ht="14.25" customHeight="1" x14ac:dyDescent="0.2">
      <c r="E932" s="19" t="s">
        <v>1979</v>
      </c>
    </row>
    <row r="933" spans="5:5" ht="14.25" customHeight="1" x14ac:dyDescent="0.2">
      <c r="E933" s="19" t="s">
        <v>1979</v>
      </c>
    </row>
    <row r="934" spans="5:5" ht="14.25" customHeight="1" x14ac:dyDescent="0.2">
      <c r="E934" s="19" t="s">
        <v>1979</v>
      </c>
    </row>
    <row r="935" spans="5:5" ht="14.25" customHeight="1" x14ac:dyDescent="0.2">
      <c r="E935" s="19" t="s">
        <v>1979</v>
      </c>
    </row>
    <row r="936" spans="5:5" ht="14.25" customHeight="1" x14ac:dyDescent="0.2">
      <c r="E936" s="19" t="s">
        <v>1979</v>
      </c>
    </row>
    <row r="937" spans="5:5" ht="14.25" customHeight="1" x14ac:dyDescent="0.2">
      <c r="E937" s="19" t="s">
        <v>1979</v>
      </c>
    </row>
    <row r="938" spans="5:5" ht="14.25" customHeight="1" x14ac:dyDescent="0.2">
      <c r="E938" s="19" t="s">
        <v>1979</v>
      </c>
    </row>
    <row r="939" spans="5:5" ht="14.25" customHeight="1" x14ac:dyDescent="0.2">
      <c r="E939" s="19" t="s">
        <v>1979</v>
      </c>
    </row>
    <row r="940" spans="5:5" ht="14.25" customHeight="1" x14ac:dyDescent="0.2">
      <c r="E940" s="19" t="s">
        <v>1979</v>
      </c>
    </row>
    <row r="941" spans="5:5" ht="14.25" customHeight="1" x14ac:dyDescent="0.2">
      <c r="E941" s="19" t="s">
        <v>1979</v>
      </c>
    </row>
    <row r="942" spans="5:5" ht="14.25" customHeight="1" x14ac:dyDescent="0.2">
      <c r="E942" s="19" t="s">
        <v>1979</v>
      </c>
    </row>
    <row r="943" spans="5:5" ht="14.25" customHeight="1" x14ac:dyDescent="0.2">
      <c r="E943" s="19" t="s">
        <v>1979</v>
      </c>
    </row>
    <row r="944" spans="5:5" ht="14.25" customHeight="1" x14ac:dyDescent="0.2">
      <c r="E944" s="19" t="s">
        <v>1979</v>
      </c>
    </row>
    <row r="945" spans="5:5" ht="14.25" customHeight="1" x14ac:dyDescent="0.2">
      <c r="E945" s="19" t="s">
        <v>1979</v>
      </c>
    </row>
    <row r="946" spans="5:5" ht="14.25" customHeight="1" x14ac:dyDescent="0.2">
      <c r="E946" s="19" t="s">
        <v>1979</v>
      </c>
    </row>
    <row r="947" spans="5:5" ht="14.25" customHeight="1" x14ac:dyDescent="0.2">
      <c r="E947" s="19" t="s">
        <v>1979</v>
      </c>
    </row>
    <row r="948" spans="5:5" ht="14.25" customHeight="1" x14ac:dyDescent="0.2">
      <c r="E948" s="19" t="s">
        <v>1979</v>
      </c>
    </row>
    <row r="949" spans="5:5" ht="14.25" customHeight="1" x14ac:dyDescent="0.2">
      <c r="E949" s="19" t="s">
        <v>1979</v>
      </c>
    </row>
    <row r="950" spans="5:5" ht="14.25" customHeight="1" x14ac:dyDescent="0.2">
      <c r="E950" s="19" t="s">
        <v>1979</v>
      </c>
    </row>
    <row r="951" spans="5:5" ht="14.25" customHeight="1" x14ac:dyDescent="0.2">
      <c r="E951" s="19" t="s">
        <v>1979</v>
      </c>
    </row>
    <row r="952" spans="5:5" ht="14.25" customHeight="1" x14ac:dyDescent="0.2">
      <c r="E952" s="19" t="s">
        <v>1979</v>
      </c>
    </row>
    <row r="953" spans="5:5" ht="14.25" customHeight="1" x14ac:dyDescent="0.2">
      <c r="E953" s="19" t="s">
        <v>1979</v>
      </c>
    </row>
    <row r="954" spans="5:5" ht="14.25" customHeight="1" x14ac:dyDescent="0.2">
      <c r="E954" s="19" t="s">
        <v>1979</v>
      </c>
    </row>
    <row r="955" spans="5:5" ht="14.25" customHeight="1" x14ac:dyDescent="0.2">
      <c r="E955" s="19" t="s">
        <v>1979</v>
      </c>
    </row>
    <row r="956" spans="5:5" ht="14.25" customHeight="1" x14ac:dyDescent="0.2">
      <c r="E956" s="19" t="s">
        <v>1979</v>
      </c>
    </row>
    <row r="957" spans="5:5" ht="14.25" customHeight="1" x14ac:dyDescent="0.2">
      <c r="E957" s="19" t="s">
        <v>1979</v>
      </c>
    </row>
    <row r="958" spans="5:5" ht="14.25" customHeight="1" x14ac:dyDescent="0.2">
      <c r="E958" s="19" t="s">
        <v>1979</v>
      </c>
    </row>
    <row r="959" spans="5:5" ht="14.25" customHeight="1" x14ac:dyDescent="0.2">
      <c r="E959" s="19" t="s">
        <v>1979</v>
      </c>
    </row>
    <row r="960" spans="5:5" ht="14.25" customHeight="1" x14ac:dyDescent="0.2">
      <c r="E960" s="19" t="s">
        <v>1979</v>
      </c>
    </row>
    <row r="961" spans="5:5" ht="14.25" customHeight="1" x14ac:dyDescent="0.2">
      <c r="E961" s="19" t="s">
        <v>1979</v>
      </c>
    </row>
    <row r="962" spans="5:5" ht="14.25" customHeight="1" x14ac:dyDescent="0.2">
      <c r="E962" s="19" t="s">
        <v>1979</v>
      </c>
    </row>
    <row r="963" spans="5:5" ht="14.25" customHeight="1" x14ac:dyDescent="0.2">
      <c r="E963" s="19" t="s">
        <v>1979</v>
      </c>
    </row>
    <row r="964" spans="5:5" ht="14.25" customHeight="1" x14ac:dyDescent="0.2">
      <c r="E964" s="19" t="s">
        <v>1979</v>
      </c>
    </row>
    <row r="965" spans="5:5" ht="14.25" customHeight="1" x14ac:dyDescent="0.2">
      <c r="E965" s="19" t="s">
        <v>1979</v>
      </c>
    </row>
    <row r="966" spans="5:5" ht="14.25" customHeight="1" x14ac:dyDescent="0.2">
      <c r="E966" s="19" t="s">
        <v>1979</v>
      </c>
    </row>
    <row r="967" spans="5:5" ht="14.25" customHeight="1" x14ac:dyDescent="0.2">
      <c r="E967" s="19" t="s">
        <v>1979</v>
      </c>
    </row>
    <row r="968" spans="5:5" ht="14.25" customHeight="1" x14ac:dyDescent="0.2">
      <c r="E968" s="19" t="s">
        <v>1979</v>
      </c>
    </row>
    <row r="969" spans="5:5" ht="14.25" customHeight="1" x14ac:dyDescent="0.2">
      <c r="E969" s="19" t="s">
        <v>1979</v>
      </c>
    </row>
    <row r="970" spans="5:5" ht="14.25" customHeight="1" x14ac:dyDescent="0.2">
      <c r="E970" s="19" t="s">
        <v>1979</v>
      </c>
    </row>
    <row r="971" spans="5:5" ht="14.25" customHeight="1" x14ac:dyDescent="0.2">
      <c r="E971" s="19" t="s">
        <v>1979</v>
      </c>
    </row>
    <row r="972" spans="5:5" ht="14.25" customHeight="1" x14ac:dyDescent="0.2">
      <c r="E972" s="19" t="s">
        <v>1979</v>
      </c>
    </row>
    <row r="973" spans="5:5" ht="14.25" customHeight="1" x14ac:dyDescent="0.2">
      <c r="E973" s="19" t="s">
        <v>1979</v>
      </c>
    </row>
    <row r="974" spans="5:5" ht="14.25" customHeight="1" x14ac:dyDescent="0.2">
      <c r="E974" s="19" t="s">
        <v>1979</v>
      </c>
    </row>
    <row r="975" spans="5:5" ht="14.25" customHeight="1" x14ac:dyDescent="0.2">
      <c r="E975" s="19" t="s">
        <v>1979</v>
      </c>
    </row>
    <row r="976" spans="5:5" ht="14.25" customHeight="1" x14ac:dyDescent="0.2">
      <c r="E976" s="19" t="s">
        <v>1979</v>
      </c>
    </row>
    <row r="977" spans="5:5" ht="14.25" customHeight="1" x14ac:dyDescent="0.2">
      <c r="E977" s="19" t="s">
        <v>1979</v>
      </c>
    </row>
    <row r="978" spans="5:5" ht="14.25" customHeight="1" x14ac:dyDescent="0.2">
      <c r="E978" s="19" t="s">
        <v>1979</v>
      </c>
    </row>
    <row r="979" spans="5:5" ht="14.25" customHeight="1" x14ac:dyDescent="0.2">
      <c r="E979" s="19" t="s">
        <v>1979</v>
      </c>
    </row>
    <row r="980" spans="5:5" ht="14.25" customHeight="1" x14ac:dyDescent="0.2">
      <c r="E980" s="19" t="s">
        <v>1979</v>
      </c>
    </row>
    <row r="981" spans="5:5" ht="14.25" customHeight="1" x14ac:dyDescent="0.2">
      <c r="E981" s="19" t="s">
        <v>1979</v>
      </c>
    </row>
    <row r="982" spans="5:5" ht="14.25" customHeight="1" x14ac:dyDescent="0.2">
      <c r="E982" s="19" t="s">
        <v>1979</v>
      </c>
    </row>
    <row r="983" spans="5:5" ht="14.25" customHeight="1" x14ac:dyDescent="0.2">
      <c r="E983" s="19" t="s">
        <v>1979</v>
      </c>
    </row>
    <row r="984" spans="5:5" ht="14.25" customHeight="1" x14ac:dyDescent="0.2">
      <c r="E984" s="19" t="s">
        <v>1979</v>
      </c>
    </row>
    <row r="985" spans="5:5" ht="14.25" customHeight="1" x14ac:dyDescent="0.2">
      <c r="E985" s="19" t="s">
        <v>1979</v>
      </c>
    </row>
    <row r="986" spans="5:5" ht="14.25" customHeight="1" x14ac:dyDescent="0.2">
      <c r="E986" s="19" t="s">
        <v>1979</v>
      </c>
    </row>
    <row r="987" spans="5:5" ht="14.25" customHeight="1" x14ac:dyDescent="0.2">
      <c r="E987" s="19" t="s">
        <v>1979</v>
      </c>
    </row>
    <row r="988" spans="5:5" ht="14.25" customHeight="1" x14ac:dyDescent="0.2">
      <c r="E988" s="19" t="s">
        <v>1979</v>
      </c>
    </row>
    <row r="989" spans="5:5" ht="14.25" customHeight="1" x14ac:dyDescent="0.2">
      <c r="E989" s="19" t="s">
        <v>1979</v>
      </c>
    </row>
    <row r="990" spans="5:5" ht="14.25" customHeight="1" x14ac:dyDescent="0.2">
      <c r="E990" s="19" t="s">
        <v>1979</v>
      </c>
    </row>
    <row r="991" spans="5:5" ht="14.25" customHeight="1" x14ac:dyDescent="0.2">
      <c r="E991" s="19" t="s">
        <v>1979</v>
      </c>
    </row>
    <row r="992" spans="5:5" ht="14.25" customHeight="1" x14ac:dyDescent="0.2">
      <c r="E992" s="19" t="s">
        <v>1979</v>
      </c>
    </row>
    <row r="993" spans="5:5" ht="14.25" customHeight="1" x14ac:dyDescent="0.2">
      <c r="E993" s="19" t="s">
        <v>1979</v>
      </c>
    </row>
    <row r="994" spans="5:5" ht="14.25" customHeight="1" x14ac:dyDescent="0.2">
      <c r="E994" s="19" t="s">
        <v>1979</v>
      </c>
    </row>
    <row r="995" spans="5:5" ht="14.25" customHeight="1" x14ac:dyDescent="0.2">
      <c r="E995" s="19" t="s">
        <v>1979</v>
      </c>
    </row>
    <row r="996" spans="5:5" ht="14.25" customHeight="1" x14ac:dyDescent="0.2">
      <c r="E996" s="19" t="s">
        <v>1979</v>
      </c>
    </row>
    <row r="997" spans="5:5" ht="14.25" customHeight="1" x14ac:dyDescent="0.2">
      <c r="E997" s="19" t="s">
        <v>1979</v>
      </c>
    </row>
    <row r="998" spans="5:5" ht="14.25" customHeight="1" x14ac:dyDescent="0.2">
      <c r="E998" s="19" t="s">
        <v>1979</v>
      </c>
    </row>
    <row r="999" spans="5:5" ht="14.25" customHeight="1" x14ac:dyDescent="0.2">
      <c r="E999" s="19" t="s">
        <v>1979</v>
      </c>
    </row>
    <row r="1000" spans="5:5" ht="14.25" customHeight="1" x14ac:dyDescent="0.2">
      <c r="E1000" s="19" t="s">
        <v>1979</v>
      </c>
    </row>
    <row r="1001" spans="5:5" ht="14.25" customHeight="1" x14ac:dyDescent="0.2">
      <c r="E1001" s="19" t="s">
        <v>1979</v>
      </c>
    </row>
    <row r="1002" spans="5:5" ht="14.25" customHeight="1" x14ac:dyDescent="0.2">
      <c r="E1002" s="19" t="s">
        <v>1979</v>
      </c>
    </row>
    <row r="1003" spans="5:5" ht="14.25" customHeight="1" x14ac:dyDescent="0.2">
      <c r="E1003" s="19" t="s">
        <v>1979</v>
      </c>
    </row>
    <row r="1004" spans="5:5" ht="14.25" customHeight="1" x14ac:dyDescent="0.2">
      <c r="E1004" s="19" t="s">
        <v>1979</v>
      </c>
    </row>
    <row r="1005" spans="5:5" ht="14.25" customHeight="1" x14ac:dyDescent="0.2">
      <c r="E1005" s="19" t="s">
        <v>1979</v>
      </c>
    </row>
    <row r="1006" spans="5:5" ht="14.25" customHeight="1" x14ac:dyDescent="0.2">
      <c r="E1006" s="19" t="s">
        <v>1979</v>
      </c>
    </row>
    <row r="1007" spans="5:5" ht="14.25" customHeight="1" x14ac:dyDescent="0.2">
      <c r="E1007" s="19" t="s">
        <v>1979</v>
      </c>
    </row>
    <row r="1008" spans="5:5" ht="14.25" customHeight="1" x14ac:dyDescent="0.2">
      <c r="E1008" s="19" t="s">
        <v>1979</v>
      </c>
    </row>
    <row r="1009" spans="5:5" ht="14.25" customHeight="1" x14ac:dyDescent="0.2">
      <c r="E1009" s="19" t="s">
        <v>1979</v>
      </c>
    </row>
    <row r="1010" spans="5:5" ht="14.25" customHeight="1" x14ac:dyDescent="0.2">
      <c r="E1010" s="19" t="s">
        <v>1979</v>
      </c>
    </row>
    <row r="1011" spans="5:5" ht="14.25" customHeight="1" x14ac:dyDescent="0.2">
      <c r="E1011" s="19" t="s">
        <v>1979</v>
      </c>
    </row>
    <row r="1012" spans="5:5" ht="14.25" customHeight="1" x14ac:dyDescent="0.2">
      <c r="E1012" s="19" t="s">
        <v>1979</v>
      </c>
    </row>
    <row r="1013" spans="5:5" ht="14.25" customHeight="1" x14ac:dyDescent="0.2">
      <c r="E1013" s="19" t="s">
        <v>1979</v>
      </c>
    </row>
    <row r="1014" spans="5:5" ht="14.25" customHeight="1" x14ac:dyDescent="0.2">
      <c r="E1014" s="19" t="s">
        <v>1979</v>
      </c>
    </row>
    <row r="1015" spans="5:5" ht="14.25" customHeight="1" x14ac:dyDescent="0.2">
      <c r="E1015" s="19" t="s">
        <v>1979</v>
      </c>
    </row>
    <row r="1016" spans="5:5" ht="14.25" customHeight="1" x14ac:dyDescent="0.2">
      <c r="E1016" s="19" t="s">
        <v>1979</v>
      </c>
    </row>
    <row r="1017" spans="5:5" ht="14.25" customHeight="1" x14ac:dyDescent="0.2">
      <c r="E1017" s="19" t="s">
        <v>1979</v>
      </c>
    </row>
    <row r="1018" spans="5:5" ht="14.25" customHeight="1" x14ac:dyDescent="0.2">
      <c r="E1018" s="19" t="s">
        <v>1979</v>
      </c>
    </row>
    <row r="1019" spans="5:5" ht="14.25" customHeight="1" x14ac:dyDescent="0.2">
      <c r="E1019" s="19" t="s">
        <v>1979</v>
      </c>
    </row>
    <row r="1020" spans="5:5" ht="14.25" customHeight="1" x14ac:dyDescent="0.2">
      <c r="E1020" s="19" t="s">
        <v>1979</v>
      </c>
    </row>
    <row r="1021" spans="5:5" ht="14.25" customHeight="1" x14ac:dyDescent="0.2">
      <c r="E1021" s="19" t="s">
        <v>1979</v>
      </c>
    </row>
    <row r="1022" spans="5:5" ht="14.25" customHeight="1" x14ac:dyDescent="0.2">
      <c r="E1022" s="19" t="s">
        <v>1979</v>
      </c>
    </row>
    <row r="1023" spans="5:5" ht="14.25" customHeight="1" x14ac:dyDescent="0.2">
      <c r="E1023" s="19" t="s">
        <v>1979</v>
      </c>
    </row>
    <row r="1024" spans="5:5" ht="14.25" customHeight="1" x14ac:dyDescent="0.2">
      <c r="E1024" s="19" t="s">
        <v>1979</v>
      </c>
    </row>
    <row r="1025" spans="5:5" ht="14.25" customHeight="1" x14ac:dyDescent="0.2">
      <c r="E1025" s="19" t="s">
        <v>1979</v>
      </c>
    </row>
    <row r="1026" spans="5:5" ht="14.25" customHeight="1" x14ac:dyDescent="0.2">
      <c r="E1026" s="19" t="s">
        <v>1979</v>
      </c>
    </row>
    <row r="1027" spans="5:5" ht="14.25" customHeight="1" x14ac:dyDescent="0.2">
      <c r="E1027" s="19" t="s">
        <v>1979</v>
      </c>
    </row>
    <row r="1028" spans="5:5" ht="14.25" customHeight="1" x14ac:dyDescent="0.2">
      <c r="E1028" s="19" t="s">
        <v>1979</v>
      </c>
    </row>
    <row r="1029" spans="5:5" ht="14.25" customHeight="1" x14ac:dyDescent="0.2">
      <c r="E1029" s="19" t="s">
        <v>1979</v>
      </c>
    </row>
    <row r="1030" spans="5:5" ht="14.25" customHeight="1" x14ac:dyDescent="0.2">
      <c r="E1030" s="19" t="s">
        <v>1979</v>
      </c>
    </row>
    <row r="1031" spans="5:5" ht="14.25" customHeight="1" x14ac:dyDescent="0.2">
      <c r="E1031" s="19" t="s">
        <v>1979</v>
      </c>
    </row>
    <row r="1032" spans="5:5" ht="14.25" customHeight="1" x14ac:dyDescent="0.2">
      <c r="E1032" s="19" t="s">
        <v>1979</v>
      </c>
    </row>
    <row r="1033" spans="5:5" ht="14.25" customHeight="1" x14ac:dyDescent="0.2">
      <c r="E1033" s="19" t="s">
        <v>1979</v>
      </c>
    </row>
    <row r="1034" spans="5:5" ht="14.25" customHeight="1" x14ac:dyDescent="0.2">
      <c r="E1034" s="19" t="s">
        <v>1979</v>
      </c>
    </row>
    <row r="1035" spans="5:5" ht="14.25" customHeight="1" x14ac:dyDescent="0.2">
      <c r="E1035" s="19" t="s">
        <v>1979</v>
      </c>
    </row>
    <row r="1036" spans="5:5" ht="14.25" customHeight="1" x14ac:dyDescent="0.2">
      <c r="E1036" s="19" t="s">
        <v>1979</v>
      </c>
    </row>
    <row r="1037" spans="5:5" ht="14.25" customHeight="1" x14ac:dyDescent="0.2">
      <c r="E1037" s="19" t="s">
        <v>1979</v>
      </c>
    </row>
    <row r="1038" spans="5:5" ht="14.25" customHeight="1" x14ac:dyDescent="0.2">
      <c r="E1038" s="19" t="s">
        <v>1979</v>
      </c>
    </row>
    <row r="1039" spans="5:5" ht="14.25" customHeight="1" x14ac:dyDescent="0.2">
      <c r="E1039" s="19" t="s">
        <v>1979</v>
      </c>
    </row>
    <row r="1040" spans="5:5" ht="14.25" customHeight="1" x14ac:dyDescent="0.2">
      <c r="E1040" s="19" t="s">
        <v>1979</v>
      </c>
    </row>
    <row r="1041" spans="5:5" ht="14.25" customHeight="1" x14ac:dyDescent="0.2">
      <c r="E1041" s="19" t="s">
        <v>1979</v>
      </c>
    </row>
    <row r="1042" spans="5:5" ht="14.25" customHeight="1" x14ac:dyDescent="0.2">
      <c r="E1042" s="19" t="s">
        <v>1979</v>
      </c>
    </row>
    <row r="1043" spans="5:5" ht="14.25" customHeight="1" x14ac:dyDescent="0.2">
      <c r="E1043" s="19" t="s">
        <v>1979</v>
      </c>
    </row>
    <row r="1044" spans="5:5" ht="14.25" customHeight="1" x14ac:dyDescent="0.2">
      <c r="E1044" s="19" t="s">
        <v>1979</v>
      </c>
    </row>
    <row r="1045" spans="5:5" ht="14.25" customHeight="1" x14ac:dyDescent="0.2">
      <c r="E1045" s="19" t="s">
        <v>1979</v>
      </c>
    </row>
    <row r="1046" spans="5:5" ht="14.25" customHeight="1" x14ac:dyDescent="0.2">
      <c r="E1046" s="19" t="s">
        <v>1979</v>
      </c>
    </row>
    <row r="1047" spans="5:5" ht="14.25" customHeight="1" x14ac:dyDescent="0.2">
      <c r="E1047" s="19" t="s">
        <v>1979</v>
      </c>
    </row>
    <row r="1048" spans="5:5" ht="14.25" customHeight="1" x14ac:dyDescent="0.2">
      <c r="E1048" s="19" t="s">
        <v>1979</v>
      </c>
    </row>
    <row r="1049" spans="5:5" ht="14.25" customHeight="1" x14ac:dyDescent="0.2">
      <c r="E1049" s="19" t="s">
        <v>1979</v>
      </c>
    </row>
    <row r="1050" spans="5:5" ht="14.25" customHeight="1" x14ac:dyDescent="0.2">
      <c r="E1050" s="19" t="s">
        <v>1979</v>
      </c>
    </row>
    <row r="1051" spans="5:5" ht="14.25" customHeight="1" x14ac:dyDescent="0.2">
      <c r="E1051" s="19" t="s">
        <v>1979</v>
      </c>
    </row>
    <row r="1052" spans="5:5" ht="14.25" customHeight="1" x14ac:dyDescent="0.2">
      <c r="E1052" s="19" t="s">
        <v>1979</v>
      </c>
    </row>
    <row r="1053" spans="5:5" ht="14.25" customHeight="1" x14ac:dyDescent="0.2">
      <c r="E1053" s="19" t="s">
        <v>1979</v>
      </c>
    </row>
    <row r="1054" spans="5:5" ht="14.25" customHeight="1" x14ac:dyDescent="0.2">
      <c r="E1054" s="19" t="s">
        <v>1979</v>
      </c>
    </row>
    <row r="1055" spans="5:5" ht="14.25" customHeight="1" x14ac:dyDescent="0.2">
      <c r="E1055" s="19" t="s">
        <v>1979</v>
      </c>
    </row>
    <row r="1056" spans="5:5" ht="14.25" customHeight="1" x14ac:dyDescent="0.2">
      <c r="E1056" s="19" t="s">
        <v>1979</v>
      </c>
    </row>
    <row r="1057" spans="5:5" ht="14.25" customHeight="1" x14ac:dyDescent="0.2">
      <c r="E1057" s="19" t="s">
        <v>1979</v>
      </c>
    </row>
    <row r="1058" spans="5:5" ht="14.25" customHeight="1" x14ac:dyDescent="0.2">
      <c r="E1058" s="19" t="s">
        <v>1979</v>
      </c>
    </row>
    <row r="1059" spans="5:5" ht="14.25" customHeight="1" x14ac:dyDescent="0.2">
      <c r="E1059" s="19" t="s">
        <v>1979</v>
      </c>
    </row>
    <row r="1060" spans="5:5" ht="14.25" customHeight="1" x14ac:dyDescent="0.2">
      <c r="E1060" s="19" t="s">
        <v>1979</v>
      </c>
    </row>
    <row r="1061" spans="5:5" ht="14.25" customHeight="1" x14ac:dyDescent="0.2">
      <c r="E1061" s="19" t="s">
        <v>1979</v>
      </c>
    </row>
    <row r="1062" spans="5:5" ht="14.25" customHeight="1" x14ac:dyDescent="0.2">
      <c r="E1062" s="19" t="s">
        <v>1979</v>
      </c>
    </row>
    <row r="1063" spans="5:5" ht="14.25" customHeight="1" x14ac:dyDescent="0.2">
      <c r="E1063" s="19" t="s">
        <v>1979</v>
      </c>
    </row>
    <row r="1064" spans="5:5" ht="14.25" customHeight="1" x14ac:dyDescent="0.2">
      <c r="E1064" s="19" t="s">
        <v>1979</v>
      </c>
    </row>
    <row r="1065" spans="5:5" ht="14.25" customHeight="1" x14ac:dyDescent="0.2">
      <c r="E1065" s="19" t="s">
        <v>1979</v>
      </c>
    </row>
    <row r="1066" spans="5:5" ht="14.25" customHeight="1" x14ac:dyDescent="0.2">
      <c r="E1066" s="19" t="s">
        <v>1979</v>
      </c>
    </row>
    <row r="1067" spans="5:5" ht="14.25" customHeight="1" x14ac:dyDescent="0.2">
      <c r="E1067" s="19" t="s">
        <v>1979</v>
      </c>
    </row>
    <row r="1068" spans="5:5" ht="14.25" customHeight="1" x14ac:dyDescent="0.2">
      <c r="E1068" s="19" t="s">
        <v>1979</v>
      </c>
    </row>
    <row r="1069" spans="5:5" ht="14.25" customHeight="1" x14ac:dyDescent="0.2">
      <c r="E1069" s="19" t="s">
        <v>1979</v>
      </c>
    </row>
    <row r="1070" spans="5:5" ht="14.25" customHeight="1" x14ac:dyDescent="0.2">
      <c r="E1070" s="19" t="s">
        <v>1979</v>
      </c>
    </row>
    <row r="1071" spans="5:5" ht="14.25" customHeight="1" x14ac:dyDescent="0.2">
      <c r="E1071" s="19" t="s">
        <v>1979</v>
      </c>
    </row>
    <row r="1072" spans="5:5" ht="14.25" customHeight="1" x14ac:dyDescent="0.2">
      <c r="E1072" s="19" t="s">
        <v>1979</v>
      </c>
    </row>
    <row r="1073" spans="5:5" ht="14.25" customHeight="1" x14ac:dyDescent="0.2">
      <c r="E1073" s="19" t="s">
        <v>1979</v>
      </c>
    </row>
    <row r="1074" spans="5:5" ht="14.25" customHeight="1" x14ac:dyDescent="0.2">
      <c r="E1074" s="19" t="s">
        <v>1979</v>
      </c>
    </row>
    <row r="1075" spans="5:5" ht="14.25" customHeight="1" x14ac:dyDescent="0.2">
      <c r="E1075" s="19" t="s">
        <v>1979</v>
      </c>
    </row>
    <row r="1076" spans="5:5" ht="14.25" customHeight="1" x14ac:dyDescent="0.2">
      <c r="E1076" s="19" t="s">
        <v>1979</v>
      </c>
    </row>
    <row r="1077" spans="5:5" ht="14.25" customHeight="1" x14ac:dyDescent="0.2">
      <c r="E1077" s="19" t="s">
        <v>1979</v>
      </c>
    </row>
    <row r="1078" spans="5:5" ht="14.25" customHeight="1" x14ac:dyDescent="0.2">
      <c r="E1078" s="19" t="s">
        <v>1979</v>
      </c>
    </row>
    <row r="1079" spans="5:5" ht="14.25" customHeight="1" x14ac:dyDescent="0.2">
      <c r="E1079" s="19" t="s">
        <v>1979</v>
      </c>
    </row>
    <row r="1080" spans="5:5" ht="14.25" customHeight="1" x14ac:dyDescent="0.2">
      <c r="E1080" s="19" t="s">
        <v>1979</v>
      </c>
    </row>
    <row r="1081" spans="5:5" ht="14.25" customHeight="1" x14ac:dyDescent="0.2">
      <c r="E1081" s="19" t="s">
        <v>1979</v>
      </c>
    </row>
    <row r="1082" spans="5:5" ht="14.25" customHeight="1" x14ac:dyDescent="0.2">
      <c r="E1082" s="19" t="s">
        <v>1979</v>
      </c>
    </row>
    <row r="1083" spans="5:5" ht="14.25" customHeight="1" x14ac:dyDescent="0.2">
      <c r="E1083" s="19" t="s">
        <v>1979</v>
      </c>
    </row>
    <row r="1084" spans="5:5" ht="14.25" customHeight="1" x14ac:dyDescent="0.2">
      <c r="E1084" s="19" t="s">
        <v>1979</v>
      </c>
    </row>
    <row r="1085" spans="5:5" ht="14.25" customHeight="1" x14ac:dyDescent="0.2">
      <c r="E1085" s="19" t="s">
        <v>1979</v>
      </c>
    </row>
    <row r="1086" spans="5:5" ht="14.25" customHeight="1" x14ac:dyDescent="0.2">
      <c r="E1086" s="19" t="s">
        <v>1979</v>
      </c>
    </row>
    <row r="1087" spans="5:5" ht="14.25" customHeight="1" x14ac:dyDescent="0.2">
      <c r="E1087" s="19" t="s">
        <v>1979</v>
      </c>
    </row>
    <row r="1088" spans="5:5" ht="14.25" customHeight="1" x14ac:dyDescent="0.2">
      <c r="E1088" s="19" t="s">
        <v>1979</v>
      </c>
    </row>
    <row r="1089" spans="5:5" ht="14.25" customHeight="1" x14ac:dyDescent="0.2">
      <c r="E1089" s="19" t="s">
        <v>1979</v>
      </c>
    </row>
    <row r="1090" spans="5:5" ht="14.25" customHeight="1" x14ac:dyDescent="0.2">
      <c r="E1090" s="19" t="s">
        <v>1979</v>
      </c>
    </row>
    <row r="1091" spans="5:5" ht="14.25" customHeight="1" x14ac:dyDescent="0.2">
      <c r="E1091" s="19" t="s">
        <v>1979</v>
      </c>
    </row>
    <row r="1092" spans="5:5" ht="14.25" customHeight="1" x14ac:dyDescent="0.2">
      <c r="E1092" s="19" t="s">
        <v>1979</v>
      </c>
    </row>
    <row r="1093" spans="5:5" ht="14.25" customHeight="1" x14ac:dyDescent="0.2">
      <c r="E1093" s="19" t="s">
        <v>1979</v>
      </c>
    </row>
    <row r="1094" spans="5:5" ht="14.25" customHeight="1" x14ac:dyDescent="0.2">
      <c r="E1094" s="19" t="s">
        <v>1979</v>
      </c>
    </row>
    <row r="1095" spans="5:5" ht="14.25" customHeight="1" x14ac:dyDescent="0.2">
      <c r="E1095" s="19" t="s">
        <v>1979</v>
      </c>
    </row>
    <row r="1096" spans="5:5" ht="14.25" customHeight="1" x14ac:dyDescent="0.2">
      <c r="E1096" s="19" t="s">
        <v>1979</v>
      </c>
    </row>
    <row r="1097" spans="5:5" ht="14.25" customHeight="1" x14ac:dyDescent="0.2">
      <c r="E1097" s="19" t="s">
        <v>1979</v>
      </c>
    </row>
    <row r="1098" spans="5:5" ht="14.25" customHeight="1" x14ac:dyDescent="0.2">
      <c r="E1098" s="19" t="s">
        <v>1979</v>
      </c>
    </row>
    <row r="1099" spans="5:5" ht="14.25" customHeight="1" x14ac:dyDescent="0.2">
      <c r="E1099" s="19" t="s">
        <v>1979</v>
      </c>
    </row>
    <row r="1100" spans="5:5" ht="14.25" customHeight="1" x14ac:dyDescent="0.2">
      <c r="E1100" s="19" t="s">
        <v>1979</v>
      </c>
    </row>
    <row r="1101" spans="5:5" ht="14.25" customHeight="1" x14ac:dyDescent="0.2">
      <c r="E1101" s="19" t="s">
        <v>1979</v>
      </c>
    </row>
    <row r="1102" spans="5:5" ht="14.25" customHeight="1" x14ac:dyDescent="0.2">
      <c r="E1102" s="19" t="s">
        <v>1979</v>
      </c>
    </row>
    <row r="1103" spans="5:5" ht="14.25" customHeight="1" x14ac:dyDescent="0.2">
      <c r="E1103" s="19" t="s">
        <v>1979</v>
      </c>
    </row>
    <row r="1104" spans="5:5" ht="14.25" customHeight="1" x14ac:dyDescent="0.2">
      <c r="E1104" s="19" t="s">
        <v>1979</v>
      </c>
    </row>
    <row r="1105" spans="5:5" ht="14.25" customHeight="1" x14ac:dyDescent="0.2">
      <c r="E1105" s="19" t="s">
        <v>1979</v>
      </c>
    </row>
    <row r="1106" spans="5:5" ht="14.25" customHeight="1" x14ac:dyDescent="0.2">
      <c r="E1106" s="19" t="s">
        <v>1979</v>
      </c>
    </row>
    <row r="1107" spans="5:5" ht="14.25" customHeight="1" x14ac:dyDescent="0.2">
      <c r="E1107" s="19" t="s">
        <v>1979</v>
      </c>
    </row>
    <row r="1108" spans="5:5" ht="14.25" customHeight="1" x14ac:dyDescent="0.2">
      <c r="E1108" s="19" t="s">
        <v>1979</v>
      </c>
    </row>
    <row r="1109" spans="5:5" ht="14.25" customHeight="1" x14ac:dyDescent="0.2">
      <c r="E1109" s="19" t="s">
        <v>1979</v>
      </c>
    </row>
    <row r="1110" spans="5:5" ht="14.25" customHeight="1" x14ac:dyDescent="0.2">
      <c r="E1110" s="19" t="s">
        <v>1979</v>
      </c>
    </row>
    <row r="1111" spans="5:5" ht="14.25" customHeight="1" x14ac:dyDescent="0.2">
      <c r="E1111" s="19" t="s">
        <v>1979</v>
      </c>
    </row>
    <row r="1112" spans="5:5" ht="14.25" customHeight="1" x14ac:dyDescent="0.2">
      <c r="E1112" s="19" t="s">
        <v>1979</v>
      </c>
    </row>
    <row r="1113" spans="5:5" ht="14.25" customHeight="1" x14ac:dyDescent="0.2">
      <c r="E1113" s="19" t="s">
        <v>1979</v>
      </c>
    </row>
    <row r="1114" spans="5:5" ht="14.25" customHeight="1" x14ac:dyDescent="0.2">
      <c r="E1114" s="19" t="s">
        <v>1979</v>
      </c>
    </row>
    <row r="1115" spans="5:5" ht="14.25" customHeight="1" x14ac:dyDescent="0.2">
      <c r="E1115" s="19" t="s">
        <v>1979</v>
      </c>
    </row>
    <row r="1116" spans="5:5" ht="14.25" customHeight="1" x14ac:dyDescent="0.2">
      <c r="E1116" s="19" t="s">
        <v>1979</v>
      </c>
    </row>
    <row r="1117" spans="5:5" ht="14.25" customHeight="1" x14ac:dyDescent="0.2">
      <c r="E1117" s="19" t="s">
        <v>1979</v>
      </c>
    </row>
    <row r="1118" spans="5:5" ht="14.25" customHeight="1" x14ac:dyDescent="0.2">
      <c r="E1118" s="19" t="s">
        <v>1979</v>
      </c>
    </row>
    <row r="1119" spans="5:5" ht="14.25" customHeight="1" x14ac:dyDescent="0.2">
      <c r="E1119" s="19" t="s">
        <v>1979</v>
      </c>
    </row>
    <row r="1120" spans="5:5" ht="14.25" customHeight="1" x14ac:dyDescent="0.2">
      <c r="E1120" s="19" t="s">
        <v>1979</v>
      </c>
    </row>
    <row r="1121" spans="5:5" ht="14.25" customHeight="1" x14ac:dyDescent="0.2">
      <c r="E1121" s="19" t="s">
        <v>1979</v>
      </c>
    </row>
    <row r="1122" spans="5:5" ht="14.25" customHeight="1" x14ac:dyDescent="0.2">
      <c r="E1122" s="19" t="s">
        <v>1979</v>
      </c>
    </row>
    <row r="1123" spans="5:5" ht="14.25" customHeight="1" x14ac:dyDescent="0.2">
      <c r="E1123" s="19" t="s">
        <v>1979</v>
      </c>
    </row>
    <row r="1124" spans="5:5" ht="14.25" customHeight="1" x14ac:dyDescent="0.2">
      <c r="E1124" s="19" t="s">
        <v>1979</v>
      </c>
    </row>
    <row r="1125" spans="5:5" ht="14.25" customHeight="1" x14ac:dyDescent="0.2">
      <c r="E1125" s="19" t="s">
        <v>1979</v>
      </c>
    </row>
    <row r="1126" spans="5:5" ht="14.25" customHeight="1" x14ac:dyDescent="0.2">
      <c r="E1126" s="19" t="s">
        <v>1979</v>
      </c>
    </row>
    <row r="1127" spans="5:5" ht="14.25" customHeight="1" x14ac:dyDescent="0.2">
      <c r="E1127" s="19" t="s">
        <v>1979</v>
      </c>
    </row>
    <row r="1128" spans="5:5" ht="14.25" customHeight="1" x14ac:dyDescent="0.2">
      <c r="E1128" s="19" t="s">
        <v>1979</v>
      </c>
    </row>
    <row r="1129" spans="5:5" ht="14.25" customHeight="1" x14ac:dyDescent="0.2">
      <c r="E1129" s="19" t="s">
        <v>1979</v>
      </c>
    </row>
    <row r="1130" spans="5:5" ht="14.25" customHeight="1" x14ac:dyDescent="0.2">
      <c r="E1130" s="19" t="s">
        <v>1979</v>
      </c>
    </row>
    <row r="1131" spans="5:5" ht="14.25" customHeight="1" x14ac:dyDescent="0.2">
      <c r="E1131" s="19" t="s">
        <v>1979</v>
      </c>
    </row>
    <row r="1132" spans="5:5" ht="14.25" customHeight="1" x14ac:dyDescent="0.2">
      <c r="E1132" s="19" t="s">
        <v>1979</v>
      </c>
    </row>
    <row r="1133" spans="5:5" ht="14.25" customHeight="1" x14ac:dyDescent="0.2">
      <c r="E1133" s="19" t="s">
        <v>1979</v>
      </c>
    </row>
    <row r="1134" spans="5:5" ht="14.25" customHeight="1" x14ac:dyDescent="0.2">
      <c r="E1134" s="19" t="s">
        <v>1979</v>
      </c>
    </row>
    <row r="1135" spans="5:5" ht="14.25" customHeight="1" x14ac:dyDescent="0.2">
      <c r="E1135" s="19" t="s">
        <v>1979</v>
      </c>
    </row>
    <row r="1136" spans="5:5" ht="14.25" customHeight="1" x14ac:dyDescent="0.2">
      <c r="E1136" s="19" t="s">
        <v>1979</v>
      </c>
    </row>
    <row r="1137" spans="5:5" ht="14.25" customHeight="1" x14ac:dyDescent="0.2">
      <c r="E1137" s="19" t="s">
        <v>1979</v>
      </c>
    </row>
    <row r="1138" spans="5:5" ht="14.25" customHeight="1" x14ac:dyDescent="0.2">
      <c r="E1138" s="19" t="s">
        <v>1979</v>
      </c>
    </row>
    <row r="1139" spans="5:5" ht="14.25" customHeight="1" x14ac:dyDescent="0.2">
      <c r="E1139" s="19" t="s">
        <v>1979</v>
      </c>
    </row>
    <row r="1140" spans="5:5" ht="14.25" customHeight="1" x14ac:dyDescent="0.2">
      <c r="E1140" s="19" t="s">
        <v>1979</v>
      </c>
    </row>
    <row r="1141" spans="5:5" ht="14.25" customHeight="1" x14ac:dyDescent="0.2">
      <c r="E1141" s="19" t="s">
        <v>1979</v>
      </c>
    </row>
    <row r="1142" spans="5:5" ht="14.25" customHeight="1" x14ac:dyDescent="0.2">
      <c r="E1142" s="19" t="s">
        <v>1979</v>
      </c>
    </row>
    <row r="1143" spans="5:5" ht="14.25" customHeight="1" x14ac:dyDescent="0.2">
      <c r="E1143" s="19" t="s">
        <v>1979</v>
      </c>
    </row>
    <row r="1144" spans="5:5" ht="14.25" customHeight="1" x14ac:dyDescent="0.2">
      <c r="E1144" s="19" t="s">
        <v>1979</v>
      </c>
    </row>
    <row r="1145" spans="5:5" ht="14.25" customHeight="1" x14ac:dyDescent="0.2">
      <c r="E1145" s="19" t="s">
        <v>1979</v>
      </c>
    </row>
    <row r="1146" spans="5:5" ht="14.25" customHeight="1" x14ac:dyDescent="0.2">
      <c r="E1146" s="19" t="s">
        <v>1979</v>
      </c>
    </row>
    <row r="1147" spans="5:5" ht="14.25" customHeight="1" x14ac:dyDescent="0.2">
      <c r="E1147" s="19" t="s">
        <v>1979</v>
      </c>
    </row>
    <row r="1148" spans="5:5" ht="14.25" customHeight="1" x14ac:dyDescent="0.2">
      <c r="E1148" s="19" t="s">
        <v>1979</v>
      </c>
    </row>
    <row r="1149" spans="5:5" ht="14.25" customHeight="1" x14ac:dyDescent="0.2">
      <c r="E1149" s="19" t="s">
        <v>1979</v>
      </c>
    </row>
    <row r="1150" spans="5:5" ht="14.25" customHeight="1" x14ac:dyDescent="0.2">
      <c r="E1150" s="19" t="s">
        <v>1979</v>
      </c>
    </row>
    <row r="1151" spans="5:5" ht="14.25" customHeight="1" x14ac:dyDescent="0.2">
      <c r="E1151" s="19" t="s">
        <v>1979</v>
      </c>
    </row>
    <row r="1152" spans="5:5" ht="14.25" customHeight="1" x14ac:dyDescent="0.2">
      <c r="E1152" s="19" t="s">
        <v>1979</v>
      </c>
    </row>
    <row r="1153" spans="5:5" ht="14.25" customHeight="1" x14ac:dyDescent="0.2">
      <c r="E1153" s="19" t="s">
        <v>1979</v>
      </c>
    </row>
    <row r="1154" spans="5:5" ht="14.25" customHeight="1" x14ac:dyDescent="0.2">
      <c r="E1154" s="19" t="s">
        <v>1979</v>
      </c>
    </row>
    <row r="1155" spans="5:5" ht="14.25" customHeight="1" x14ac:dyDescent="0.2">
      <c r="E1155" s="19" t="s">
        <v>1979</v>
      </c>
    </row>
    <row r="1156" spans="5:5" ht="14.25" customHeight="1" x14ac:dyDescent="0.2">
      <c r="E1156" s="19" t="s">
        <v>1979</v>
      </c>
    </row>
    <row r="1157" spans="5:5" ht="14.25" customHeight="1" x14ac:dyDescent="0.2">
      <c r="E1157" s="19" t="s">
        <v>1979</v>
      </c>
    </row>
    <row r="1158" spans="5:5" ht="14.25" customHeight="1" x14ac:dyDescent="0.2">
      <c r="E1158" s="19" t="s">
        <v>1979</v>
      </c>
    </row>
    <row r="1159" spans="5:5" ht="14.25" customHeight="1" x14ac:dyDescent="0.2">
      <c r="E1159" s="19" t="s">
        <v>1979</v>
      </c>
    </row>
    <row r="1160" spans="5:5" ht="14.25" customHeight="1" x14ac:dyDescent="0.2">
      <c r="E1160" s="19" t="s">
        <v>1979</v>
      </c>
    </row>
    <row r="1161" spans="5:5" ht="14.25" customHeight="1" x14ac:dyDescent="0.2">
      <c r="E1161" s="19" t="s">
        <v>1979</v>
      </c>
    </row>
    <row r="1162" spans="5:5" ht="14.25" customHeight="1" x14ac:dyDescent="0.2">
      <c r="E1162" s="19" t="s">
        <v>1979</v>
      </c>
    </row>
    <row r="1163" spans="5:5" ht="14.25" customHeight="1" x14ac:dyDescent="0.2">
      <c r="E1163" s="19" t="s">
        <v>1979</v>
      </c>
    </row>
    <row r="1164" spans="5:5" ht="14.25" customHeight="1" x14ac:dyDescent="0.2">
      <c r="E1164" s="19" t="s">
        <v>1979</v>
      </c>
    </row>
    <row r="1165" spans="5:5" ht="14.25" customHeight="1" x14ac:dyDescent="0.2">
      <c r="E1165" s="19" t="s">
        <v>1979</v>
      </c>
    </row>
    <row r="1166" spans="5:5" ht="14.25" customHeight="1" x14ac:dyDescent="0.2">
      <c r="E1166" s="19" t="s">
        <v>1979</v>
      </c>
    </row>
    <row r="1167" spans="5:5" ht="14.25" customHeight="1" x14ac:dyDescent="0.2">
      <c r="E1167" s="19" t="s">
        <v>1979</v>
      </c>
    </row>
    <row r="1168" spans="5:5" ht="14.25" customHeight="1" x14ac:dyDescent="0.2">
      <c r="E1168" s="19" t="s">
        <v>1979</v>
      </c>
    </row>
    <row r="1169" spans="5:5" ht="14.25" customHeight="1" x14ac:dyDescent="0.2">
      <c r="E1169" s="19" t="s">
        <v>1979</v>
      </c>
    </row>
    <row r="1170" spans="5:5" ht="14.25" customHeight="1" x14ac:dyDescent="0.2">
      <c r="E1170" s="19" t="s">
        <v>1979</v>
      </c>
    </row>
    <row r="1171" spans="5:5" ht="14.25" customHeight="1" x14ac:dyDescent="0.2">
      <c r="E1171" s="19" t="s">
        <v>1979</v>
      </c>
    </row>
    <row r="1172" spans="5:5" ht="14.25" customHeight="1" x14ac:dyDescent="0.2">
      <c r="E1172" s="19" t="s">
        <v>1979</v>
      </c>
    </row>
    <row r="1173" spans="5:5" ht="14.25" customHeight="1" x14ac:dyDescent="0.2">
      <c r="E1173" s="19" t="s">
        <v>1979</v>
      </c>
    </row>
    <row r="1174" spans="5:5" ht="14.25" customHeight="1" x14ac:dyDescent="0.2">
      <c r="E1174" s="19" t="s">
        <v>1979</v>
      </c>
    </row>
    <row r="1175" spans="5:5" ht="14.25" customHeight="1" x14ac:dyDescent="0.2">
      <c r="E1175" s="19" t="s">
        <v>1979</v>
      </c>
    </row>
    <row r="1176" spans="5:5" ht="14.25" customHeight="1" x14ac:dyDescent="0.2">
      <c r="E1176" s="19" t="s">
        <v>1979</v>
      </c>
    </row>
    <row r="1177" spans="5:5" ht="14.25" customHeight="1" x14ac:dyDescent="0.2">
      <c r="E1177" s="19" t="s">
        <v>1979</v>
      </c>
    </row>
    <row r="1178" spans="5:5" ht="14.25" customHeight="1" x14ac:dyDescent="0.2">
      <c r="E1178" s="19" t="s">
        <v>1979</v>
      </c>
    </row>
    <row r="1179" spans="5:5" ht="14.25" customHeight="1" x14ac:dyDescent="0.2">
      <c r="E1179" s="19" t="s">
        <v>1979</v>
      </c>
    </row>
    <row r="1180" spans="5:5" ht="14.25" customHeight="1" x14ac:dyDescent="0.2">
      <c r="E1180" s="19" t="s">
        <v>1979</v>
      </c>
    </row>
    <row r="1181" spans="5:5" ht="14.25" customHeight="1" x14ac:dyDescent="0.2">
      <c r="E1181" s="19" t="s">
        <v>1979</v>
      </c>
    </row>
    <row r="1182" spans="5:5" ht="14.25" customHeight="1" x14ac:dyDescent="0.2">
      <c r="E1182" s="19" t="s">
        <v>1979</v>
      </c>
    </row>
    <row r="1183" spans="5:5" ht="14.25" customHeight="1" x14ac:dyDescent="0.2">
      <c r="E1183" s="19" t="s">
        <v>1979</v>
      </c>
    </row>
    <row r="1184" spans="5:5" ht="14.25" customHeight="1" x14ac:dyDescent="0.2">
      <c r="E1184" s="19" t="s">
        <v>1979</v>
      </c>
    </row>
    <row r="1185" spans="5:5" ht="14.25" customHeight="1" x14ac:dyDescent="0.2">
      <c r="E1185" s="19" t="s">
        <v>1979</v>
      </c>
    </row>
    <row r="1186" spans="5:5" ht="14.25" customHeight="1" x14ac:dyDescent="0.2">
      <c r="E1186" s="19" t="s">
        <v>1979</v>
      </c>
    </row>
    <row r="1187" spans="5:5" ht="14.25" customHeight="1" x14ac:dyDescent="0.2">
      <c r="E1187" s="19" t="s">
        <v>1979</v>
      </c>
    </row>
    <row r="1188" spans="5:5" ht="14.25" customHeight="1" x14ac:dyDescent="0.2">
      <c r="E1188" s="19" t="s">
        <v>1979</v>
      </c>
    </row>
    <row r="1189" spans="5:5" ht="14.25" customHeight="1" x14ac:dyDescent="0.2">
      <c r="E1189" s="19" t="s">
        <v>1979</v>
      </c>
    </row>
    <row r="1190" spans="5:5" ht="14.25" customHeight="1" x14ac:dyDescent="0.2">
      <c r="E1190" s="19" t="s">
        <v>1979</v>
      </c>
    </row>
    <row r="1191" spans="5:5" ht="14.25" customHeight="1" x14ac:dyDescent="0.2">
      <c r="E1191" s="19" t="s">
        <v>1979</v>
      </c>
    </row>
    <row r="1192" spans="5:5" ht="14.25" customHeight="1" x14ac:dyDescent="0.2">
      <c r="E1192" s="19" t="s">
        <v>1979</v>
      </c>
    </row>
    <row r="1193" spans="5:5" ht="14.25" customHeight="1" x14ac:dyDescent="0.2">
      <c r="E1193" s="19" t="s">
        <v>1979</v>
      </c>
    </row>
    <row r="1194" spans="5:5" ht="14.25" customHeight="1" x14ac:dyDescent="0.2">
      <c r="E1194" s="19" t="s">
        <v>1979</v>
      </c>
    </row>
    <row r="1195" spans="5:5" ht="14.25" customHeight="1" x14ac:dyDescent="0.2">
      <c r="E1195" s="19" t="s">
        <v>1979</v>
      </c>
    </row>
    <row r="1196" spans="5:5" ht="14.25" customHeight="1" x14ac:dyDescent="0.2">
      <c r="E1196" s="19" t="s">
        <v>1979</v>
      </c>
    </row>
    <row r="1197" spans="5:5" ht="14.25" customHeight="1" x14ac:dyDescent="0.2">
      <c r="E1197" s="19" t="s">
        <v>1979</v>
      </c>
    </row>
    <row r="1198" spans="5:5" ht="14.25" customHeight="1" x14ac:dyDescent="0.2">
      <c r="E1198" s="19" t="s">
        <v>1979</v>
      </c>
    </row>
    <row r="1199" spans="5:5" ht="14.25" customHeight="1" x14ac:dyDescent="0.2">
      <c r="E1199" s="19" t="s">
        <v>1979</v>
      </c>
    </row>
    <row r="1200" spans="5:5" ht="14.25" customHeight="1" x14ac:dyDescent="0.2">
      <c r="E1200" s="19" t="s">
        <v>1979</v>
      </c>
    </row>
    <row r="1201" spans="5:5" ht="14.25" customHeight="1" x14ac:dyDescent="0.2">
      <c r="E1201" s="19" t="s">
        <v>1979</v>
      </c>
    </row>
    <row r="1202" spans="5:5" ht="14.25" customHeight="1" x14ac:dyDescent="0.2">
      <c r="E1202" s="19" t="s">
        <v>1979</v>
      </c>
    </row>
    <row r="1203" spans="5:5" ht="14.25" customHeight="1" x14ac:dyDescent="0.2">
      <c r="E1203" s="19" t="s">
        <v>1979</v>
      </c>
    </row>
    <row r="1204" spans="5:5" ht="14.25" customHeight="1" x14ac:dyDescent="0.2">
      <c r="E1204" s="19" t="s">
        <v>1979</v>
      </c>
    </row>
    <row r="1205" spans="5:5" ht="14.25" customHeight="1" x14ac:dyDescent="0.2">
      <c r="E1205" s="19" t="s">
        <v>1979</v>
      </c>
    </row>
    <row r="1206" spans="5:5" ht="14.25" customHeight="1" x14ac:dyDescent="0.2">
      <c r="E1206" s="19" t="s">
        <v>1979</v>
      </c>
    </row>
    <row r="1207" spans="5:5" ht="14.25" customHeight="1" x14ac:dyDescent="0.2">
      <c r="E1207" s="19" t="s">
        <v>1979</v>
      </c>
    </row>
    <row r="1208" spans="5:5" ht="14.25" customHeight="1" x14ac:dyDescent="0.2">
      <c r="E1208" s="19" t="s">
        <v>1979</v>
      </c>
    </row>
    <row r="1209" spans="5:5" ht="14.25" customHeight="1" x14ac:dyDescent="0.2">
      <c r="E1209" s="19" t="s">
        <v>1979</v>
      </c>
    </row>
    <row r="1210" spans="5:5" ht="14.25" customHeight="1" x14ac:dyDescent="0.2">
      <c r="E1210" s="19" t="s">
        <v>1979</v>
      </c>
    </row>
    <row r="1211" spans="5:5" ht="14.25" customHeight="1" x14ac:dyDescent="0.2">
      <c r="E1211" s="19" t="s">
        <v>1979</v>
      </c>
    </row>
    <row r="1212" spans="5:5" ht="14.25" customHeight="1" x14ac:dyDescent="0.2">
      <c r="E1212" s="19" t="s">
        <v>1979</v>
      </c>
    </row>
    <row r="1213" spans="5:5" ht="14.25" customHeight="1" x14ac:dyDescent="0.2">
      <c r="E1213" s="19" t="s">
        <v>1979</v>
      </c>
    </row>
    <row r="1214" spans="5:5" ht="14.25" customHeight="1" x14ac:dyDescent="0.2">
      <c r="E1214" s="19" t="s">
        <v>1979</v>
      </c>
    </row>
    <row r="1215" spans="5:5" ht="14.25" customHeight="1" x14ac:dyDescent="0.2">
      <c r="E1215" s="19" t="s">
        <v>1979</v>
      </c>
    </row>
    <row r="1216" spans="5:5" ht="14.25" customHeight="1" x14ac:dyDescent="0.2">
      <c r="E1216" s="19" t="s">
        <v>1979</v>
      </c>
    </row>
    <row r="1217" spans="5:5" ht="14.25" customHeight="1" x14ac:dyDescent="0.2">
      <c r="E1217" s="19" t="s">
        <v>1979</v>
      </c>
    </row>
    <row r="1218" spans="5:5" ht="14.25" customHeight="1" x14ac:dyDescent="0.2">
      <c r="E1218" s="19" t="s">
        <v>1979</v>
      </c>
    </row>
    <row r="1219" spans="5:5" ht="14.25" customHeight="1" x14ac:dyDescent="0.2">
      <c r="E1219" s="19" t="s">
        <v>1979</v>
      </c>
    </row>
    <row r="1220" spans="5:5" ht="14.25" customHeight="1" x14ac:dyDescent="0.2">
      <c r="E1220" s="19" t="s">
        <v>1979</v>
      </c>
    </row>
    <row r="1221" spans="5:5" ht="14.25" customHeight="1" x14ac:dyDescent="0.2">
      <c r="E1221" s="19" t="s">
        <v>1979</v>
      </c>
    </row>
    <row r="1222" spans="5:5" ht="14.25" customHeight="1" x14ac:dyDescent="0.2">
      <c r="E1222" s="19" t="s">
        <v>1979</v>
      </c>
    </row>
    <row r="1223" spans="5:5" ht="14.25" customHeight="1" x14ac:dyDescent="0.2">
      <c r="E1223" s="19" t="s">
        <v>1979</v>
      </c>
    </row>
    <row r="1224" spans="5:5" ht="14.25" customHeight="1" x14ac:dyDescent="0.2">
      <c r="E1224" s="19" t="s">
        <v>1979</v>
      </c>
    </row>
    <row r="1225" spans="5:5" ht="14.25" customHeight="1" x14ac:dyDescent="0.2">
      <c r="E1225" s="19" t="s">
        <v>1979</v>
      </c>
    </row>
    <row r="1226" spans="5:5" ht="14.25" customHeight="1" x14ac:dyDescent="0.2">
      <c r="E1226" s="19" t="s">
        <v>1979</v>
      </c>
    </row>
    <row r="1227" spans="5:5" ht="14.25" customHeight="1" x14ac:dyDescent="0.2">
      <c r="E1227" s="19" t="s">
        <v>1979</v>
      </c>
    </row>
    <row r="1228" spans="5:5" ht="14.25" customHeight="1" x14ac:dyDescent="0.2">
      <c r="E1228" s="19" t="s">
        <v>1979</v>
      </c>
    </row>
    <row r="1229" spans="5:5" ht="14.25" customHeight="1" x14ac:dyDescent="0.2">
      <c r="E1229" s="19" t="s">
        <v>1979</v>
      </c>
    </row>
    <row r="1230" spans="5:5" ht="14.25" customHeight="1" x14ac:dyDescent="0.2">
      <c r="E1230" s="19" t="s">
        <v>1979</v>
      </c>
    </row>
    <row r="1231" spans="5:5" ht="14.25" customHeight="1" x14ac:dyDescent="0.2">
      <c r="E1231" s="19" t="s">
        <v>1979</v>
      </c>
    </row>
    <row r="1232" spans="5:5" ht="14.25" customHeight="1" x14ac:dyDescent="0.2">
      <c r="E1232" s="19" t="s">
        <v>1979</v>
      </c>
    </row>
    <row r="1233" spans="5:5" ht="14.25" customHeight="1" x14ac:dyDescent="0.2">
      <c r="E1233" s="19" t="s">
        <v>1979</v>
      </c>
    </row>
    <row r="1234" spans="5:5" ht="14.25" customHeight="1" x14ac:dyDescent="0.2">
      <c r="E1234" s="19" t="s">
        <v>1979</v>
      </c>
    </row>
    <row r="1235" spans="5:5" ht="14.25" customHeight="1" x14ac:dyDescent="0.2">
      <c r="E1235" s="19" t="s">
        <v>1979</v>
      </c>
    </row>
    <row r="1236" spans="5:5" ht="14.25" customHeight="1" x14ac:dyDescent="0.2">
      <c r="E1236" s="19" t="s">
        <v>1979</v>
      </c>
    </row>
    <row r="1237" spans="5:5" ht="14.25" customHeight="1" x14ac:dyDescent="0.2">
      <c r="E1237" s="19" t="s">
        <v>1979</v>
      </c>
    </row>
    <row r="1238" spans="5:5" ht="14.25" customHeight="1" x14ac:dyDescent="0.2">
      <c r="E1238" s="19" t="s">
        <v>1979</v>
      </c>
    </row>
    <row r="1239" spans="5:5" ht="14.25" customHeight="1" x14ac:dyDescent="0.2">
      <c r="E1239" s="19" t="s">
        <v>1979</v>
      </c>
    </row>
    <row r="1240" spans="5:5" ht="14.25" customHeight="1" x14ac:dyDescent="0.2">
      <c r="E1240" s="19" t="s">
        <v>1979</v>
      </c>
    </row>
    <row r="1241" spans="5:5" ht="14.25" customHeight="1" x14ac:dyDescent="0.2">
      <c r="E1241" s="19" t="s">
        <v>1979</v>
      </c>
    </row>
    <row r="1242" spans="5:5" ht="14.25" customHeight="1" x14ac:dyDescent="0.2">
      <c r="E1242" s="19" t="s">
        <v>1979</v>
      </c>
    </row>
    <row r="1243" spans="5:5" ht="14.25" customHeight="1" x14ac:dyDescent="0.2">
      <c r="E1243" s="19" t="s">
        <v>1979</v>
      </c>
    </row>
    <row r="1244" spans="5:5" ht="14.25" customHeight="1" x14ac:dyDescent="0.2">
      <c r="E1244" s="19" t="s">
        <v>1979</v>
      </c>
    </row>
    <row r="1245" spans="5:5" ht="14.25" customHeight="1" x14ac:dyDescent="0.2">
      <c r="E1245" s="19" t="s">
        <v>1979</v>
      </c>
    </row>
    <row r="1246" spans="5:5" ht="14.25" customHeight="1" x14ac:dyDescent="0.2">
      <c r="E1246" s="19" t="s">
        <v>1979</v>
      </c>
    </row>
    <row r="1247" spans="5:5" ht="14.25" customHeight="1" x14ac:dyDescent="0.2">
      <c r="E1247" s="19" t="s">
        <v>1979</v>
      </c>
    </row>
    <row r="1248" spans="5:5" ht="14.25" customHeight="1" x14ac:dyDescent="0.2">
      <c r="E1248" s="19" t="s">
        <v>1979</v>
      </c>
    </row>
    <row r="1249" spans="5:5" ht="14.25" customHeight="1" x14ac:dyDescent="0.2">
      <c r="E1249" s="19" t="s">
        <v>1979</v>
      </c>
    </row>
    <row r="1250" spans="5:5" ht="14.25" customHeight="1" x14ac:dyDescent="0.2">
      <c r="E1250" s="19" t="s">
        <v>1979</v>
      </c>
    </row>
    <row r="1251" spans="5:5" ht="14.25" customHeight="1" x14ac:dyDescent="0.2">
      <c r="E1251" s="19" t="s">
        <v>1979</v>
      </c>
    </row>
    <row r="1252" spans="5:5" ht="14.25" customHeight="1" x14ac:dyDescent="0.2">
      <c r="E1252" s="19" t="s">
        <v>1979</v>
      </c>
    </row>
    <row r="1253" spans="5:5" ht="14.25" customHeight="1" x14ac:dyDescent="0.2">
      <c r="E1253" s="19" t="s">
        <v>1979</v>
      </c>
    </row>
    <row r="1254" spans="5:5" ht="14.25" customHeight="1" x14ac:dyDescent="0.2">
      <c r="E1254" s="19" t="s">
        <v>1979</v>
      </c>
    </row>
    <row r="1255" spans="5:5" ht="14.25" customHeight="1" x14ac:dyDescent="0.2">
      <c r="E1255" s="19" t="s">
        <v>1979</v>
      </c>
    </row>
    <row r="1256" spans="5:5" ht="14.25" customHeight="1" x14ac:dyDescent="0.2">
      <c r="E1256" s="19" t="s">
        <v>1979</v>
      </c>
    </row>
    <row r="1257" spans="5:5" ht="14.25" customHeight="1" x14ac:dyDescent="0.2">
      <c r="E1257" s="19" t="s">
        <v>1979</v>
      </c>
    </row>
    <row r="1258" spans="5:5" ht="14.25" customHeight="1" x14ac:dyDescent="0.2">
      <c r="E1258" s="19" t="s">
        <v>1979</v>
      </c>
    </row>
    <row r="1259" spans="5:5" ht="14.25" customHeight="1" x14ac:dyDescent="0.2">
      <c r="E1259" s="19" t="s">
        <v>1979</v>
      </c>
    </row>
    <row r="1260" spans="5:5" ht="14.25" customHeight="1" x14ac:dyDescent="0.2">
      <c r="E1260" s="19" t="s">
        <v>1979</v>
      </c>
    </row>
    <row r="1261" spans="5:5" ht="14.25" customHeight="1" x14ac:dyDescent="0.2">
      <c r="E1261" s="19" t="s">
        <v>1979</v>
      </c>
    </row>
    <row r="1262" spans="5:5" ht="14.25" customHeight="1" x14ac:dyDescent="0.2">
      <c r="E1262" s="19" t="s">
        <v>1979</v>
      </c>
    </row>
    <row r="1263" spans="5:5" ht="14.25" customHeight="1" x14ac:dyDescent="0.2">
      <c r="E1263" s="19" t="s">
        <v>1979</v>
      </c>
    </row>
    <row r="1264" spans="5:5" ht="14.25" customHeight="1" x14ac:dyDescent="0.2">
      <c r="E1264" s="19" t="s">
        <v>1979</v>
      </c>
    </row>
    <row r="1265" spans="5:5" ht="14.25" customHeight="1" x14ac:dyDescent="0.2">
      <c r="E1265" s="19" t="s">
        <v>1979</v>
      </c>
    </row>
    <row r="1266" spans="5:5" ht="14.25" customHeight="1" x14ac:dyDescent="0.2">
      <c r="E1266" s="19" t="s">
        <v>1979</v>
      </c>
    </row>
    <row r="1267" spans="5:5" ht="14.25" customHeight="1" x14ac:dyDescent="0.2">
      <c r="E1267" s="19" t="s">
        <v>1979</v>
      </c>
    </row>
    <row r="1268" spans="5:5" ht="14.25" customHeight="1" x14ac:dyDescent="0.2">
      <c r="E1268" s="19" t="s">
        <v>1979</v>
      </c>
    </row>
    <row r="1269" spans="5:5" ht="14.25" customHeight="1" x14ac:dyDescent="0.2">
      <c r="E1269" s="19" t="s">
        <v>1979</v>
      </c>
    </row>
    <row r="1270" spans="5:5" ht="14.25" customHeight="1" x14ac:dyDescent="0.2">
      <c r="E1270" s="19" t="s">
        <v>1979</v>
      </c>
    </row>
    <row r="1271" spans="5:5" ht="14.25" customHeight="1" x14ac:dyDescent="0.2">
      <c r="E1271" s="19" t="s">
        <v>1979</v>
      </c>
    </row>
    <row r="1272" spans="5:5" ht="14.25" customHeight="1" x14ac:dyDescent="0.2">
      <c r="E1272" s="19" t="s">
        <v>1979</v>
      </c>
    </row>
    <row r="1273" spans="5:5" ht="14.25" customHeight="1" x14ac:dyDescent="0.2">
      <c r="E1273" s="19" t="s">
        <v>1979</v>
      </c>
    </row>
    <row r="1274" spans="5:5" ht="14.25" customHeight="1" x14ac:dyDescent="0.2">
      <c r="E1274" s="19" t="s">
        <v>1979</v>
      </c>
    </row>
    <row r="1275" spans="5:5" ht="14.25" customHeight="1" x14ac:dyDescent="0.2">
      <c r="E1275" s="19" t="s">
        <v>1979</v>
      </c>
    </row>
    <row r="1276" spans="5:5" ht="14.25" customHeight="1" x14ac:dyDescent="0.2">
      <c r="E1276" s="19" t="s">
        <v>1979</v>
      </c>
    </row>
    <row r="1277" spans="5:5" ht="14.25" customHeight="1" x14ac:dyDescent="0.2">
      <c r="E1277" s="19" t="s">
        <v>1979</v>
      </c>
    </row>
    <row r="1278" spans="5:5" ht="14.25" customHeight="1" x14ac:dyDescent="0.2">
      <c r="E1278" s="19" t="s">
        <v>1979</v>
      </c>
    </row>
    <row r="1279" spans="5:5" ht="14.25" customHeight="1" x14ac:dyDescent="0.2">
      <c r="E1279" s="19" t="s">
        <v>1979</v>
      </c>
    </row>
    <row r="1280" spans="5:5" ht="14.25" customHeight="1" x14ac:dyDescent="0.2">
      <c r="E1280" s="19" t="s">
        <v>1979</v>
      </c>
    </row>
    <row r="1281" spans="5:5" ht="14.25" customHeight="1" x14ac:dyDescent="0.2">
      <c r="E1281" s="19" t="s">
        <v>1979</v>
      </c>
    </row>
    <row r="1282" spans="5:5" ht="14.25" customHeight="1" x14ac:dyDescent="0.2">
      <c r="E1282" s="19" t="s">
        <v>1979</v>
      </c>
    </row>
    <row r="1283" spans="5:5" ht="14.25" customHeight="1" x14ac:dyDescent="0.2">
      <c r="E1283" s="19" t="s">
        <v>1979</v>
      </c>
    </row>
    <row r="1284" spans="5:5" ht="14.25" customHeight="1" x14ac:dyDescent="0.2">
      <c r="E1284" s="19" t="s">
        <v>1979</v>
      </c>
    </row>
    <row r="1285" spans="5:5" ht="14.25" customHeight="1" x14ac:dyDescent="0.2">
      <c r="E1285" s="19" t="s">
        <v>1979</v>
      </c>
    </row>
    <row r="1286" spans="5:5" ht="14.25" customHeight="1" x14ac:dyDescent="0.2">
      <c r="E1286" s="19" t="s">
        <v>1979</v>
      </c>
    </row>
    <row r="1287" spans="5:5" ht="14.25" customHeight="1" x14ac:dyDescent="0.2">
      <c r="E1287" s="19" t="s">
        <v>1979</v>
      </c>
    </row>
    <row r="1288" spans="5:5" ht="14.25" customHeight="1" x14ac:dyDescent="0.2">
      <c r="E1288" s="19" t="s">
        <v>1979</v>
      </c>
    </row>
    <row r="1289" spans="5:5" ht="14.25" customHeight="1" x14ac:dyDescent="0.2">
      <c r="E1289" s="19" t="s">
        <v>1979</v>
      </c>
    </row>
    <row r="1290" spans="5:5" ht="14.25" customHeight="1" x14ac:dyDescent="0.2">
      <c r="E1290" s="19" t="s">
        <v>1979</v>
      </c>
    </row>
    <row r="1291" spans="5:5" ht="14.25" customHeight="1" x14ac:dyDescent="0.2">
      <c r="E1291" s="19" t="s">
        <v>1979</v>
      </c>
    </row>
    <row r="1292" spans="5:5" ht="14.25" customHeight="1" x14ac:dyDescent="0.2">
      <c r="E1292" s="19" t="s">
        <v>1979</v>
      </c>
    </row>
    <row r="1293" spans="5:5" ht="14.25" customHeight="1" x14ac:dyDescent="0.2">
      <c r="E1293" s="19" t="s">
        <v>1979</v>
      </c>
    </row>
    <row r="1294" spans="5:5" ht="14.25" customHeight="1" x14ac:dyDescent="0.2">
      <c r="E1294" s="19" t="s">
        <v>1979</v>
      </c>
    </row>
    <row r="1295" spans="5:5" ht="14.25" customHeight="1" x14ac:dyDescent="0.2">
      <c r="E1295" s="19" t="s">
        <v>1979</v>
      </c>
    </row>
    <row r="1296" spans="5:5" ht="14.25" customHeight="1" x14ac:dyDescent="0.2">
      <c r="E1296" s="19" t="s">
        <v>1979</v>
      </c>
    </row>
    <row r="1297" spans="5:5" ht="14.25" customHeight="1" x14ac:dyDescent="0.2">
      <c r="E1297" s="19" t="s">
        <v>1979</v>
      </c>
    </row>
    <row r="1298" spans="5:5" ht="14.25" customHeight="1" x14ac:dyDescent="0.2">
      <c r="E1298" s="19" t="s">
        <v>1979</v>
      </c>
    </row>
    <row r="1299" spans="5:5" ht="14.25" customHeight="1" x14ac:dyDescent="0.2">
      <c r="E1299" s="19" t="s">
        <v>1979</v>
      </c>
    </row>
    <row r="1300" spans="5:5" ht="14.25" customHeight="1" x14ac:dyDescent="0.2">
      <c r="E1300" s="19" t="s">
        <v>1979</v>
      </c>
    </row>
    <row r="1301" spans="5:5" ht="14.25" customHeight="1" x14ac:dyDescent="0.2">
      <c r="E1301" s="19" t="s">
        <v>1979</v>
      </c>
    </row>
    <row r="1302" spans="5:5" ht="14.25" customHeight="1" x14ac:dyDescent="0.2">
      <c r="E1302" s="19" t="s">
        <v>1979</v>
      </c>
    </row>
    <row r="1303" spans="5:5" ht="14.25" customHeight="1" x14ac:dyDescent="0.2">
      <c r="E1303" s="19" t="s">
        <v>1979</v>
      </c>
    </row>
    <row r="1304" spans="5:5" ht="14.25" customHeight="1" x14ac:dyDescent="0.2">
      <c r="E1304" s="19" t="s">
        <v>1979</v>
      </c>
    </row>
    <row r="1305" spans="5:5" ht="14.25" customHeight="1" x14ac:dyDescent="0.2">
      <c r="E1305" s="19" t="s">
        <v>1979</v>
      </c>
    </row>
    <row r="1306" spans="5:5" ht="14.25" customHeight="1" x14ac:dyDescent="0.2">
      <c r="E1306" s="19" t="s">
        <v>1979</v>
      </c>
    </row>
    <row r="1307" spans="5:5" ht="14.25" customHeight="1" x14ac:dyDescent="0.2">
      <c r="E1307" s="19" t="s">
        <v>1979</v>
      </c>
    </row>
    <row r="1308" spans="5:5" ht="14.25" customHeight="1" x14ac:dyDescent="0.2">
      <c r="E1308" s="19" t="s">
        <v>1979</v>
      </c>
    </row>
    <row r="1309" spans="5:5" ht="14.25" customHeight="1" x14ac:dyDescent="0.2">
      <c r="E1309" s="19" t="s">
        <v>1979</v>
      </c>
    </row>
    <row r="1310" spans="5:5" ht="14.25" customHeight="1" x14ac:dyDescent="0.2">
      <c r="E1310" s="19" t="s">
        <v>1979</v>
      </c>
    </row>
    <row r="1311" spans="5:5" ht="14.25" customHeight="1" x14ac:dyDescent="0.2">
      <c r="E1311" s="19" t="s">
        <v>1979</v>
      </c>
    </row>
    <row r="1312" spans="5:5" ht="14.25" customHeight="1" x14ac:dyDescent="0.2">
      <c r="E1312" s="19" t="s">
        <v>1979</v>
      </c>
    </row>
    <row r="1313" spans="5:5" ht="14.25" customHeight="1" x14ac:dyDescent="0.2">
      <c r="E1313" s="19" t="s">
        <v>1979</v>
      </c>
    </row>
    <row r="1314" spans="5:5" ht="14.25" customHeight="1" x14ac:dyDescent="0.2">
      <c r="E1314" s="19" t="s">
        <v>1979</v>
      </c>
    </row>
    <row r="1315" spans="5:5" ht="14.25" customHeight="1" x14ac:dyDescent="0.2">
      <c r="E1315" s="19" t="s">
        <v>1979</v>
      </c>
    </row>
    <row r="1316" spans="5:5" ht="14.25" customHeight="1" x14ac:dyDescent="0.2">
      <c r="E1316" s="19" t="s">
        <v>1979</v>
      </c>
    </row>
    <row r="1317" spans="5:5" ht="14.25" customHeight="1" x14ac:dyDescent="0.2">
      <c r="E1317" s="19" t="s">
        <v>1979</v>
      </c>
    </row>
    <row r="1318" spans="5:5" ht="14.25" customHeight="1" x14ac:dyDescent="0.2">
      <c r="E1318" s="19" t="s">
        <v>1979</v>
      </c>
    </row>
    <row r="1319" spans="5:5" ht="14.25" customHeight="1" x14ac:dyDescent="0.2">
      <c r="E1319" s="19" t="s">
        <v>1979</v>
      </c>
    </row>
    <row r="1320" spans="5:5" ht="14.25" customHeight="1" x14ac:dyDescent="0.2">
      <c r="E1320" s="19" t="s">
        <v>1979</v>
      </c>
    </row>
    <row r="1321" spans="5:5" ht="14.25" customHeight="1" x14ac:dyDescent="0.2">
      <c r="E1321" s="19" t="s">
        <v>1979</v>
      </c>
    </row>
    <row r="1322" spans="5:5" ht="14.25" customHeight="1" x14ac:dyDescent="0.2">
      <c r="E1322" s="19" t="s">
        <v>1979</v>
      </c>
    </row>
    <row r="1323" spans="5:5" ht="14.25" customHeight="1" x14ac:dyDescent="0.2">
      <c r="E1323" s="19" t="s">
        <v>1979</v>
      </c>
    </row>
    <row r="1324" spans="5:5" ht="14.25" customHeight="1" x14ac:dyDescent="0.2">
      <c r="E1324" s="19" t="s">
        <v>1979</v>
      </c>
    </row>
    <row r="1325" spans="5:5" ht="14.25" customHeight="1" x14ac:dyDescent="0.2">
      <c r="E1325" s="19" t="s">
        <v>1979</v>
      </c>
    </row>
    <row r="1326" spans="5:5" ht="14.25" customHeight="1" x14ac:dyDescent="0.2">
      <c r="E1326" s="19" t="s">
        <v>1979</v>
      </c>
    </row>
    <row r="1327" spans="5:5" ht="14.25" customHeight="1" x14ac:dyDescent="0.2">
      <c r="E1327" s="19" t="s">
        <v>1979</v>
      </c>
    </row>
    <row r="1328" spans="5:5" ht="14.25" customHeight="1" x14ac:dyDescent="0.2">
      <c r="E1328" s="19" t="s">
        <v>1979</v>
      </c>
    </row>
    <row r="1329" spans="5:5" ht="14.25" customHeight="1" x14ac:dyDescent="0.2">
      <c r="E1329" s="19" t="s">
        <v>1979</v>
      </c>
    </row>
    <row r="1330" spans="5:5" ht="14.25" customHeight="1" x14ac:dyDescent="0.2">
      <c r="E1330" s="19" t="s">
        <v>1979</v>
      </c>
    </row>
    <row r="1331" spans="5:5" ht="14.25" customHeight="1" x14ac:dyDescent="0.2">
      <c r="E1331" s="19" t="s">
        <v>1979</v>
      </c>
    </row>
    <row r="1332" spans="5:5" ht="14.25" customHeight="1" x14ac:dyDescent="0.2">
      <c r="E1332" s="19" t="s">
        <v>1979</v>
      </c>
    </row>
    <row r="1333" spans="5:5" ht="14.25" customHeight="1" x14ac:dyDescent="0.2">
      <c r="E1333" s="19" t="s">
        <v>1979</v>
      </c>
    </row>
    <row r="1334" spans="5:5" ht="14.25" customHeight="1" x14ac:dyDescent="0.2">
      <c r="E1334" s="19" t="s">
        <v>1979</v>
      </c>
    </row>
    <row r="1335" spans="5:5" ht="14.25" customHeight="1" x14ac:dyDescent="0.2">
      <c r="E1335" s="19" t="s">
        <v>1979</v>
      </c>
    </row>
    <row r="1336" spans="5:5" ht="14.25" customHeight="1" x14ac:dyDescent="0.2">
      <c r="E1336" s="19" t="s">
        <v>1979</v>
      </c>
    </row>
    <row r="1337" spans="5:5" ht="14.25" customHeight="1" x14ac:dyDescent="0.2">
      <c r="E1337" s="19" t="s">
        <v>1979</v>
      </c>
    </row>
    <row r="1338" spans="5:5" ht="14.25" customHeight="1" x14ac:dyDescent="0.2">
      <c r="E1338" s="19" t="s">
        <v>1979</v>
      </c>
    </row>
    <row r="1339" spans="5:5" ht="14.25" customHeight="1" x14ac:dyDescent="0.2">
      <c r="E1339" s="19" t="s">
        <v>1979</v>
      </c>
    </row>
    <row r="1340" spans="5:5" ht="14.25" customHeight="1" x14ac:dyDescent="0.2">
      <c r="E1340" s="19" t="s">
        <v>1979</v>
      </c>
    </row>
    <row r="1341" spans="5:5" ht="14.25" customHeight="1" x14ac:dyDescent="0.2">
      <c r="E1341" s="19" t="s">
        <v>1979</v>
      </c>
    </row>
    <row r="1342" spans="5:5" ht="14.25" customHeight="1" x14ac:dyDescent="0.2">
      <c r="E1342" s="19" t="s">
        <v>1979</v>
      </c>
    </row>
    <row r="1343" spans="5:5" ht="14.25" customHeight="1" x14ac:dyDescent="0.2">
      <c r="E1343" s="19" t="s">
        <v>1979</v>
      </c>
    </row>
    <row r="1344" spans="5:5" ht="14.25" customHeight="1" x14ac:dyDescent="0.2">
      <c r="E1344" s="19" t="s">
        <v>1979</v>
      </c>
    </row>
    <row r="1345" spans="5:5" ht="14.25" customHeight="1" x14ac:dyDescent="0.2">
      <c r="E1345" s="19" t="s">
        <v>1979</v>
      </c>
    </row>
    <row r="1346" spans="5:5" ht="14.25" customHeight="1" x14ac:dyDescent="0.2">
      <c r="E1346" s="19" t="s">
        <v>1979</v>
      </c>
    </row>
    <row r="1347" spans="5:5" ht="14.25" customHeight="1" x14ac:dyDescent="0.2">
      <c r="E1347" s="19" t="s">
        <v>1979</v>
      </c>
    </row>
    <row r="1348" spans="5:5" ht="14.25" customHeight="1" x14ac:dyDescent="0.2">
      <c r="E1348" s="19" t="s">
        <v>1979</v>
      </c>
    </row>
    <row r="1349" spans="5:5" ht="14.25" customHeight="1" x14ac:dyDescent="0.2">
      <c r="E1349" s="19" t="s">
        <v>1979</v>
      </c>
    </row>
    <row r="1350" spans="5:5" ht="14.25" customHeight="1" x14ac:dyDescent="0.2">
      <c r="E1350" s="19" t="s">
        <v>1979</v>
      </c>
    </row>
    <row r="1351" spans="5:5" ht="14.25" customHeight="1" x14ac:dyDescent="0.2">
      <c r="E1351" s="19" t="s">
        <v>1979</v>
      </c>
    </row>
    <row r="1352" spans="5:5" ht="14.25" customHeight="1" x14ac:dyDescent="0.2">
      <c r="E1352" s="19" t="s">
        <v>1979</v>
      </c>
    </row>
    <row r="1353" spans="5:5" ht="14.25" customHeight="1" x14ac:dyDescent="0.2">
      <c r="E1353" s="19" t="s">
        <v>1979</v>
      </c>
    </row>
    <row r="1354" spans="5:5" ht="14.25" customHeight="1" x14ac:dyDescent="0.2">
      <c r="E1354" s="19" t="s">
        <v>1979</v>
      </c>
    </row>
    <row r="1355" spans="5:5" ht="14.25" customHeight="1" x14ac:dyDescent="0.2">
      <c r="E1355" s="19" t="s">
        <v>1979</v>
      </c>
    </row>
    <row r="1356" spans="5:5" ht="14.25" customHeight="1" x14ac:dyDescent="0.2">
      <c r="E1356" s="19" t="s">
        <v>1979</v>
      </c>
    </row>
    <row r="1357" spans="5:5" ht="14.25" customHeight="1" x14ac:dyDescent="0.2">
      <c r="E1357" s="19" t="s">
        <v>1979</v>
      </c>
    </row>
    <row r="1358" spans="5:5" ht="14.25" customHeight="1" x14ac:dyDescent="0.2">
      <c r="E1358" s="19" t="s">
        <v>1979</v>
      </c>
    </row>
    <row r="1359" spans="5:5" ht="14.25" customHeight="1" x14ac:dyDescent="0.2">
      <c r="E1359" s="19" t="s">
        <v>1979</v>
      </c>
    </row>
    <row r="1360" spans="5:5" ht="14.25" customHeight="1" x14ac:dyDescent="0.2">
      <c r="E1360" s="19" t="s">
        <v>1979</v>
      </c>
    </row>
    <row r="1361" spans="5:5" ht="14.25" customHeight="1" x14ac:dyDescent="0.2">
      <c r="E1361" s="19" t="s">
        <v>1979</v>
      </c>
    </row>
    <row r="1362" spans="5:5" ht="14.25" customHeight="1" x14ac:dyDescent="0.2">
      <c r="E1362" s="19" t="s">
        <v>1979</v>
      </c>
    </row>
    <row r="1363" spans="5:5" ht="14.25" customHeight="1" x14ac:dyDescent="0.2">
      <c r="E1363" s="19" t="s">
        <v>1979</v>
      </c>
    </row>
    <row r="1364" spans="5:5" ht="14.25" customHeight="1" x14ac:dyDescent="0.2">
      <c r="E1364" s="19" t="s">
        <v>1979</v>
      </c>
    </row>
    <row r="1365" spans="5:5" ht="14.25" customHeight="1" x14ac:dyDescent="0.2">
      <c r="E1365" s="19" t="s">
        <v>1979</v>
      </c>
    </row>
    <row r="1366" spans="5:5" ht="14.25" customHeight="1" x14ac:dyDescent="0.2">
      <c r="E1366" s="19" t="s">
        <v>1979</v>
      </c>
    </row>
    <row r="1367" spans="5:5" ht="14.25" customHeight="1" x14ac:dyDescent="0.2">
      <c r="E1367" s="19" t="s">
        <v>1979</v>
      </c>
    </row>
    <row r="1368" spans="5:5" ht="14.25" customHeight="1" x14ac:dyDescent="0.2">
      <c r="E1368" s="19" t="s">
        <v>1979</v>
      </c>
    </row>
    <row r="1369" spans="5:5" ht="14.25" customHeight="1" x14ac:dyDescent="0.2">
      <c r="E1369" s="19" t="s">
        <v>1979</v>
      </c>
    </row>
    <row r="1370" spans="5:5" ht="14.25" customHeight="1" x14ac:dyDescent="0.2">
      <c r="E1370" s="19" t="s">
        <v>1979</v>
      </c>
    </row>
    <row r="1371" spans="5:5" ht="14.25" customHeight="1" x14ac:dyDescent="0.2">
      <c r="E1371" s="19" t="s">
        <v>1979</v>
      </c>
    </row>
    <row r="1372" spans="5:5" ht="14.25" customHeight="1" x14ac:dyDescent="0.2">
      <c r="E1372" s="19" t="s">
        <v>1979</v>
      </c>
    </row>
    <row r="1373" spans="5:5" ht="14.25" customHeight="1" x14ac:dyDescent="0.2">
      <c r="E1373" s="19" t="s">
        <v>1979</v>
      </c>
    </row>
    <row r="1374" spans="5:5" ht="14.25" customHeight="1" x14ac:dyDescent="0.2">
      <c r="E1374" s="19" t="s">
        <v>1979</v>
      </c>
    </row>
    <row r="1375" spans="5:5" ht="14.25" customHeight="1" x14ac:dyDescent="0.2">
      <c r="E1375" s="19" t="s">
        <v>1979</v>
      </c>
    </row>
    <row r="1376" spans="5:5" ht="14.25" customHeight="1" x14ac:dyDescent="0.2">
      <c r="E1376" s="19" t="s">
        <v>1979</v>
      </c>
    </row>
    <row r="1377" spans="5:5" ht="14.25" customHeight="1" x14ac:dyDescent="0.2">
      <c r="E1377" s="19" t="s">
        <v>1979</v>
      </c>
    </row>
    <row r="1378" spans="5:5" ht="14.25" customHeight="1" x14ac:dyDescent="0.2">
      <c r="E1378" s="19" t="s">
        <v>1979</v>
      </c>
    </row>
    <row r="1379" spans="5:5" ht="14.25" customHeight="1" x14ac:dyDescent="0.2">
      <c r="E1379" s="19" t="s">
        <v>1979</v>
      </c>
    </row>
    <row r="1380" spans="5:5" ht="14.25" customHeight="1" x14ac:dyDescent="0.2">
      <c r="E1380" s="19" t="s">
        <v>1979</v>
      </c>
    </row>
    <row r="1381" spans="5:5" ht="14.25" customHeight="1" x14ac:dyDescent="0.2">
      <c r="E1381" s="19" t="s">
        <v>1979</v>
      </c>
    </row>
    <row r="1382" spans="5:5" ht="14.25" customHeight="1" x14ac:dyDescent="0.2">
      <c r="E1382" s="19" t="s">
        <v>1979</v>
      </c>
    </row>
    <row r="1383" spans="5:5" ht="14.25" customHeight="1" x14ac:dyDescent="0.2">
      <c r="E1383" s="19" t="s">
        <v>1979</v>
      </c>
    </row>
    <row r="1384" spans="5:5" ht="14.25" customHeight="1" x14ac:dyDescent="0.2">
      <c r="E1384" s="19" t="s">
        <v>1979</v>
      </c>
    </row>
    <row r="1385" spans="5:5" ht="14.25" customHeight="1" x14ac:dyDescent="0.2">
      <c r="E1385" s="19" t="s">
        <v>1979</v>
      </c>
    </row>
    <row r="1386" spans="5:5" ht="14.25" customHeight="1" x14ac:dyDescent="0.2">
      <c r="E1386" s="19" t="s">
        <v>1979</v>
      </c>
    </row>
    <row r="1387" spans="5:5" ht="14.25" customHeight="1" x14ac:dyDescent="0.2">
      <c r="E1387" s="19" t="s">
        <v>1979</v>
      </c>
    </row>
    <row r="1388" spans="5:5" ht="14.25" customHeight="1" x14ac:dyDescent="0.2">
      <c r="E1388" s="19" t="s">
        <v>1979</v>
      </c>
    </row>
    <row r="1389" spans="5:5" ht="14.25" customHeight="1" x14ac:dyDescent="0.2">
      <c r="E1389" s="19" t="s">
        <v>1979</v>
      </c>
    </row>
    <row r="1390" spans="5:5" ht="14.25" customHeight="1" x14ac:dyDescent="0.2">
      <c r="E1390" s="19" t="s">
        <v>1979</v>
      </c>
    </row>
    <row r="1391" spans="5:5" ht="14.25" customHeight="1" x14ac:dyDescent="0.2">
      <c r="E1391" s="19" t="s">
        <v>1979</v>
      </c>
    </row>
    <row r="1392" spans="5:5" ht="14.25" customHeight="1" x14ac:dyDescent="0.2">
      <c r="E1392" s="19" t="s">
        <v>1979</v>
      </c>
    </row>
    <row r="1393" spans="5:5" ht="14.25" customHeight="1" x14ac:dyDescent="0.2">
      <c r="E1393" s="19" t="s">
        <v>1979</v>
      </c>
    </row>
    <row r="1394" spans="5:5" ht="14.25" customHeight="1" x14ac:dyDescent="0.2">
      <c r="E1394" s="19" t="s">
        <v>1979</v>
      </c>
    </row>
    <row r="1395" spans="5:5" ht="14.25" customHeight="1" x14ac:dyDescent="0.2">
      <c r="E1395" s="19" t="s">
        <v>1979</v>
      </c>
    </row>
    <row r="1396" spans="5:5" ht="14.25" customHeight="1" x14ac:dyDescent="0.2">
      <c r="E1396" s="19" t="s">
        <v>1979</v>
      </c>
    </row>
    <row r="1397" spans="5:5" ht="14.25" customHeight="1" x14ac:dyDescent="0.2">
      <c r="E1397" s="19" t="s">
        <v>1979</v>
      </c>
    </row>
    <row r="1398" spans="5:5" ht="14.25" customHeight="1" x14ac:dyDescent="0.2">
      <c r="E1398" s="19" t="s">
        <v>1979</v>
      </c>
    </row>
    <row r="1399" spans="5:5" ht="14.25" customHeight="1" x14ac:dyDescent="0.2">
      <c r="E1399" s="19" t="s">
        <v>1979</v>
      </c>
    </row>
    <row r="1400" spans="5:5" ht="14.25" customHeight="1" x14ac:dyDescent="0.2">
      <c r="E1400" s="19" t="s">
        <v>1979</v>
      </c>
    </row>
    <row r="1401" spans="5:5" ht="14.25" customHeight="1" x14ac:dyDescent="0.2">
      <c r="E1401" s="19" t="s">
        <v>1979</v>
      </c>
    </row>
    <row r="1402" spans="5:5" ht="14.25" customHeight="1" x14ac:dyDescent="0.2">
      <c r="E1402" s="19" t="s">
        <v>1979</v>
      </c>
    </row>
    <row r="1403" spans="5:5" ht="14.25" customHeight="1" x14ac:dyDescent="0.2">
      <c r="E1403" s="19" t="s">
        <v>1979</v>
      </c>
    </row>
    <row r="1404" spans="5:5" ht="14.25" customHeight="1" x14ac:dyDescent="0.2">
      <c r="E1404" s="19" t="s">
        <v>1979</v>
      </c>
    </row>
    <row r="1405" spans="5:5" ht="14.25" customHeight="1" x14ac:dyDescent="0.2">
      <c r="E1405" s="19" t="s">
        <v>1979</v>
      </c>
    </row>
    <row r="1406" spans="5:5" ht="14.25" customHeight="1" x14ac:dyDescent="0.2">
      <c r="E1406" s="19" t="s">
        <v>1979</v>
      </c>
    </row>
    <row r="1407" spans="5:5" ht="14.25" customHeight="1" x14ac:dyDescent="0.2">
      <c r="E1407" s="19" t="s">
        <v>1979</v>
      </c>
    </row>
    <row r="1408" spans="5:5" ht="14.25" customHeight="1" x14ac:dyDescent="0.2">
      <c r="E1408" s="19" t="s">
        <v>1979</v>
      </c>
    </row>
    <row r="1409" spans="5:5" ht="14.25" customHeight="1" x14ac:dyDescent="0.2">
      <c r="E1409" s="19" t="s">
        <v>1979</v>
      </c>
    </row>
    <row r="1410" spans="5:5" ht="14.25" customHeight="1" x14ac:dyDescent="0.2">
      <c r="E1410" s="19" t="s">
        <v>1979</v>
      </c>
    </row>
    <row r="1411" spans="5:5" ht="14.25" customHeight="1" x14ac:dyDescent="0.2">
      <c r="E1411" s="19" t="s">
        <v>1979</v>
      </c>
    </row>
    <row r="1412" spans="5:5" ht="14.25" customHeight="1" x14ac:dyDescent="0.2">
      <c r="E1412" s="19" t="s">
        <v>1979</v>
      </c>
    </row>
    <row r="1413" spans="5:5" ht="14.25" customHeight="1" x14ac:dyDescent="0.2">
      <c r="E1413" s="19" t="s">
        <v>1979</v>
      </c>
    </row>
    <row r="1414" spans="5:5" ht="14.25" customHeight="1" x14ac:dyDescent="0.2">
      <c r="E1414" s="19" t="s">
        <v>1979</v>
      </c>
    </row>
    <row r="1415" spans="5:5" ht="14.25" customHeight="1" x14ac:dyDescent="0.2">
      <c r="E1415" s="19" t="s">
        <v>1979</v>
      </c>
    </row>
    <row r="1416" spans="5:5" ht="14.25" customHeight="1" x14ac:dyDescent="0.2">
      <c r="E1416" s="19" t="s">
        <v>1979</v>
      </c>
    </row>
    <row r="1417" spans="5:5" ht="14.25" customHeight="1" x14ac:dyDescent="0.2">
      <c r="E1417" s="19" t="s">
        <v>1979</v>
      </c>
    </row>
    <row r="1418" spans="5:5" ht="14.25" customHeight="1" x14ac:dyDescent="0.2">
      <c r="E1418" s="19" t="s">
        <v>1979</v>
      </c>
    </row>
    <row r="1419" spans="5:5" ht="14.25" customHeight="1" x14ac:dyDescent="0.2">
      <c r="E1419" s="19" t="s">
        <v>1979</v>
      </c>
    </row>
    <row r="1420" spans="5:5" ht="14.25" customHeight="1" x14ac:dyDescent="0.2">
      <c r="E1420" s="19" t="s">
        <v>1979</v>
      </c>
    </row>
    <row r="1421" spans="5:5" ht="14.25" customHeight="1" x14ac:dyDescent="0.2">
      <c r="E1421" s="19" t="s">
        <v>1979</v>
      </c>
    </row>
    <row r="1422" spans="5:5" ht="14.25" customHeight="1" x14ac:dyDescent="0.2">
      <c r="E1422" s="19" t="s">
        <v>1979</v>
      </c>
    </row>
    <row r="1423" spans="5:5" ht="14.25" customHeight="1" x14ac:dyDescent="0.2">
      <c r="E1423" s="19" t="s">
        <v>1979</v>
      </c>
    </row>
    <row r="1424" spans="5:5" ht="14.25" customHeight="1" x14ac:dyDescent="0.2">
      <c r="E1424" s="19" t="s">
        <v>1979</v>
      </c>
    </row>
    <row r="1425" spans="5:5" ht="14.25" customHeight="1" x14ac:dyDescent="0.2">
      <c r="E1425" s="19" t="s">
        <v>1979</v>
      </c>
    </row>
    <row r="1426" spans="5:5" ht="14.25" customHeight="1" x14ac:dyDescent="0.2">
      <c r="E1426" s="19" t="s">
        <v>1979</v>
      </c>
    </row>
    <row r="1427" spans="5:5" ht="14.25" customHeight="1" x14ac:dyDescent="0.2">
      <c r="E1427" s="19" t="s">
        <v>1979</v>
      </c>
    </row>
    <row r="1428" spans="5:5" ht="14.25" customHeight="1" x14ac:dyDescent="0.2">
      <c r="E1428" s="19" t="s">
        <v>1979</v>
      </c>
    </row>
    <row r="1429" spans="5:5" ht="14.25" customHeight="1" x14ac:dyDescent="0.2">
      <c r="E1429" s="19" t="s">
        <v>1979</v>
      </c>
    </row>
    <row r="1430" spans="5:5" ht="14.25" customHeight="1" x14ac:dyDescent="0.2">
      <c r="E1430" s="19" t="s">
        <v>1979</v>
      </c>
    </row>
    <row r="1431" spans="5:5" ht="14.25" customHeight="1" x14ac:dyDescent="0.2">
      <c r="E1431" s="19" t="s">
        <v>1979</v>
      </c>
    </row>
    <row r="1432" spans="5:5" ht="14.25" customHeight="1" x14ac:dyDescent="0.2">
      <c r="E1432" s="19" t="s">
        <v>1979</v>
      </c>
    </row>
    <row r="1433" spans="5:5" ht="14.25" customHeight="1" x14ac:dyDescent="0.2">
      <c r="E1433" s="19" t="s">
        <v>1979</v>
      </c>
    </row>
    <row r="1434" spans="5:5" ht="14.25" customHeight="1" x14ac:dyDescent="0.2">
      <c r="E1434" s="19" t="s">
        <v>1979</v>
      </c>
    </row>
    <row r="1435" spans="5:5" ht="14.25" customHeight="1" x14ac:dyDescent="0.2">
      <c r="E1435" s="19" t="s">
        <v>1979</v>
      </c>
    </row>
    <row r="1436" spans="5:5" ht="14.25" customHeight="1" x14ac:dyDescent="0.2">
      <c r="E1436" s="19" t="s">
        <v>1979</v>
      </c>
    </row>
    <row r="1437" spans="5:5" ht="14.25" customHeight="1" x14ac:dyDescent="0.2">
      <c r="E1437" s="19" t="s">
        <v>1979</v>
      </c>
    </row>
    <row r="1438" spans="5:5" ht="14.25" customHeight="1" x14ac:dyDescent="0.2">
      <c r="E1438" s="19" t="s">
        <v>1979</v>
      </c>
    </row>
    <row r="1439" spans="5:5" ht="14.25" customHeight="1" x14ac:dyDescent="0.2">
      <c r="E1439" s="19" t="s">
        <v>1979</v>
      </c>
    </row>
    <row r="1440" spans="5:5" ht="14.25" customHeight="1" x14ac:dyDescent="0.2">
      <c r="E1440" s="19" t="s">
        <v>1979</v>
      </c>
    </row>
    <row r="1441" spans="5:5" ht="14.25" customHeight="1" x14ac:dyDescent="0.2">
      <c r="E1441" s="19" t="s">
        <v>1979</v>
      </c>
    </row>
    <row r="1442" spans="5:5" ht="14.25" customHeight="1" x14ac:dyDescent="0.2">
      <c r="E1442" s="19" t="s">
        <v>1979</v>
      </c>
    </row>
    <row r="1443" spans="5:5" ht="14.25" customHeight="1" x14ac:dyDescent="0.2">
      <c r="E1443" s="19" t="s">
        <v>1979</v>
      </c>
    </row>
    <row r="1444" spans="5:5" ht="14.25" customHeight="1" x14ac:dyDescent="0.2">
      <c r="E1444" s="19" t="s">
        <v>1979</v>
      </c>
    </row>
    <row r="1445" spans="5:5" ht="14.25" customHeight="1" x14ac:dyDescent="0.2">
      <c r="E1445" s="19" t="s">
        <v>1979</v>
      </c>
    </row>
    <row r="1446" spans="5:5" ht="14.25" customHeight="1" x14ac:dyDescent="0.2">
      <c r="E1446" s="19" t="s">
        <v>1979</v>
      </c>
    </row>
    <row r="1447" spans="5:5" ht="14.25" customHeight="1" x14ac:dyDescent="0.2">
      <c r="E1447" s="19" t="s">
        <v>1979</v>
      </c>
    </row>
    <row r="1448" spans="5:5" ht="14.25" customHeight="1" x14ac:dyDescent="0.2">
      <c r="E1448" s="19" t="s">
        <v>1979</v>
      </c>
    </row>
    <row r="1449" spans="5:5" ht="14.25" customHeight="1" x14ac:dyDescent="0.2">
      <c r="E1449" s="19" t="s">
        <v>1979</v>
      </c>
    </row>
    <row r="1450" spans="5:5" ht="14.25" customHeight="1" x14ac:dyDescent="0.2">
      <c r="E1450" s="19" t="s">
        <v>1979</v>
      </c>
    </row>
    <row r="1451" spans="5:5" ht="14.25" customHeight="1" x14ac:dyDescent="0.2">
      <c r="E1451" s="19" t="s">
        <v>1979</v>
      </c>
    </row>
    <row r="1452" spans="5:5" ht="14.25" customHeight="1" x14ac:dyDescent="0.2">
      <c r="E1452" s="19" t="s">
        <v>1979</v>
      </c>
    </row>
    <row r="1453" spans="5:5" ht="14.25" customHeight="1" x14ac:dyDescent="0.2">
      <c r="E1453" s="19" t="s">
        <v>1979</v>
      </c>
    </row>
    <row r="1454" spans="5:5" ht="14.25" customHeight="1" x14ac:dyDescent="0.2">
      <c r="E1454" s="19" t="s">
        <v>1979</v>
      </c>
    </row>
    <row r="1455" spans="5:5" ht="14.25" customHeight="1" x14ac:dyDescent="0.2">
      <c r="E1455" s="19" t="s">
        <v>1979</v>
      </c>
    </row>
    <row r="1456" spans="5:5" ht="14.25" customHeight="1" x14ac:dyDescent="0.2">
      <c r="E1456" s="19" t="s">
        <v>1979</v>
      </c>
    </row>
    <row r="1457" spans="5:5" ht="14.25" customHeight="1" x14ac:dyDescent="0.2">
      <c r="E1457" s="19" t="s">
        <v>1979</v>
      </c>
    </row>
    <row r="1458" spans="5:5" ht="14.25" customHeight="1" x14ac:dyDescent="0.2">
      <c r="E1458" s="19" t="s">
        <v>1979</v>
      </c>
    </row>
    <row r="1459" spans="5:5" ht="14.25" customHeight="1" x14ac:dyDescent="0.2">
      <c r="E1459" s="19" t="s">
        <v>1979</v>
      </c>
    </row>
    <row r="1460" spans="5:5" ht="14.25" customHeight="1" x14ac:dyDescent="0.2">
      <c r="E1460" s="19" t="s">
        <v>1979</v>
      </c>
    </row>
    <row r="1461" spans="5:5" ht="14.25" customHeight="1" x14ac:dyDescent="0.2">
      <c r="E1461" s="19" t="s">
        <v>1979</v>
      </c>
    </row>
    <row r="1462" spans="5:5" ht="14.25" customHeight="1" x14ac:dyDescent="0.2">
      <c r="E1462" s="19" t="s">
        <v>1979</v>
      </c>
    </row>
    <row r="1463" spans="5:5" ht="14.25" customHeight="1" x14ac:dyDescent="0.2">
      <c r="E1463" s="19" t="s">
        <v>1979</v>
      </c>
    </row>
    <row r="1464" spans="5:5" ht="14.25" customHeight="1" x14ac:dyDescent="0.2">
      <c r="E1464" s="19" t="s">
        <v>1979</v>
      </c>
    </row>
    <row r="1465" spans="5:5" ht="14.25" customHeight="1" x14ac:dyDescent="0.2">
      <c r="E1465" s="19" t="s">
        <v>1979</v>
      </c>
    </row>
    <row r="1466" spans="5:5" ht="14.25" customHeight="1" x14ac:dyDescent="0.2">
      <c r="E1466" s="19" t="s">
        <v>1979</v>
      </c>
    </row>
    <row r="1467" spans="5:5" ht="14.25" customHeight="1" x14ac:dyDescent="0.2">
      <c r="E1467" s="19" t="s">
        <v>1979</v>
      </c>
    </row>
    <row r="1468" spans="5:5" ht="14.25" customHeight="1" x14ac:dyDescent="0.2">
      <c r="E1468" s="19" t="s">
        <v>1979</v>
      </c>
    </row>
    <row r="1469" spans="5:5" ht="14.25" customHeight="1" x14ac:dyDescent="0.2">
      <c r="E1469" s="19" t="s">
        <v>1979</v>
      </c>
    </row>
    <row r="1470" spans="5:5" ht="14.25" customHeight="1" x14ac:dyDescent="0.2">
      <c r="E1470" s="19" t="s">
        <v>1979</v>
      </c>
    </row>
    <row r="1471" spans="5:5" ht="14.25" customHeight="1" x14ac:dyDescent="0.2">
      <c r="E1471" s="19" t="s">
        <v>1979</v>
      </c>
    </row>
    <row r="1472" spans="5:5" ht="14.25" customHeight="1" x14ac:dyDescent="0.2">
      <c r="E1472" s="19" t="s">
        <v>1979</v>
      </c>
    </row>
    <row r="1473" spans="5:5" ht="14.25" customHeight="1" x14ac:dyDescent="0.2">
      <c r="E1473" s="19" t="s">
        <v>1979</v>
      </c>
    </row>
    <row r="1474" spans="5:5" ht="14.25" customHeight="1" x14ac:dyDescent="0.2">
      <c r="E1474" s="19" t="s">
        <v>1979</v>
      </c>
    </row>
    <row r="1475" spans="5:5" ht="14.25" customHeight="1" x14ac:dyDescent="0.2">
      <c r="E1475" s="19" t="s">
        <v>1979</v>
      </c>
    </row>
    <row r="1476" spans="5:5" ht="14.25" customHeight="1" x14ac:dyDescent="0.2">
      <c r="E1476" s="19" t="s">
        <v>1979</v>
      </c>
    </row>
    <row r="1477" spans="5:5" ht="14.25" customHeight="1" x14ac:dyDescent="0.2">
      <c r="E1477" s="19" t="s">
        <v>1979</v>
      </c>
    </row>
    <row r="1478" spans="5:5" ht="14.25" customHeight="1" x14ac:dyDescent="0.2">
      <c r="E1478" s="19" t="s">
        <v>1979</v>
      </c>
    </row>
    <row r="1479" spans="5:5" ht="14.25" customHeight="1" x14ac:dyDescent="0.2">
      <c r="E1479" s="19" t="s">
        <v>1979</v>
      </c>
    </row>
    <row r="1480" spans="5:5" ht="14.25" customHeight="1" x14ac:dyDescent="0.2">
      <c r="E1480" s="19" t="s">
        <v>1979</v>
      </c>
    </row>
    <row r="1481" spans="5:5" ht="14.25" customHeight="1" x14ac:dyDescent="0.2">
      <c r="E1481" s="19" t="s">
        <v>1979</v>
      </c>
    </row>
    <row r="1482" spans="5:5" ht="14.25" customHeight="1" x14ac:dyDescent="0.2">
      <c r="E1482" s="19" t="s">
        <v>1979</v>
      </c>
    </row>
    <row r="1483" spans="5:5" ht="14.25" customHeight="1" x14ac:dyDescent="0.2">
      <c r="E1483" s="19" t="s">
        <v>1979</v>
      </c>
    </row>
    <row r="1484" spans="5:5" ht="14.25" customHeight="1" x14ac:dyDescent="0.2">
      <c r="E1484" s="19" t="s">
        <v>1979</v>
      </c>
    </row>
    <row r="1485" spans="5:5" ht="14.25" customHeight="1" x14ac:dyDescent="0.2">
      <c r="E1485" s="19" t="s">
        <v>1979</v>
      </c>
    </row>
    <row r="1486" spans="5:5" ht="14.25" customHeight="1" x14ac:dyDescent="0.2">
      <c r="E1486" s="19" t="s">
        <v>1979</v>
      </c>
    </row>
    <row r="1487" spans="5:5" ht="14.25" customHeight="1" x14ac:dyDescent="0.2">
      <c r="E1487" s="19" t="s">
        <v>1979</v>
      </c>
    </row>
    <row r="1488" spans="5:5" ht="14.25" customHeight="1" x14ac:dyDescent="0.2">
      <c r="E1488" s="19" t="s">
        <v>1979</v>
      </c>
    </row>
    <row r="1489" spans="5:5" ht="14.25" customHeight="1" x14ac:dyDescent="0.2">
      <c r="E1489" s="19" t="s">
        <v>1979</v>
      </c>
    </row>
    <row r="1490" spans="5:5" ht="14.25" customHeight="1" x14ac:dyDescent="0.2">
      <c r="E1490" s="19" t="s">
        <v>1979</v>
      </c>
    </row>
    <row r="1491" spans="5:5" ht="14.25" customHeight="1" x14ac:dyDescent="0.2">
      <c r="E1491" s="19" t="s">
        <v>1979</v>
      </c>
    </row>
    <row r="1492" spans="5:5" ht="14.25" customHeight="1" x14ac:dyDescent="0.2">
      <c r="E1492" s="19" t="s">
        <v>1979</v>
      </c>
    </row>
    <row r="1493" spans="5:5" ht="14.25" customHeight="1" x14ac:dyDescent="0.2">
      <c r="E1493" s="19" t="s">
        <v>1979</v>
      </c>
    </row>
    <row r="1494" spans="5:5" ht="14.25" customHeight="1" x14ac:dyDescent="0.2">
      <c r="E1494" s="19" t="s">
        <v>1979</v>
      </c>
    </row>
    <row r="1495" spans="5:5" ht="14.25" customHeight="1" x14ac:dyDescent="0.2">
      <c r="E1495" s="19" t="s">
        <v>1979</v>
      </c>
    </row>
    <row r="1496" spans="5:5" ht="14.25" customHeight="1" x14ac:dyDescent="0.2">
      <c r="E1496" s="19" t="s">
        <v>1979</v>
      </c>
    </row>
    <row r="1497" spans="5:5" ht="14.25" customHeight="1" x14ac:dyDescent="0.2">
      <c r="E1497" s="19" t="s">
        <v>1979</v>
      </c>
    </row>
    <row r="1498" spans="5:5" ht="14.25" customHeight="1" x14ac:dyDescent="0.2">
      <c r="E1498" s="19" t="s">
        <v>1979</v>
      </c>
    </row>
    <row r="1499" spans="5:5" ht="14.25" customHeight="1" x14ac:dyDescent="0.2">
      <c r="E1499" s="19" t="s">
        <v>1979</v>
      </c>
    </row>
    <row r="1500" spans="5:5" ht="14.25" customHeight="1" x14ac:dyDescent="0.2">
      <c r="E1500" s="19" t="s">
        <v>1979</v>
      </c>
    </row>
    <row r="1501" spans="5:5" ht="14.25" customHeight="1" x14ac:dyDescent="0.2">
      <c r="E1501" s="19" t="s">
        <v>1979</v>
      </c>
    </row>
    <row r="1502" spans="5:5" ht="14.25" customHeight="1" x14ac:dyDescent="0.2">
      <c r="E1502" s="19" t="s">
        <v>1979</v>
      </c>
    </row>
    <row r="1503" spans="5:5" ht="14.25" customHeight="1" x14ac:dyDescent="0.2">
      <c r="E1503" s="19" t="s">
        <v>1979</v>
      </c>
    </row>
    <row r="1504" spans="5:5" ht="14.25" customHeight="1" x14ac:dyDescent="0.2">
      <c r="E1504" s="19" t="s">
        <v>1979</v>
      </c>
    </row>
    <row r="1505" spans="5:5" ht="14.25" customHeight="1" x14ac:dyDescent="0.2">
      <c r="E1505" s="19" t="s">
        <v>1979</v>
      </c>
    </row>
    <row r="1506" spans="5:5" ht="14.25" customHeight="1" x14ac:dyDescent="0.2">
      <c r="E1506" s="19" t="s">
        <v>1979</v>
      </c>
    </row>
    <row r="1507" spans="5:5" ht="14.25" customHeight="1" x14ac:dyDescent="0.2">
      <c r="E1507" s="19" t="s">
        <v>1979</v>
      </c>
    </row>
    <row r="1508" spans="5:5" ht="14.25" customHeight="1" x14ac:dyDescent="0.2">
      <c r="E1508" s="19" t="s">
        <v>1979</v>
      </c>
    </row>
    <row r="1509" spans="5:5" ht="14.25" customHeight="1" x14ac:dyDescent="0.2">
      <c r="E1509" s="19" t="s">
        <v>1979</v>
      </c>
    </row>
    <row r="1510" spans="5:5" ht="14.25" customHeight="1" x14ac:dyDescent="0.2">
      <c r="E1510" s="19" t="s">
        <v>1979</v>
      </c>
    </row>
    <row r="1511" spans="5:5" ht="14.25" customHeight="1" x14ac:dyDescent="0.2">
      <c r="E1511" s="19" t="s">
        <v>1979</v>
      </c>
    </row>
    <row r="1512" spans="5:5" ht="14.25" customHeight="1" x14ac:dyDescent="0.2">
      <c r="E1512" s="19" t="s">
        <v>1979</v>
      </c>
    </row>
    <row r="1513" spans="5:5" ht="14.25" customHeight="1" x14ac:dyDescent="0.2">
      <c r="E1513" s="19" t="s">
        <v>1979</v>
      </c>
    </row>
    <row r="1514" spans="5:5" ht="14.25" customHeight="1" x14ac:dyDescent="0.2">
      <c r="E1514" s="19" t="s">
        <v>1979</v>
      </c>
    </row>
    <row r="1515" spans="5:5" ht="14.25" customHeight="1" x14ac:dyDescent="0.2">
      <c r="E1515" s="19" t="s">
        <v>1979</v>
      </c>
    </row>
    <row r="1516" spans="5:5" ht="14.25" customHeight="1" x14ac:dyDescent="0.2">
      <c r="E1516" s="19" t="s">
        <v>1979</v>
      </c>
    </row>
    <row r="1517" spans="5:5" ht="14.25" customHeight="1" x14ac:dyDescent="0.2">
      <c r="E1517" s="19" t="s">
        <v>1979</v>
      </c>
    </row>
    <row r="1518" spans="5:5" ht="14.25" customHeight="1" x14ac:dyDescent="0.2">
      <c r="E1518" s="19" t="s">
        <v>1979</v>
      </c>
    </row>
    <row r="1519" spans="5:5" ht="14.25" customHeight="1" x14ac:dyDescent="0.2">
      <c r="E1519" s="19" t="s">
        <v>1979</v>
      </c>
    </row>
    <row r="1520" spans="5:5" ht="14.25" customHeight="1" x14ac:dyDescent="0.2">
      <c r="E1520" s="19" t="s">
        <v>1979</v>
      </c>
    </row>
    <row r="1521" spans="5:5" ht="14.25" customHeight="1" x14ac:dyDescent="0.2">
      <c r="E1521" s="19" t="s">
        <v>1979</v>
      </c>
    </row>
    <row r="1522" spans="5:5" ht="14.25" customHeight="1" x14ac:dyDescent="0.2">
      <c r="E1522" s="19" t="s">
        <v>1979</v>
      </c>
    </row>
    <row r="1523" spans="5:5" ht="14.25" customHeight="1" x14ac:dyDescent="0.2">
      <c r="E1523" s="19" t="s">
        <v>1979</v>
      </c>
    </row>
    <row r="1524" spans="5:5" ht="14.25" customHeight="1" x14ac:dyDescent="0.2">
      <c r="E1524" s="19" t="s">
        <v>1979</v>
      </c>
    </row>
    <row r="1525" spans="5:5" ht="14.25" customHeight="1" x14ac:dyDescent="0.2">
      <c r="E1525" s="19" t="s">
        <v>1979</v>
      </c>
    </row>
    <row r="1526" spans="5:5" ht="14.25" customHeight="1" x14ac:dyDescent="0.2">
      <c r="E1526" s="19" t="s">
        <v>1979</v>
      </c>
    </row>
    <row r="1527" spans="5:5" ht="14.25" customHeight="1" x14ac:dyDescent="0.2">
      <c r="E1527" s="19" t="s">
        <v>1979</v>
      </c>
    </row>
    <row r="1528" spans="5:5" ht="14.25" customHeight="1" x14ac:dyDescent="0.2">
      <c r="E1528" s="19" t="s">
        <v>1979</v>
      </c>
    </row>
    <row r="1529" spans="5:5" ht="14.25" customHeight="1" x14ac:dyDescent="0.2">
      <c r="E1529" s="19" t="s">
        <v>1979</v>
      </c>
    </row>
    <row r="1530" spans="5:5" ht="14.25" customHeight="1" x14ac:dyDescent="0.2">
      <c r="E1530" s="19" t="s">
        <v>1979</v>
      </c>
    </row>
    <row r="1531" spans="5:5" ht="14.25" customHeight="1" x14ac:dyDescent="0.2">
      <c r="E1531" s="19" t="s">
        <v>1979</v>
      </c>
    </row>
    <row r="1532" spans="5:5" ht="14.25" customHeight="1" x14ac:dyDescent="0.2">
      <c r="E1532" s="19" t="s">
        <v>1979</v>
      </c>
    </row>
    <row r="1533" spans="5:5" ht="14.25" customHeight="1" x14ac:dyDescent="0.2">
      <c r="E1533" s="19" t="s">
        <v>1979</v>
      </c>
    </row>
    <row r="1534" spans="5:5" ht="14.25" customHeight="1" x14ac:dyDescent="0.2">
      <c r="E1534" s="19" t="s">
        <v>1979</v>
      </c>
    </row>
    <row r="1535" spans="5:5" ht="14.25" customHeight="1" x14ac:dyDescent="0.2">
      <c r="E1535" s="19" t="s">
        <v>1979</v>
      </c>
    </row>
    <row r="1536" spans="5:5" ht="14.25" customHeight="1" x14ac:dyDescent="0.2">
      <c r="E1536" s="19" t="s">
        <v>1979</v>
      </c>
    </row>
    <row r="1537" spans="5:5" ht="14.25" customHeight="1" x14ac:dyDescent="0.2">
      <c r="E1537" s="19" t="s">
        <v>1979</v>
      </c>
    </row>
    <row r="1538" spans="5:5" ht="14.25" customHeight="1" x14ac:dyDescent="0.2">
      <c r="E1538" s="19" t="s">
        <v>1979</v>
      </c>
    </row>
    <row r="1539" spans="5:5" ht="14.25" customHeight="1" x14ac:dyDescent="0.2">
      <c r="E1539" s="19" t="s">
        <v>1979</v>
      </c>
    </row>
    <row r="1540" spans="5:5" ht="14.25" customHeight="1" x14ac:dyDescent="0.2">
      <c r="E1540" s="19" t="s">
        <v>1979</v>
      </c>
    </row>
    <row r="1541" spans="5:5" ht="14.25" customHeight="1" x14ac:dyDescent="0.2">
      <c r="E1541" s="19" t="s">
        <v>1979</v>
      </c>
    </row>
    <row r="1542" spans="5:5" ht="14.25" customHeight="1" x14ac:dyDescent="0.2">
      <c r="E1542" s="19" t="s">
        <v>1979</v>
      </c>
    </row>
    <row r="1543" spans="5:5" ht="14.25" customHeight="1" x14ac:dyDescent="0.2">
      <c r="E1543" s="19" t="s">
        <v>1979</v>
      </c>
    </row>
    <row r="1544" spans="5:5" ht="14.25" customHeight="1" x14ac:dyDescent="0.2">
      <c r="E1544" s="19" t="s">
        <v>1979</v>
      </c>
    </row>
    <row r="1545" spans="5:5" ht="14.25" customHeight="1" x14ac:dyDescent="0.2">
      <c r="E1545" s="19" t="s">
        <v>1979</v>
      </c>
    </row>
    <row r="1546" spans="5:5" ht="14.25" customHeight="1" x14ac:dyDescent="0.2">
      <c r="E1546" s="19" t="s">
        <v>1979</v>
      </c>
    </row>
    <row r="1547" spans="5:5" ht="14.25" customHeight="1" x14ac:dyDescent="0.2">
      <c r="E1547" s="19" t="s">
        <v>1979</v>
      </c>
    </row>
    <row r="1548" spans="5:5" ht="14.25" customHeight="1" x14ac:dyDescent="0.2">
      <c r="E1548" s="19" t="s">
        <v>1979</v>
      </c>
    </row>
    <row r="1549" spans="5:5" ht="14.25" customHeight="1" x14ac:dyDescent="0.2">
      <c r="E1549" s="19" t="s">
        <v>1979</v>
      </c>
    </row>
    <row r="1550" spans="5:5" ht="14.25" customHeight="1" x14ac:dyDescent="0.2">
      <c r="E1550" s="19" t="s">
        <v>1979</v>
      </c>
    </row>
    <row r="1551" spans="5:5" ht="14.25" customHeight="1" x14ac:dyDescent="0.2">
      <c r="E1551" s="19" t="s">
        <v>1979</v>
      </c>
    </row>
    <row r="1552" spans="5:5" ht="14.25" customHeight="1" x14ac:dyDescent="0.2">
      <c r="E1552" s="19" t="s">
        <v>1979</v>
      </c>
    </row>
    <row r="1553" spans="5:5" ht="14.25" customHeight="1" x14ac:dyDescent="0.2">
      <c r="E1553" s="19" t="s">
        <v>1979</v>
      </c>
    </row>
    <row r="1554" spans="5:5" ht="14.25" customHeight="1" x14ac:dyDescent="0.2">
      <c r="E1554" s="19" t="s">
        <v>1979</v>
      </c>
    </row>
    <row r="1555" spans="5:5" ht="14.25" customHeight="1" x14ac:dyDescent="0.2">
      <c r="E1555" s="19" t="s">
        <v>1979</v>
      </c>
    </row>
    <row r="1556" spans="5:5" ht="14.25" customHeight="1" x14ac:dyDescent="0.2">
      <c r="E1556" s="19" t="s">
        <v>1979</v>
      </c>
    </row>
    <row r="1557" spans="5:5" ht="14.25" customHeight="1" x14ac:dyDescent="0.2">
      <c r="E1557" s="19" t="s">
        <v>1979</v>
      </c>
    </row>
    <row r="1558" spans="5:5" ht="14.25" customHeight="1" x14ac:dyDescent="0.2">
      <c r="E1558" s="19" t="s">
        <v>1979</v>
      </c>
    </row>
    <row r="1559" spans="5:5" ht="14.25" customHeight="1" x14ac:dyDescent="0.2">
      <c r="E1559" s="19" t="s">
        <v>1979</v>
      </c>
    </row>
    <row r="1560" spans="5:5" ht="14.25" customHeight="1" x14ac:dyDescent="0.2">
      <c r="E1560" s="19" t="s">
        <v>1979</v>
      </c>
    </row>
    <row r="1561" spans="5:5" ht="14.25" customHeight="1" x14ac:dyDescent="0.2">
      <c r="E1561" s="19" t="s">
        <v>1979</v>
      </c>
    </row>
    <row r="1562" spans="5:5" ht="14.25" customHeight="1" x14ac:dyDescent="0.2">
      <c r="E1562" s="19" t="s">
        <v>1979</v>
      </c>
    </row>
    <row r="1563" spans="5:5" ht="14.25" customHeight="1" x14ac:dyDescent="0.2">
      <c r="E1563" s="19" t="s">
        <v>1979</v>
      </c>
    </row>
    <row r="1564" spans="5:5" ht="14.25" customHeight="1" x14ac:dyDescent="0.2">
      <c r="E1564" s="19" t="s">
        <v>1979</v>
      </c>
    </row>
    <row r="1565" spans="5:5" ht="14.25" customHeight="1" x14ac:dyDescent="0.2">
      <c r="E1565" s="19" t="s">
        <v>1979</v>
      </c>
    </row>
    <row r="1566" spans="5:5" ht="14.25" customHeight="1" x14ac:dyDescent="0.2">
      <c r="E1566" s="19" t="s">
        <v>1979</v>
      </c>
    </row>
    <row r="1567" spans="5:5" ht="14.25" customHeight="1" x14ac:dyDescent="0.2">
      <c r="E1567" s="19" t="s">
        <v>1979</v>
      </c>
    </row>
    <row r="1568" spans="5:5" ht="14.25" customHeight="1" x14ac:dyDescent="0.2">
      <c r="E1568" s="19" t="s">
        <v>1979</v>
      </c>
    </row>
    <row r="1569" spans="5:5" ht="14.25" customHeight="1" x14ac:dyDescent="0.2">
      <c r="E1569" s="19" t="s">
        <v>1979</v>
      </c>
    </row>
    <row r="1570" spans="5:5" ht="14.25" customHeight="1" x14ac:dyDescent="0.2">
      <c r="E1570" s="19" t="s">
        <v>1979</v>
      </c>
    </row>
    <row r="1571" spans="5:5" ht="14.25" customHeight="1" x14ac:dyDescent="0.2">
      <c r="E1571" s="19" t="s">
        <v>1979</v>
      </c>
    </row>
    <row r="1572" spans="5:5" ht="14.25" customHeight="1" x14ac:dyDescent="0.2">
      <c r="E1572" s="19" t="s">
        <v>1979</v>
      </c>
    </row>
    <row r="1573" spans="5:5" ht="14.25" customHeight="1" x14ac:dyDescent="0.2">
      <c r="E1573" s="19" t="s">
        <v>1979</v>
      </c>
    </row>
    <row r="1574" spans="5:5" ht="14.25" customHeight="1" x14ac:dyDescent="0.2">
      <c r="E1574" s="19" t="s">
        <v>1979</v>
      </c>
    </row>
    <row r="1575" spans="5:5" ht="14.25" customHeight="1" x14ac:dyDescent="0.2">
      <c r="E1575" s="19" t="s">
        <v>1979</v>
      </c>
    </row>
    <row r="1576" spans="5:5" ht="14.25" customHeight="1" x14ac:dyDescent="0.2">
      <c r="E1576" s="19" t="s">
        <v>1979</v>
      </c>
    </row>
    <row r="1577" spans="5:5" ht="14.25" customHeight="1" x14ac:dyDescent="0.2">
      <c r="E1577" s="19" t="s">
        <v>1979</v>
      </c>
    </row>
    <row r="1578" spans="5:5" ht="14.25" customHeight="1" x14ac:dyDescent="0.2">
      <c r="E1578" s="19" t="s">
        <v>1979</v>
      </c>
    </row>
    <row r="1579" spans="5:5" ht="14.25" customHeight="1" x14ac:dyDescent="0.2">
      <c r="E1579" s="19" t="s">
        <v>1979</v>
      </c>
    </row>
    <row r="1580" spans="5:5" ht="14.25" customHeight="1" x14ac:dyDescent="0.2">
      <c r="E1580" s="19" t="s">
        <v>1979</v>
      </c>
    </row>
    <row r="1581" spans="5:5" ht="14.25" customHeight="1" x14ac:dyDescent="0.2">
      <c r="E1581" s="19" t="s">
        <v>1979</v>
      </c>
    </row>
    <row r="1582" spans="5:5" ht="14.25" customHeight="1" x14ac:dyDescent="0.2">
      <c r="E1582" s="19" t="s">
        <v>1979</v>
      </c>
    </row>
    <row r="1583" spans="5:5" ht="14.25" customHeight="1" x14ac:dyDescent="0.2">
      <c r="E1583" s="19" t="s">
        <v>1979</v>
      </c>
    </row>
    <row r="1584" spans="5:5" ht="14.25" customHeight="1" x14ac:dyDescent="0.2">
      <c r="E1584" s="19" t="s">
        <v>1979</v>
      </c>
    </row>
    <row r="1585" spans="5:5" ht="14.25" customHeight="1" x14ac:dyDescent="0.2">
      <c r="E1585" s="19" t="s">
        <v>1979</v>
      </c>
    </row>
    <row r="1586" spans="5:5" ht="14.25" customHeight="1" x14ac:dyDescent="0.2">
      <c r="E1586" s="19" t="s">
        <v>1979</v>
      </c>
    </row>
    <row r="1587" spans="5:5" ht="14.25" customHeight="1" x14ac:dyDescent="0.2">
      <c r="E1587" s="19" t="s">
        <v>1979</v>
      </c>
    </row>
    <row r="1588" spans="5:5" ht="14.25" customHeight="1" x14ac:dyDescent="0.2">
      <c r="E1588" s="19" t="s">
        <v>1979</v>
      </c>
    </row>
    <row r="1589" spans="5:5" ht="14.25" customHeight="1" x14ac:dyDescent="0.2">
      <c r="E1589" s="19" t="s">
        <v>1979</v>
      </c>
    </row>
    <row r="1590" spans="5:5" ht="14.25" customHeight="1" x14ac:dyDescent="0.2">
      <c r="E1590" s="19" t="s">
        <v>1979</v>
      </c>
    </row>
    <row r="1591" spans="5:5" ht="14.25" customHeight="1" x14ac:dyDescent="0.2">
      <c r="E1591" s="19" t="s">
        <v>1979</v>
      </c>
    </row>
    <row r="1592" spans="5:5" ht="14.25" customHeight="1" x14ac:dyDescent="0.2">
      <c r="E1592" s="19" t="s">
        <v>1979</v>
      </c>
    </row>
    <row r="1593" spans="5:5" ht="14.25" customHeight="1" x14ac:dyDescent="0.2">
      <c r="E1593" s="19" t="s">
        <v>1979</v>
      </c>
    </row>
    <row r="1594" spans="5:5" ht="14.25" customHeight="1" x14ac:dyDescent="0.2">
      <c r="E1594" s="19" t="s">
        <v>1979</v>
      </c>
    </row>
    <row r="1595" spans="5:5" ht="14.25" customHeight="1" x14ac:dyDescent="0.2">
      <c r="E1595" s="19" t="s">
        <v>1979</v>
      </c>
    </row>
    <row r="1596" spans="5:5" ht="14.25" customHeight="1" x14ac:dyDescent="0.2">
      <c r="E1596" s="19" t="s">
        <v>1979</v>
      </c>
    </row>
    <row r="1597" spans="5:5" ht="14.25" customHeight="1" x14ac:dyDescent="0.2">
      <c r="E1597" s="19" t="s">
        <v>1979</v>
      </c>
    </row>
    <row r="1598" spans="5:5" ht="14.25" customHeight="1" x14ac:dyDescent="0.2">
      <c r="E1598" s="19" t="s">
        <v>1979</v>
      </c>
    </row>
    <row r="1599" spans="5:5" ht="14.25" customHeight="1" x14ac:dyDescent="0.2">
      <c r="E1599" s="19" t="s">
        <v>1979</v>
      </c>
    </row>
    <row r="1600" spans="5:5" ht="14.25" customHeight="1" x14ac:dyDescent="0.2">
      <c r="E1600" s="19" t="s">
        <v>1979</v>
      </c>
    </row>
    <row r="1601" spans="5:5" ht="14.25" customHeight="1" x14ac:dyDescent="0.2">
      <c r="E1601" s="19" t="s">
        <v>1979</v>
      </c>
    </row>
    <row r="1602" spans="5:5" ht="14.25" customHeight="1" x14ac:dyDescent="0.2">
      <c r="E1602" s="19" t="s">
        <v>1979</v>
      </c>
    </row>
    <row r="1603" spans="5:5" ht="14.25" customHeight="1" x14ac:dyDescent="0.2">
      <c r="E1603" s="19" t="s">
        <v>1979</v>
      </c>
    </row>
    <row r="1604" spans="5:5" ht="14.25" customHeight="1" x14ac:dyDescent="0.2">
      <c r="E1604" s="19" t="s">
        <v>1979</v>
      </c>
    </row>
    <row r="1605" spans="5:5" ht="14.25" customHeight="1" x14ac:dyDescent="0.2">
      <c r="E1605" s="19" t="s">
        <v>1979</v>
      </c>
    </row>
    <row r="1606" spans="5:5" ht="14.25" customHeight="1" x14ac:dyDescent="0.2">
      <c r="E1606" s="19" t="s">
        <v>1979</v>
      </c>
    </row>
    <row r="1607" spans="5:5" ht="14.25" customHeight="1" x14ac:dyDescent="0.2">
      <c r="E1607" s="19" t="s">
        <v>1979</v>
      </c>
    </row>
    <row r="1608" spans="5:5" ht="14.25" customHeight="1" x14ac:dyDescent="0.2">
      <c r="E1608" s="19" t="s">
        <v>1979</v>
      </c>
    </row>
    <row r="1609" spans="5:5" ht="14.25" customHeight="1" x14ac:dyDescent="0.2">
      <c r="E1609" s="19" t="s">
        <v>1979</v>
      </c>
    </row>
    <row r="1610" spans="5:5" ht="14.25" customHeight="1" x14ac:dyDescent="0.2">
      <c r="E1610" s="19" t="s">
        <v>1979</v>
      </c>
    </row>
    <row r="1611" spans="5:5" ht="14.25" customHeight="1" x14ac:dyDescent="0.2">
      <c r="E1611" s="19" t="s">
        <v>1979</v>
      </c>
    </row>
    <row r="1612" spans="5:5" ht="14.25" customHeight="1" x14ac:dyDescent="0.2">
      <c r="E1612" s="19" t="s">
        <v>1979</v>
      </c>
    </row>
    <row r="1613" spans="5:5" ht="14.25" customHeight="1" x14ac:dyDescent="0.2">
      <c r="E1613" s="19" t="s">
        <v>1979</v>
      </c>
    </row>
    <row r="1614" spans="5:5" ht="14.25" customHeight="1" x14ac:dyDescent="0.2">
      <c r="E1614" s="19" t="s">
        <v>1979</v>
      </c>
    </row>
    <row r="1615" spans="5:5" ht="14.25" customHeight="1" x14ac:dyDescent="0.2">
      <c r="E1615" s="19" t="s">
        <v>1979</v>
      </c>
    </row>
    <row r="1616" spans="5:5" ht="14.25" customHeight="1" x14ac:dyDescent="0.2">
      <c r="E1616" s="19" t="s">
        <v>1979</v>
      </c>
    </row>
    <row r="1617" spans="5:5" ht="14.25" customHeight="1" x14ac:dyDescent="0.2">
      <c r="E1617" s="19" t="s">
        <v>1979</v>
      </c>
    </row>
    <row r="1618" spans="5:5" ht="14.25" customHeight="1" x14ac:dyDescent="0.2">
      <c r="E1618" s="19" t="s">
        <v>1979</v>
      </c>
    </row>
    <row r="1619" spans="5:5" ht="14.25" customHeight="1" x14ac:dyDescent="0.2">
      <c r="E1619" s="19" t="s">
        <v>1979</v>
      </c>
    </row>
    <row r="1620" spans="5:5" ht="14.25" customHeight="1" x14ac:dyDescent="0.2">
      <c r="E1620" s="19" t="s">
        <v>1979</v>
      </c>
    </row>
    <row r="1621" spans="5:5" ht="14.25" customHeight="1" x14ac:dyDescent="0.2">
      <c r="E1621" s="19" t="s">
        <v>1979</v>
      </c>
    </row>
    <row r="1622" spans="5:5" ht="14.25" customHeight="1" x14ac:dyDescent="0.2">
      <c r="E1622" s="19" t="s">
        <v>1979</v>
      </c>
    </row>
    <row r="1623" spans="5:5" ht="14.25" customHeight="1" x14ac:dyDescent="0.2">
      <c r="E1623" s="19" t="s">
        <v>1979</v>
      </c>
    </row>
    <row r="1624" spans="5:5" ht="14.25" customHeight="1" x14ac:dyDescent="0.2">
      <c r="E1624" s="19" t="s">
        <v>1979</v>
      </c>
    </row>
    <row r="1625" spans="5:5" ht="14.25" customHeight="1" x14ac:dyDescent="0.2">
      <c r="E1625" s="19" t="s">
        <v>1979</v>
      </c>
    </row>
    <row r="1626" spans="5:5" ht="14.25" customHeight="1" x14ac:dyDescent="0.2">
      <c r="E1626" s="19" t="s">
        <v>1979</v>
      </c>
    </row>
    <row r="1627" spans="5:5" ht="14.25" customHeight="1" x14ac:dyDescent="0.2">
      <c r="E1627" s="19" t="s">
        <v>1979</v>
      </c>
    </row>
    <row r="1628" spans="5:5" ht="14.25" customHeight="1" x14ac:dyDescent="0.2">
      <c r="E1628" s="19" t="s">
        <v>1979</v>
      </c>
    </row>
    <row r="1629" spans="5:5" ht="14.25" customHeight="1" x14ac:dyDescent="0.2">
      <c r="E1629" s="19" t="s">
        <v>1979</v>
      </c>
    </row>
    <row r="1630" spans="5:5" ht="14.25" customHeight="1" x14ac:dyDescent="0.2">
      <c r="E1630" s="19" t="s">
        <v>1979</v>
      </c>
    </row>
    <row r="1631" spans="5:5" ht="14.25" customHeight="1" x14ac:dyDescent="0.2">
      <c r="E1631" s="19" t="s">
        <v>1979</v>
      </c>
    </row>
    <row r="1632" spans="5:5" ht="14.25" customHeight="1" x14ac:dyDescent="0.2">
      <c r="E1632" s="19" t="s">
        <v>1979</v>
      </c>
    </row>
    <row r="1633" spans="5:5" ht="14.25" customHeight="1" x14ac:dyDescent="0.2">
      <c r="E1633" s="19" t="s">
        <v>1979</v>
      </c>
    </row>
    <row r="1634" spans="5:5" ht="14.25" customHeight="1" x14ac:dyDescent="0.2">
      <c r="E1634" s="19" t="s">
        <v>1979</v>
      </c>
    </row>
    <row r="1635" spans="5:5" ht="14.25" customHeight="1" x14ac:dyDescent="0.2">
      <c r="E1635" s="19" t="s">
        <v>1979</v>
      </c>
    </row>
    <row r="1636" spans="5:5" ht="14.25" customHeight="1" x14ac:dyDescent="0.2">
      <c r="E1636" s="19" t="s">
        <v>1979</v>
      </c>
    </row>
    <row r="1637" spans="5:5" ht="14.25" customHeight="1" x14ac:dyDescent="0.2">
      <c r="E1637" s="19" t="s">
        <v>1979</v>
      </c>
    </row>
    <row r="1638" spans="5:5" ht="14.25" customHeight="1" x14ac:dyDescent="0.2">
      <c r="E1638" s="19" t="s">
        <v>1979</v>
      </c>
    </row>
    <row r="1639" spans="5:5" ht="14.25" customHeight="1" x14ac:dyDescent="0.2">
      <c r="E1639" s="19" t="s">
        <v>1979</v>
      </c>
    </row>
    <row r="1640" spans="5:5" ht="14.25" customHeight="1" x14ac:dyDescent="0.2">
      <c r="E1640" s="19" t="s">
        <v>1979</v>
      </c>
    </row>
    <row r="1641" spans="5:5" ht="14.25" customHeight="1" x14ac:dyDescent="0.2">
      <c r="E1641" s="19" t="s">
        <v>1979</v>
      </c>
    </row>
    <row r="1642" spans="5:5" ht="14.25" customHeight="1" x14ac:dyDescent="0.2">
      <c r="E1642" s="19" t="s">
        <v>1979</v>
      </c>
    </row>
    <row r="1643" spans="5:5" ht="14.25" customHeight="1" x14ac:dyDescent="0.2">
      <c r="E1643" s="19" t="s">
        <v>1979</v>
      </c>
    </row>
    <row r="1644" spans="5:5" ht="14.25" customHeight="1" x14ac:dyDescent="0.2">
      <c r="E1644" s="19" t="s">
        <v>1979</v>
      </c>
    </row>
    <row r="1645" spans="5:5" ht="14.25" customHeight="1" x14ac:dyDescent="0.2">
      <c r="E1645" s="19" t="s">
        <v>1979</v>
      </c>
    </row>
    <row r="1646" spans="5:5" ht="14.25" customHeight="1" x14ac:dyDescent="0.2">
      <c r="E1646" s="19" t="s">
        <v>1979</v>
      </c>
    </row>
    <row r="1647" spans="5:5" ht="14.25" customHeight="1" x14ac:dyDescent="0.2">
      <c r="E1647" s="19" t="s">
        <v>1979</v>
      </c>
    </row>
    <row r="1648" spans="5:5" ht="14.25" customHeight="1" x14ac:dyDescent="0.2">
      <c r="E1648" s="19" t="s">
        <v>1979</v>
      </c>
    </row>
    <row r="1649" spans="5:5" ht="14.25" customHeight="1" x14ac:dyDescent="0.2">
      <c r="E1649" s="19" t="s">
        <v>1979</v>
      </c>
    </row>
    <row r="1650" spans="5:5" ht="14.25" customHeight="1" x14ac:dyDescent="0.2">
      <c r="E1650" s="19" t="s">
        <v>1979</v>
      </c>
    </row>
    <row r="1651" spans="5:5" ht="14.25" customHeight="1" x14ac:dyDescent="0.2">
      <c r="E1651" s="19" t="s">
        <v>1979</v>
      </c>
    </row>
    <row r="1652" spans="5:5" ht="14.25" customHeight="1" x14ac:dyDescent="0.2">
      <c r="E1652" s="19" t="s">
        <v>1979</v>
      </c>
    </row>
    <row r="1653" spans="5:5" ht="14.25" customHeight="1" x14ac:dyDescent="0.2">
      <c r="E1653" s="19" t="s">
        <v>1979</v>
      </c>
    </row>
    <row r="1654" spans="5:5" ht="14.25" customHeight="1" x14ac:dyDescent="0.2">
      <c r="E1654" s="19" t="s">
        <v>1979</v>
      </c>
    </row>
    <row r="1655" spans="5:5" ht="14.25" customHeight="1" x14ac:dyDescent="0.2">
      <c r="E1655" s="19" t="s">
        <v>1979</v>
      </c>
    </row>
    <row r="1656" spans="5:5" ht="14.25" customHeight="1" x14ac:dyDescent="0.2">
      <c r="E1656" s="19" t="s">
        <v>1979</v>
      </c>
    </row>
    <row r="1657" spans="5:5" ht="14.25" customHeight="1" x14ac:dyDescent="0.2">
      <c r="E1657" s="19" t="s">
        <v>1979</v>
      </c>
    </row>
    <row r="1658" spans="5:5" ht="14.25" customHeight="1" x14ac:dyDescent="0.2">
      <c r="E1658" s="19" t="s">
        <v>1979</v>
      </c>
    </row>
    <row r="1659" spans="5:5" ht="14.25" customHeight="1" x14ac:dyDescent="0.2">
      <c r="E1659" s="19" t="s">
        <v>1979</v>
      </c>
    </row>
    <row r="1660" spans="5:5" ht="14.25" customHeight="1" x14ac:dyDescent="0.2">
      <c r="E1660" s="19" t="s">
        <v>1979</v>
      </c>
    </row>
    <row r="1661" spans="5:5" ht="14.25" customHeight="1" x14ac:dyDescent="0.2">
      <c r="E1661" s="19" t="s">
        <v>1979</v>
      </c>
    </row>
    <row r="1662" spans="5:5" ht="14.25" customHeight="1" x14ac:dyDescent="0.2">
      <c r="E1662" s="19" t="s">
        <v>1979</v>
      </c>
    </row>
    <row r="1663" spans="5:5" ht="14.25" customHeight="1" x14ac:dyDescent="0.2">
      <c r="E1663" s="19" t="s">
        <v>1979</v>
      </c>
    </row>
    <row r="1664" spans="5:5" ht="14.25" customHeight="1" x14ac:dyDescent="0.2">
      <c r="E1664" s="19" t="s">
        <v>1979</v>
      </c>
    </row>
    <row r="1665" spans="5:5" ht="14.25" customHeight="1" x14ac:dyDescent="0.2">
      <c r="E1665" s="19" t="s">
        <v>1979</v>
      </c>
    </row>
    <row r="1666" spans="5:5" ht="14.25" customHeight="1" x14ac:dyDescent="0.2">
      <c r="E1666" s="19" t="s">
        <v>1979</v>
      </c>
    </row>
    <row r="1667" spans="5:5" ht="14.25" customHeight="1" x14ac:dyDescent="0.2">
      <c r="E1667" s="19" t="s">
        <v>1979</v>
      </c>
    </row>
    <row r="1668" spans="5:5" ht="14.25" customHeight="1" x14ac:dyDescent="0.2">
      <c r="E1668" s="19" t="s">
        <v>1979</v>
      </c>
    </row>
    <row r="1669" spans="5:5" ht="14.25" customHeight="1" x14ac:dyDescent="0.2">
      <c r="E1669" s="19" t="s">
        <v>1979</v>
      </c>
    </row>
    <row r="1670" spans="5:5" ht="14.25" customHeight="1" x14ac:dyDescent="0.2">
      <c r="E1670" s="19" t="s">
        <v>1979</v>
      </c>
    </row>
    <row r="1671" spans="5:5" ht="14.25" customHeight="1" x14ac:dyDescent="0.2">
      <c r="E1671" s="19" t="s">
        <v>1979</v>
      </c>
    </row>
    <row r="1672" spans="5:5" ht="14.25" customHeight="1" x14ac:dyDescent="0.2">
      <c r="E1672" s="19" t="s">
        <v>1979</v>
      </c>
    </row>
    <row r="1673" spans="5:5" ht="14.25" customHeight="1" x14ac:dyDescent="0.2">
      <c r="E1673" s="19" t="s">
        <v>1979</v>
      </c>
    </row>
    <row r="1674" spans="5:5" ht="14.25" customHeight="1" x14ac:dyDescent="0.2">
      <c r="E1674" s="19" t="s">
        <v>1979</v>
      </c>
    </row>
    <row r="1675" spans="5:5" ht="14.25" customHeight="1" x14ac:dyDescent="0.2">
      <c r="E1675" s="19" t="s">
        <v>1979</v>
      </c>
    </row>
    <row r="1676" spans="5:5" ht="14.25" customHeight="1" x14ac:dyDescent="0.2">
      <c r="E1676" s="19" t="s">
        <v>1979</v>
      </c>
    </row>
    <row r="1677" spans="5:5" ht="14.25" customHeight="1" x14ac:dyDescent="0.2">
      <c r="E1677" s="19" t="s">
        <v>1979</v>
      </c>
    </row>
    <row r="1678" spans="5:5" ht="14.25" customHeight="1" x14ac:dyDescent="0.2">
      <c r="E1678" s="19" t="s">
        <v>1979</v>
      </c>
    </row>
    <row r="1679" spans="5:5" ht="14.25" customHeight="1" x14ac:dyDescent="0.2">
      <c r="E1679" s="19" t="s">
        <v>1979</v>
      </c>
    </row>
    <row r="1680" spans="5:5" ht="14.25" customHeight="1" x14ac:dyDescent="0.2">
      <c r="E1680" s="19" t="s">
        <v>1979</v>
      </c>
    </row>
    <row r="1681" spans="5:5" ht="14.25" customHeight="1" x14ac:dyDescent="0.2">
      <c r="E1681" s="19" t="s">
        <v>1979</v>
      </c>
    </row>
    <row r="1682" spans="5:5" ht="14.25" customHeight="1" x14ac:dyDescent="0.2">
      <c r="E1682" s="19" t="s">
        <v>1979</v>
      </c>
    </row>
    <row r="1683" spans="5:5" ht="14.25" customHeight="1" x14ac:dyDescent="0.2">
      <c r="E1683" s="19" t="s">
        <v>1979</v>
      </c>
    </row>
    <row r="1684" spans="5:5" ht="14.25" customHeight="1" x14ac:dyDescent="0.2">
      <c r="E1684" s="19" t="s">
        <v>1979</v>
      </c>
    </row>
    <row r="1685" spans="5:5" ht="14.25" customHeight="1" x14ac:dyDescent="0.2">
      <c r="E1685" s="19" t="s">
        <v>1979</v>
      </c>
    </row>
    <row r="1686" spans="5:5" ht="14.25" customHeight="1" x14ac:dyDescent="0.2">
      <c r="E1686" s="19" t="s">
        <v>1979</v>
      </c>
    </row>
    <row r="1687" spans="5:5" ht="14.25" customHeight="1" x14ac:dyDescent="0.2">
      <c r="E1687" s="19" t="s">
        <v>1979</v>
      </c>
    </row>
    <row r="1688" spans="5:5" ht="14.25" customHeight="1" x14ac:dyDescent="0.2">
      <c r="E1688" s="19" t="s">
        <v>1979</v>
      </c>
    </row>
    <row r="1689" spans="5:5" ht="14.25" customHeight="1" x14ac:dyDescent="0.2">
      <c r="E1689" s="19" t="s">
        <v>1979</v>
      </c>
    </row>
    <row r="1690" spans="5:5" ht="14.25" customHeight="1" x14ac:dyDescent="0.2">
      <c r="E1690" s="19" t="s">
        <v>1979</v>
      </c>
    </row>
    <row r="1691" spans="5:5" ht="14.25" customHeight="1" x14ac:dyDescent="0.2">
      <c r="E1691" s="19" t="s">
        <v>1979</v>
      </c>
    </row>
    <row r="1692" spans="5:5" ht="14.25" customHeight="1" x14ac:dyDescent="0.2">
      <c r="E1692" s="19" t="s">
        <v>1979</v>
      </c>
    </row>
    <row r="1693" spans="5:5" ht="14.25" customHeight="1" x14ac:dyDescent="0.2">
      <c r="E1693" s="19" t="s">
        <v>1979</v>
      </c>
    </row>
    <row r="1694" spans="5:5" ht="14.25" customHeight="1" x14ac:dyDescent="0.2">
      <c r="E1694" s="19" t="s">
        <v>1979</v>
      </c>
    </row>
    <row r="1695" spans="5:5" ht="14.25" customHeight="1" x14ac:dyDescent="0.2">
      <c r="E1695" s="19" t="s">
        <v>1979</v>
      </c>
    </row>
    <row r="1696" spans="5:5" ht="14.25" customHeight="1" x14ac:dyDescent="0.2">
      <c r="E1696" s="19" t="s">
        <v>1979</v>
      </c>
    </row>
    <row r="1697" spans="5:5" ht="14.25" customHeight="1" x14ac:dyDescent="0.2">
      <c r="E1697" s="19" t="s">
        <v>1979</v>
      </c>
    </row>
    <row r="1698" spans="5:5" ht="14.25" customHeight="1" x14ac:dyDescent="0.2">
      <c r="E1698" s="19" t="s">
        <v>1979</v>
      </c>
    </row>
    <row r="1699" spans="5:5" ht="14.25" customHeight="1" x14ac:dyDescent="0.2">
      <c r="E1699" s="19" t="s">
        <v>1979</v>
      </c>
    </row>
    <row r="1700" spans="5:5" ht="14.25" customHeight="1" x14ac:dyDescent="0.2">
      <c r="E1700" s="19" t="s">
        <v>1979</v>
      </c>
    </row>
    <row r="1701" spans="5:5" ht="14.25" customHeight="1" x14ac:dyDescent="0.2">
      <c r="E1701" s="19" t="s">
        <v>1979</v>
      </c>
    </row>
    <row r="1702" spans="5:5" ht="14.25" customHeight="1" x14ac:dyDescent="0.2">
      <c r="E1702" s="19" t="s">
        <v>1979</v>
      </c>
    </row>
    <row r="1703" spans="5:5" ht="14.25" customHeight="1" x14ac:dyDescent="0.2">
      <c r="E1703" s="19" t="s">
        <v>1979</v>
      </c>
    </row>
    <row r="1704" spans="5:5" ht="14.25" customHeight="1" x14ac:dyDescent="0.2">
      <c r="E1704" s="19" t="s">
        <v>1979</v>
      </c>
    </row>
    <row r="1705" spans="5:5" ht="14.25" customHeight="1" x14ac:dyDescent="0.2">
      <c r="E1705" s="19" t="s">
        <v>1979</v>
      </c>
    </row>
    <row r="1706" spans="5:5" ht="14.25" customHeight="1" x14ac:dyDescent="0.2">
      <c r="E1706" s="19" t="s">
        <v>1979</v>
      </c>
    </row>
    <row r="1707" spans="5:5" ht="14.25" customHeight="1" x14ac:dyDescent="0.2">
      <c r="E1707" s="19" t="s">
        <v>1979</v>
      </c>
    </row>
    <row r="1708" spans="5:5" ht="14.25" customHeight="1" x14ac:dyDescent="0.2">
      <c r="E1708" s="19" t="s">
        <v>1979</v>
      </c>
    </row>
    <row r="1709" spans="5:5" ht="14.25" customHeight="1" x14ac:dyDescent="0.2">
      <c r="E1709" s="19" t="s">
        <v>1979</v>
      </c>
    </row>
    <row r="1710" spans="5:5" ht="14.25" customHeight="1" x14ac:dyDescent="0.2">
      <c r="E1710" s="19" t="s">
        <v>1979</v>
      </c>
    </row>
    <row r="1711" spans="5:5" ht="14.25" customHeight="1" x14ac:dyDescent="0.2">
      <c r="E1711" s="19" t="s">
        <v>1979</v>
      </c>
    </row>
    <row r="1712" spans="5:5" ht="14.25" customHeight="1" x14ac:dyDescent="0.2">
      <c r="E1712" s="19" t="s">
        <v>1979</v>
      </c>
    </row>
    <row r="1713" spans="5:5" ht="14.25" customHeight="1" x14ac:dyDescent="0.2">
      <c r="E1713" s="19" t="s">
        <v>1979</v>
      </c>
    </row>
    <row r="1714" spans="5:5" ht="14.25" customHeight="1" x14ac:dyDescent="0.2">
      <c r="E1714" s="19" t="s">
        <v>1979</v>
      </c>
    </row>
    <row r="1715" spans="5:5" ht="14.25" customHeight="1" x14ac:dyDescent="0.2">
      <c r="E1715" s="19" t="s">
        <v>1979</v>
      </c>
    </row>
    <row r="1716" spans="5:5" ht="14.25" customHeight="1" x14ac:dyDescent="0.2">
      <c r="E1716" s="19" t="s">
        <v>1979</v>
      </c>
    </row>
    <row r="1717" spans="5:5" ht="14.25" customHeight="1" x14ac:dyDescent="0.2">
      <c r="E1717" s="19" t="s">
        <v>1979</v>
      </c>
    </row>
    <row r="1718" spans="5:5" ht="14.25" customHeight="1" x14ac:dyDescent="0.2">
      <c r="E1718" s="19" t="s">
        <v>1979</v>
      </c>
    </row>
    <row r="1719" spans="5:5" ht="14.25" customHeight="1" x14ac:dyDescent="0.2">
      <c r="E1719" s="19" t="s">
        <v>1979</v>
      </c>
    </row>
    <row r="1720" spans="5:5" ht="14.25" customHeight="1" x14ac:dyDescent="0.2">
      <c r="E1720" s="19" t="s">
        <v>1979</v>
      </c>
    </row>
    <row r="1721" spans="5:5" ht="14.25" customHeight="1" x14ac:dyDescent="0.2">
      <c r="E1721" s="19" t="s">
        <v>1979</v>
      </c>
    </row>
    <row r="1722" spans="5:5" ht="14.25" customHeight="1" x14ac:dyDescent="0.2">
      <c r="E1722" s="19" t="s">
        <v>1979</v>
      </c>
    </row>
    <row r="1723" spans="5:5" ht="14.25" customHeight="1" x14ac:dyDescent="0.2">
      <c r="E1723" s="19" t="s">
        <v>1979</v>
      </c>
    </row>
    <row r="1724" spans="5:5" ht="14.25" customHeight="1" x14ac:dyDescent="0.2">
      <c r="E1724" s="19" t="s">
        <v>1979</v>
      </c>
    </row>
    <row r="1725" spans="5:5" ht="14.25" customHeight="1" x14ac:dyDescent="0.2">
      <c r="E1725" s="19" t="s">
        <v>1979</v>
      </c>
    </row>
    <row r="1726" spans="5:5" ht="14.25" customHeight="1" x14ac:dyDescent="0.2">
      <c r="E1726" s="19" t="s">
        <v>1979</v>
      </c>
    </row>
    <row r="1727" spans="5:5" ht="14.25" customHeight="1" x14ac:dyDescent="0.2">
      <c r="E1727" s="19" t="s">
        <v>1979</v>
      </c>
    </row>
    <row r="1728" spans="5:5" ht="14.25" customHeight="1" x14ac:dyDescent="0.2">
      <c r="E1728" s="19" t="s">
        <v>1979</v>
      </c>
    </row>
    <row r="1729" spans="5:5" ht="14.25" customHeight="1" x14ac:dyDescent="0.2">
      <c r="E1729" s="19" t="s">
        <v>1979</v>
      </c>
    </row>
    <row r="1730" spans="5:5" ht="14.25" customHeight="1" x14ac:dyDescent="0.2">
      <c r="E1730" s="19" t="s">
        <v>1979</v>
      </c>
    </row>
    <row r="1731" spans="5:5" ht="14.25" customHeight="1" x14ac:dyDescent="0.2">
      <c r="E1731" s="19" t="s">
        <v>1979</v>
      </c>
    </row>
    <row r="1732" spans="5:5" ht="14.25" customHeight="1" x14ac:dyDescent="0.2">
      <c r="E1732" s="19" t="s">
        <v>1979</v>
      </c>
    </row>
    <row r="1733" spans="5:5" ht="14.25" customHeight="1" x14ac:dyDescent="0.2">
      <c r="E1733" s="19" t="s">
        <v>1979</v>
      </c>
    </row>
    <row r="1734" spans="5:5" ht="14.25" customHeight="1" x14ac:dyDescent="0.2">
      <c r="E1734" s="19" t="s">
        <v>1979</v>
      </c>
    </row>
    <row r="1735" spans="5:5" ht="14.25" customHeight="1" x14ac:dyDescent="0.2">
      <c r="E1735" s="19" t="s">
        <v>1979</v>
      </c>
    </row>
    <row r="1736" spans="5:5" ht="14.25" customHeight="1" x14ac:dyDescent="0.2">
      <c r="E1736" s="19" t="s">
        <v>1979</v>
      </c>
    </row>
    <row r="1737" spans="5:5" ht="14.25" customHeight="1" x14ac:dyDescent="0.2">
      <c r="E1737" s="19" t="s">
        <v>1979</v>
      </c>
    </row>
    <row r="1738" spans="5:5" ht="14.25" customHeight="1" x14ac:dyDescent="0.2">
      <c r="E1738" s="19" t="s">
        <v>1979</v>
      </c>
    </row>
    <row r="1739" spans="5:5" ht="14.25" customHeight="1" x14ac:dyDescent="0.2">
      <c r="E1739" s="19" t="s">
        <v>1979</v>
      </c>
    </row>
    <row r="1740" spans="5:5" ht="14.25" customHeight="1" x14ac:dyDescent="0.2">
      <c r="E1740" s="19" t="s">
        <v>1979</v>
      </c>
    </row>
    <row r="1741" spans="5:5" ht="14.25" customHeight="1" x14ac:dyDescent="0.2">
      <c r="E1741" s="19" t="s">
        <v>1979</v>
      </c>
    </row>
    <row r="1742" spans="5:5" ht="14.25" customHeight="1" x14ac:dyDescent="0.2">
      <c r="E1742" s="19" t="s">
        <v>1979</v>
      </c>
    </row>
    <row r="1743" spans="5:5" ht="14.25" customHeight="1" x14ac:dyDescent="0.2">
      <c r="E1743" s="19" t="s">
        <v>1979</v>
      </c>
    </row>
    <row r="1744" spans="5:5" ht="14.25" customHeight="1" x14ac:dyDescent="0.2">
      <c r="E1744" s="19" t="s">
        <v>1979</v>
      </c>
    </row>
    <row r="1745" spans="5:5" ht="14.25" customHeight="1" x14ac:dyDescent="0.2">
      <c r="E1745" s="19" t="s">
        <v>1979</v>
      </c>
    </row>
    <row r="1746" spans="5:5" ht="14.25" customHeight="1" x14ac:dyDescent="0.2">
      <c r="E1746" s="19" t="s">
        <v>1979</v>
      </c>
    </row>
    <row r="1747" spans="5:5" ht="14.25" customHeight="1" x14ac:dyDescent="0.2">
      <c r="E1747" s="19" t="s">
        <v>1979</v>
      </c>
    </row>
    <row r="1748" spans="5:5" ht="14.25" customHeight="1" x14ac:dyDescent="0.2">
      <c r="E1748" s="19" t="s">
        <v>1979</v>
      </c>
    </row>
    <row r="1749" spans="5:5" ht="14.25" customHeight="1" x14ac:dyDescent="0.2">
      <c r="E1749" s="19" t="s">
        <v>1979</v>
      </c>
    </row>
    <row r="1750" spans="5:5" ht="14.25" customHeight="1" x14ac:dyDescent="0.2">
      <c r="E1750" s="19" t="s">
        <v>1979</v>
      </c>
    </row>
    <row r="1751" spans="5:5" ht="14.25" customHeight="1" x14ac:dyDescent="0.2">
      <c r="E1751" s="19" t="s">
        <v>1979</v>
      </c>
    </row>
    <row r="1752" spans="5:5" ht="14.25" customHeight="1" x14ac:dyDescent="0.2">
      <c r="E1752" s="19" t="s">
        <v>1979</v>
      </c>
    </row>
    <row r="1753" spans="5:5" ht="14.25" customHeight="1" x14ac:dyDescent="0.2">
      <c r="E1753" s="19" t="s">
        <v>1979</v>
      </c>
    </row>
    <row r="1754" spans="5:5" ht="14.25" customHeight="1" x14ac:dyDescent="0.2">
      <c r="E1754" s="19" t="s">
        <v>1979</v>
      </c>
    </row>
    <row r="1755" spans="5:5" ht="14.25" customHeight="1" x14ac:dyDescent="0.2">
      <c r="E1755" s="19" t="s">
        <v>1979</v>
      </c>
    </row>
    <row r="1756" spans="5:5" ht="14.25" customHeight="1" x14ac:dyDescent="0.2">
      <c r="E1756" s="19" t="s">
        <v>1979</v>
      </c>
    </row>
    <row r="1757" spans="5:5" ht="14.25" customHeight="1" x14ac:dyDescent="0.2">
      <c r="E1757" s="19" t="s">
        <v>1979</v>
      </c>
    </row>
    <row r="1758" spans="5:5" ht="14.25" customHeight="1" x14ac:dyDescent="0.2">
      <c r="E1758" s="19" t="s">
        <v>1979</v>
      </c>
    </row>
    <row r="1759" spans="5:5" ht="14.25" customHeight="1" x14ac:dyDescent="0.2">
      <c r="E1759" s="19" t="s">
        <v>1979</v>
      </c>
    </row>
    <row r="1760" spans="5:5" ht="14.25" customHeight="1" x14ac:dyDescent="0.2">
      <c r="E1760" s="19" t="s">
        <v>1979</v>
      </c>
    </row>
    <row r="1761" spans="5:5" ht="14.25" customHeight="1" x14ac:dyDescent="0.2">
      <c r="E1761" s="19" t="s">
        <v>1979</v>
      </c>
    </row>
    <row r="1762" spans="5:5" ht="14.25" customHeight="1" x14ac:dyDescent="0.2">
      <c r="E1762" s="19" t="s">
        <v>1979</v>
      </c>
    </row>
    <row r="1763" spans="5:5" ht="14.25" customHeight="1" x14ac:dyDescent="0.2">
      <c r="E1763" s="19" t="s">
        <v>1979</v>
      </c>
    </row>
    <row r="1764" spans="5:5" ht="14.25" customHeight="1" x14ac:dyDescent="0.2">
      <c r="E1764" s="19" t="s">
        <v>1979</v>
      </c>
    </row>
    <row r="1765" spans="5:5" ht="14.25" customHeight="1" x14ac:dyDescent="0.2">
      <c r="E1765" s="19" t="s">
        <v>1979</v>
      </c>
    </row>
    <row r="1766" spans="5:5" ht="14.25" customHeight="1" x14ac:dyDescent="0.2">
      <c r="E1766" s="19" t="s">
        <v>1979</v>
      </c>
    </row>
    <row r="1767" spans="5:5" ht="14.25" customHeight="1" x14ac:dyDescent="0.2">
      <c r="E1767" s="19" t="s">
        <v>1979</v>
      </c>
    </row>
    <row r="1768" spans="5:5" ht="14.25" customHeight="1" x14ac:dyDescent="0.2">
      <c r="E1768" s="19" t="s">
        <v>1979</v>
      </c>
    </row>
    <row r="1769" spans="5:5" ht="14.25" customHeight="1" x14ac:dyDescent="0.2">
      <c r="E1769" s="19" t="s">
        <v>1979</v>
      </c>
    </row>
    <row r="1770" spans="5:5" ht="14.25" customHeight="1" x14ac:dyDescent="0.2">
      <c r="E1770" s="19" t="s">
        <v>1979</v>
      </c>
    </row>
    <row r="1771" spans="5:5" ht="14.25" customHeight="1" x14ac:dyDescent="0.2">
      <c r="E1771" s="19" t="s">
        <v>1979</v>
      </c>
    </row>
    <row r="1772" spans="5:5" ht="14.25" customHeight="1" x14ac:dyDescent="0.2">
      <c r="E1772" s="19" t="s">
        <v>1979</v>
      </c>
    </row>
    <row r="1773" spans="5:5" ht="14.25" customHeight="1" x14ac:dyDescent="0.2">
      <c r="E1773" s="19" t="s">
        <v>1979</v>
      </c>
    </row>
    <row r="1774" spans="5:5" ht="14.25" customHeight="1" x14ac:dyDescent="0.2">
      <c r="E1774" s="19" t="s">
        <v>1979</v>
      </c>
    </row>
    <row r="1775" spans="5:5" ht="14.25" customHeight="1" x14ac:dyDescent="0.2">
      <c r="E1775" s="19" t="s">
        <v>1979</v>
      </c>
    </row>
    <row r="1776" spans="5:5" ht="14.25" customHeight="1" x14ac:dyDescent="0.2">
      <c r="E1776" s="19" t="s">
        <v>1979</v>
      </c>
    </row>
    <row r="1777" spans="5:5" ht="14.25" customHeight="1" x14ac:dyDescent="0.2">
      <c r="E1777" s="19" t="s">
        <v>1979</v>
      </c>
    </row>
    <row r="1778" spans="5:5" ht="14.25" customHeight="1" x14ac:dyDescent="0.2">
      <c r="E1778" s="19" t="s">
        <v>1979</v>
      </c>
    </row>
    <row r="1779" spans="5:5" ht="14.25" customHeight="1" x14ac:dyDescent="0.2">
      <c r="E1779" s="19" t="s">
        <v>1979</v>
      </c>
    </row>
    <row r="1780" spans="5:5" ht="14.25" customHeight="1" x14ac:dyDescent="0.2">
      <c r="E1780" s="19" t="s">
        <v>1979</v>
      </c>
    </row>
    <row r="1781" spans="5:5" ht="14.25" customHeight="1" x14ac:dyDescent="0.2">
      <c r="E1781" s="19" t="s">
        <v>1979</v>
      </c>
    </row>
    <row r="1782" spans="5:5" ht="14.25" customHeight="1" x14ac:dyDescent="0.2">
      <c r="E1782" s="19" t="s">
        <v>1979</v>
      </c>
    </row>
    <row r="1783" spans="5:5" ht="14.25" customHeight="1" x14ac:dyDescent="0.2">
      <c r="E1783" s="19" t="s">
        <v>1979</v>
      </c>
    </row>
    <row r="1784" spans="5:5" ht="14.25" customHeight="1" x14ac:dyDescent="0.2">
      <c r="E1784" s="19" t="s">
        <v>1979</v>
      </c>
    </row>
    <row r="1785" spans="5:5" ht="14.25" customHeight="1" x14ac:dyDescent="0.2">
      <c r="E1785" s="19" t="s">
        <v>1979</v>
      </c>
    </row>
    <row r="1786" spans="5:5" ht="14.25" customHeight="1" x14ac:dyDescent="0.2">
      <c r="E1786" s="19" t="s">
        <v>1979</v>
      </c>
    </row>
    <row r="1787" spans="5:5" ht="14.25" customHeight="1" x14ac:dyDescent="0.2">
      <c r="E1787" s="19" t="s">
        <v>1979</v>
      </c>
    </row>
    <row r="1788" spans="5:5" ht="14.25" customHeight="1" x14ac:dyDescent="0.2">
      <c r="E1788" s="19" t="s">
        <v>1979</v>
      </c>
    </row>
    <row r="1789" spans="5:5" ht="14.25" customHeight="1" x14ac:dyDescent="0.2">
      <c r="E1789" s="19" t="s">
        <v>1979</v>
      </c>
    </row>
  </sheetData>
  <pageMargins left="0.75" right="0.75" top="1" bottom="1" header="0.5" footer="0.5"/>
  <pageSetup paperSize="9" orientation="portrait" horizontalDpi="4294967293" verticalDpi="0" r:id="rId1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X2000"/>
  <sheetViews>
    <sheetView workbookViewId="0">
      <pane ySplit="1" topLeftCell="A2" activePane="bottomLeft" state="frozen"/>
      <selection pane="bottomLeft"/>
    </sheetView>
  </sheetViews>
  <sheetFormatPr defaultRowHeight="14.25" customHeight="1" x14ac:dyDescent="0.2"/>
  <cols>
    <col min="1" max="1" width="6.44140625" style="106" customWidth="1"/>
    <col min="2" max="2" width="5.77734375" style="106" customWidth="1"/>
    <col min="3" max="3" width="5.5546875" style="106" customWidth="1"/>
    <col min="4" max="4" width="7.109375" style="106" customWidth="1"/>
    <col min="5" max="5" width="6.21875" style="106" customWidth="1"/>
    <col min="6" max="6" width="6.44140625" style="106" customWidth="1"/>
    <col min="7" max="7" width="6.88671875" style="106" customWidth="1"/>
    <col min="8" max="8" width="9" style="19" customWidth="1"/>
    <col min="9" max="9" width="16" style="19" bestFit="1" customWidth="1"/>
    <col min="10" max="10" width="10.21875" style="109" bestFit="1" customWidth="1"/>
    <col min="11" max="11" width="8.88671875" style="106" bestFit="1" customWidth="1"/>
    <col min="12" max="12" width="7.88671875" style="109" bestFit="1" customWidth="1"/>
    <col min="13" max="13" width="8.33203125" style="106" bestFit="1" customWidth="1"/>
    <col min="14" max="14" width="9.5546875" style="106" bestFit="1" customWidth="1"/>
    <col min="15" max="15" width="14.6640625" style="106" bestFit="1" customWidth="1"/>
    <col min="16" max="16" width="10.5546875" style="106" customWidth="1"/>
    <col min="17" max="17" width="84.109375" style="106" customWidth="1"/>
    <col min="18" max="18" width="9.77734375" style="5" customWidth="1"/>
    <col min="19" max="20" width="9.44140625" style="5" customWidth="1"/>
    <col min="21" max="21" width="7.44140625" style="5" customWidth="1"/>
    <col min="22" max="23" width="7.21875" style="5" customWidth="1"/>
    <col min="24" max="24" width="6.6640625" style="5" bestFit="1" customWidth="1"/>
    <col min="25" max="16384" width="8.88671875" style="27"/>
  </cols>
  <sheetData>
    <row r="1" spans="1:24" ht="25.5" customHeight="1" x14ac:dyDescent="0.2">
      <c r="A1" s="202" t="s">
        <v>219</v>
      </c>
      <c r="B1" s="202" t="s">
        <v>220</v>
      </c>
      <c r="C1" s="202" t="s">
        <v>222</v>
      </c>
      <c r="D1" s="202" t="s">
        <v>223</v>
      </c>
      <c r="E1" s="202" t="s">
        <v>1749</v>
      </c>
      <c r="F1" s="202" t="s">
        <v>1333</v>
      </c>
      <c r="G1" s="202" t="s">
        <v>1332</v>
      </c>
      <c r="H1" s="202" t="s">
        <v>224</v>
      </c>
      <c r="I1" s="202" t="s">
        <v>221</v>
      </c>
      <c r="J1" s="212" t="s">
        <v>1750</v>
      </c>
      <c r="K1" s="202" t="s">
        <v>1716</v>
      </c>
      <c r="L1" s="212" t="s">
        <v>1717</v>
      </c>
      <c r="M1" s="202" t="s">
        <v>1331</v>
      </c>
      <c r="N1" s="202" t="s">
        <v>1718</v>
      </c>
      <c r="O1" s="202" t="s">
        <v>1719</v>
      </c>
      <c r="P1" s="202" t="s">
        <v>1720</v>
      </c>
      <c r="Q1" s="202" t="s">
        <v>1446</v>
      </c>
      <c r="R1" s="203" t="s">
        <v>1475</v>
      </c>
      <c r="S1" s="203" t="s">
        <v>1476</v>
      </c>
      <c r="T1" s="203" t="s">
        <v>1477</v>
      </c>
      <c r="U1" s="203" t="s">
        <v>1746</v>
      </c>
      <c r="V1" s="203" t="s">
        <v>1747</v>
      </c>
      <c r="W1" s="203" t="s">
        <v>1748</v>
      </c>
      <c r="X1" s="205" t="s">
        <v>1474</v>
      </c>
    </row>
    <row r="2" spans="1:24" s="111" customFormat="1" ht="14.25" customHeight="1" x14ac:dyDescent="0.2">
      <c r="A2" s="19" t="s">
        <v>313</v>
      </c>
      <c r="B2" s="19" t="s">
        <v>1761</v>
      </c>
      <c r="C2" s="19">
        <v>2015</v>
      </c>
      <c r="D2" s="19">
        <v>19</v>
      </c>
      <c r="E2" s="19">
        <v>1</v>
      </c>
      <c r="F2" s="19">
        <v>1</v>
      </c>
      <c r="G2" s="19"/>
      <c r="H2" s="19" t="e">
        <v>#N/A</v>
      </c>
      <c r="I2" s="160" t="s">
        <v>1830</v>
      </c>
      <c r="J2" s="110">
        <v>54</v>
      </c>
      <c r="K2" s="153">
        <v>17.188733853924695</v>
      </c>
      <c r="L2" s="110">
        <v>26.858971456263571</v>
      </c>
      <c r="M2" s="19">
        <v>1</v>
      </c>
      <c r="N2" s="19">
        <v>10.76</v>
      </c>
      <c r="O2" s="19">
        <v>1.51</v>
      </c>
      <c r="P2" s="19">
        <v>67</v>
      </c>
      <c r="Q2" s="19" t="s">
        <v>1873</v>
      </c>
      <c r="R2" s="5"/>
      <c r="S2" s="5"/>
      <c r="T2" s="5"/>
      <c r="U2" s="5"/>
      <c r="V2" s="5"/>
      <c r="W2" s="5"/>
      <c r="X2" s="5"/>
    </row>
    <row r="3" spans="1:24" ht="14.25" customHeight="1" x14ac:dyDescent="0.2">
      <c r="A3" s="19" t="s">
        <v>313</v>
      </c>
      <c r="B3" s="19" t="s">
        <v>1761</v>
      </c>
      <c r="C3" s="19">
        <v>2015</v>
      </c>
      <c r="D3" s="19">
        <v>19</v>
      </c>
      <c r="E3" s="19">
        <v>2</v>
      </c>
      <c r="F3" s="19">
        <v>2</v>
      </c>
      <c r="G3" s="19"/>
      <c r="H3" s="19" t="e">
        <v>#N/A</v>
      </c>
      <c r="I3" s="160" t="s">
        <v>1830</v>
      </c>
      <c r="J3" s="110">
        <v>38</v>
      </c>
      <c r="K3" s="153">
        <v>12.095775674984045</v>
      </c>
      <c r="L3" s="110">
        <v>49.354352348523861</v>
      </c>
      <c r="M3" s="19">
        <v>1</v>
      </c>
      <c r="N3" s="19">
        <v>9.3000000000000007</v>
      </c>
      <c r="O3" s="19">
        <v>1.51</v>
      </c>
      <c r="P3" s="19">
        <v>79</v>
      </c>
      <c r="Q3" s="19" t="s">
        <v>1873</v>
      </c>
    </row>
    <row r="4" spans="1:24" ht="14.25" customHeight="1" x14ac:dyDescent="0.2">
      <c r="A4" s="19" t="s">
        <v>313</v>
      </c>
      <c r="B4" s="19" t="s">
        <v>1761</v>
      </c>
      <c r="C4" s="19">
        <v>2015</v>
      </c>
      <c r="D4" s="19">
        <v>19</v>
      </c>
      <c r="E4" s="19">
        <v>3</v>
      </c>
      <c r="F4" s="19">
        <v>3</v>
      </c>
      <c r="G4" s="19"/>
      <c r="H4" s="19" t="e">
        <v>#N/A</v>
      </c>
      <c r="I4" s="160" t="s">
        <v>1830</v>
      </c>
      <c r="J4" s="110">
        <v>83</v>
      </c>
      <c r="K4" s="153">
        <v>26.419720553254628</v>
      </c>
      <c r="L4" s="110">
        <v>23.523002596662614</v>
      </c>
      <c r="M4" s="19">
        <v>1</v>
      </c>
      <c r="N4" s="19">
        <v>8.4499999999999993</v>
      </c>
      <c r="O4" s="19">
        <v>1.51</v>
      </c>
      <c r="P4" s="19">
        <v>69</v>
      </c>
      <c r="Q4" s="19" t="s">
        <v>1873</v>
      </c>
    </row>
    <row r="5" spans="1:24" ht="14.25" customHeight="1" x14ac:dyDescent="0.2">
      <c r="A5" s="19" t="s">
        <v>313</v>
      </c>
      <c r="B5" s="19" t="s">
        <v>1761</v>
      </c>
      <c r="C5" s="19">
        <v>2015</v>
      </c>
      <c r="D5" s="19">
        <v>19</v>
      </c>
      <c r="E5" s="19">
        <v>4</v>
      </c>
      <c r="F5" s="19">
        <v>4</v>
      </c>
      <c r="G5" s="19"/>
      <c r="H5" s="19">
        <v>237</v>
      </c>
      <c r="I5" s="160" t="s">
        <v>152</v>
      </c>
      <c r="J5" s="110">
        <v>43</v>
      </c>
      <c r="K5" s="153">
        <v>13.687325105903</v>
      </c>
      <c r="L5" s="110">
        <v>23.902304845413266</v>
      </c>
      <c r="M5" s="19">
        <v>1</v>
      </c>
      <c r="N5" s="19">
        <v>6</v>
      </c>
      <c r="O5" s="19">
        <v>1.51</v>
      </c>
      <c r="P5" s="19">
        <v>75</v>
      </c>
      <c r="Q5" s="19" t="s">
        <v>1873</v>
      </c>
    </row>
    <row r="6" spans="1:24" ht="14.25" customHeight="1" x14ac:dyDescent="0.2">
      <c r="A6" s="19" t="s">
        <v>313</v>
      </c>
      <c r="B6" s="19" t="s">
        <v>1761</v>
      </c>
      <c r="C6" s="19">
        <v>2015</v>
      </c>
      <c r="D6" s="19">
        <v>19</v>
      </c>
      <c r="E6" s="19">
        <v>5</v>
      </c>
      <c r="F6" s="19">
        <v>5</v>
      </c>
      <c r="G6" s="19"/>
      <c r="H6" s="19" t="e">
        <v>#N/A</v>
      </c>
      <c r="I6" s="160" t="s">
        <v>1831</v>
      </c>
      <c r="J6" s="110">
        <v>40</v>
      </c>
      <c r="K6" s="153">
        <v>12.732395447351628</v>
      </c>
      <c r="L6" s="110">
        <v>16.844233434128341</v>
      </c>
      <c r="M6" s="19">
        <v>1</v>
      </c>
      <c r="N6" s="19">
        <v>5.28</v>
      </c>
      <c r="O6" s="19">
        <v>1.51</v>
      </c>
      <c r="P6" s="19">
        <v>71</v>
      </c>
      <c r="Q6" s="19" t="s">
        <v>1873</v>
      </c>
    </row>
    <row r="7" spans="1:24" ht="14.25" customHeight="1" x14ac:dyDescent="0.2">
      <c r="A7" s="19" t="s">
        <v>313</v>
      </c>
      <c r="B7" s="19" t="s">
        <v>1761</v>
      </c>
      <c r="C7" s="19">
        <v>2015</v>
      </c>
      <c r="D7" s="19">
        <v>19</v>
      </c>
      <c r="E7" s="19">
        <v>6</v>
      </c>
      <c r="F7" s="19">
        <v>6</v>
      </c>
      <c r="G7" s="19"/>
      <c r="H7" s="19" t="e">
        <v>#N/A</v>
      </c>
      <c r="I7" s="160" t="s">
        <v>1831</v>
      </c>
      <c r="J7" s="110">
        <v>24</v>
      </c>
      <c r="K7" s="153">
        <v>7.6394372684109761</v>
      </c>
      <c r="L7" s="110">
        <v>10.16425330822269</v>
      </c>
      <c r="M7" s="19">
        <v>1</v>
      </c>
      <c r="N7" s="19">
        <v>5.2</v>
      </c>
      <c r="O7" s="19">
        <v>1.51</v>
      </c>
      <c r="P7" s="19">
        <v>59</v>
      </c>
      <c r="Q7" s="19" t="s">
        <v>1873</v>
      </c>
    </row>
    <row r="8" spans="1:24" ht="14.25" customHeight="1" x14ac:dyDescent="0.2">
      <c r="A8" s="19" t="s">
        <v>313</v>
      </c>
      <c r="B8" s="19" t="s">
        <v>1761</v>
      </c>
      <c r="C8" s="19">
        <v>2015</v>
      </c>
      <c r="D8" s="19">
        <v>19</v>
      </c>
      <c r="E8" s="19">
        <v>7</v>
      </c>
      <c r="F8" s="19">
        <v>7</v>
      </c>
      <c r="G8" s="19"/>
      <c r="H8" s="19">
        <v>1275</v>
      </c>
      <c r="I8" s="160" t="s">
        <v>999</v>
      </c>
      <c r="J8" s="110">
        <v>68</v>
      </c>
      <c r="K8" s="153">
        <v>21.645072260497766</v>
      </c>
      <c r="L8" s="110">
        <v>10.003086858370622</v>
      </c>
      <c r="M8" s="19">
        <v>1</v>
      </c>
      <c r="N8" s="19">
        <v>6.4</v>
      </c>
      <c r="O8" s="19">
        <v>1.51</v>
      </c>
      <c r="P8" s="19">
        <v>53</v>
      </c>
      <c r="Q8" s="19" t="s">
        <v>1873</v>
      </c>
    </row>
    <row r="9" spans="1:24" ht="14.25" customHeight="1" x14ac:dyDescent="0.2">
      <c r="A9" s="19" t="s">
        <v>313</v>
      </c>
      <c r="B9" s="19" t="s">
        <v>1761</v>
      </c>
      <c r="C9" s="19">
        <v>2015</v>
      </c>
      <c r="D9" s="19">
        <v>19</v>
      </c>
      <c r="E9" s="19">
        <v>8</v>
      </c>
      <c r="F9" s="19">
        <v>8</v>
      </c>
      <c r="G9" s="19"/>
      <c r="H9" s="19" t="e">
        <v>#N/A</v>
      </c>
      <c r="I9" s="160" t="s">
        <v>1830</v>
      </c>
      <c r="J9" s="110">
        <v>33</v>
      </c>
      <c r="K9" s="153">
        <v>10.504226244065093</v>
      </c>
      <c r="L9" s="110">
        <v>12.304357780278327</v>
      </c>
      <c r="M9" s="19">
        <v>1</v>
      </c>
      <c r="N9" s="19">
        <v>5.5</v>
      </c>
      <c r="O9" s="19">
        <v>1.51</v>
      </c>
      <c r="P9" s="19">
        <v>63</v>
      </c>
      <c r="Q9" s="19" t="s">
        <v>1873</v>
      </c>
    </row>
    <row r="10" spans="1:24" ht="14.25" customHeight="1" x14ac:dyDescent="0.2">
      <c r="A10" s="19" t="s">
        <v>313</v>
      </c>
      <c r="B10" s="19" t="s">
        <v>1761</v>
      </c>
      <c r="C10" s="19">
        <v>2015</v>
      </c>
      <c r="D10" s="19">
        <v>19</v>
      </c>
      <c r="E10" s="19">
        <v>9</v>
      </c>
      <c r="F10" s="19">
        <v>9</v>
      </c>
      <c r="G10" s="19"/>
      <c r="H10" s="19" t="e">
        <v>#N/A</v>
      </c>
      <c r="I10" s="160" t="s">
        <v>1830</v>
      </c>
      <c r="J10" s="110">
        <v>58</v>
      </c>
      <c r="K10" s="153">
        <v>18.461973398659861</v>
      </c>
      <c r="L10" s="110">
        <v>21.082629695492631</v>
      </c>
      <c r="M10" s="19">
        <v>1</v>
      </c>
      <c r="N10" s="19">
        <v>3.1</v>
      </c>
      <c r="O10" s="19">
        <v>1.51</v>
      </c>
      <c r="P10" s="19">
        <v>81</v>
      </c>
      <c r="Q10" s="19" t="s">
        <v>1873</v>
      </c>
    </row>
    <row r="11" spans="1:24" ht="14.25" customHeight="1" x14ac:dyDescent="0.2">
      <c r="A11" s="19" t="s">
        <v>313</v>
      </c>
      <c r="B11" s="19" t="s">
        <v>1761</v>
      </c>
      <c r="C11" s="19">
        <v>2015</v>
      </c>
      <c r="D11" s="19">
        <v>19</v>
      </c>
      <c r="E11" s="19">
        <v>10</v>
      </c>
      <c r="F11" s="19">
        <v>10</v>
      </c>
      <c r="G11" s="19"/>
      <c r="H11" s="19" t="e">
        <v>#N/A</v>
      </c>
      <c r="I11" s="160" t="s">
        <v>1830</v>
      </c>
      <c r="J11" s="110">
        <v>54</v>
      </c>
      <c r="K11" s="153">
        <v>17.188733853924695</v>
      </c>
      <c r="L11" s="110">
        <v>7.3402520425736286</v>
      </c>
      <c r="M11" s="19">
        <v>1</v>
      </c>
      <c r="N11" s="19">
        <v>3.1</v>
      </c>
      <c r="O11" s="19">
        <v>1.51</v>
      </c>
      <c r="P11" s="19">
        <v>62</v>
      </c>
      <c r="Q11" s="19" t="s">
        <v>1873</v>
      </c>
    </row>
    <row r="12" spans="1:24" ht="14.25" customHeight="1" x14ac:dyDescent="0.2">
      <c r="A12" s="19" t="s">
        <v>313</v>
      </c>
      <c r="B12" s="19" t="s">
        <v>1761</v>
      </c>
      <c r="C12" s="19">
        <v>2015</v>
      </c>
      <c r="D12" s="19">
        <v>45</v>
      </c>
      <c r="E12" s="19">
        <v>1</v>
      </c>
      <c r="F12" s="19">
        <v>1</v>
      </c>
      <c r="G12" s="19"/>
      <c r="H12" s="19">
        <v>237</v>
      </c>
      <c r="I12" s="160" t="s">
        <v>152</v>
      </c>
      <c r="J12" s="110">
        <v>21</v>
      </c>
      <c r="K12" s="153">
        <v>6.6845076098596046</v>
      </c>
      <c r="L12" s="110">
        <v>10.646581409410295</v>
      </c>
      <c r="M12" s="19">
        <v>1</v>
      </c>
      <c r="N12" s="19">
        <v>8.52</v>
      </c>
      <c r="O12" s="19">
        <v>1.51</v>
      </c>
      <c r="P12" s="19">
        <v>47</v>
      </c>
      <c r="Q12" s="19" t="s">
        <v>1873</v>
      </c>
    </row>
    <row r="13" spans="1:24" ht="14.25" customHeight="1" x14ac:dyDescent="0.2">
      <c r="A13" s="19" t="s">
        <v>313</v>
      </c>
      <c r="B13" s="19" t="s">
        <v>1761</v>
      </c>
      <c r="C13" s="19">
        <v>2015</v>
      </c>
      <c r="D13" s="19">
        <v>45</v>
      </c>
      <c r="E13" s="19">
        <v>2</v>
      </c>
      <c r="F13" s="19">
        <v>2</v>
      </c>
      <c r="G13" s="19"/>
      <c r="H13" s="19" t="e">
        <v>#N/A</v>
      </c>
      <c r="I13" s="160" t="s">
        <v>1832</v>
      </c>
      <c r="J13" s="110"/>
      <c r="K13" s="19">
        <v>0</v>
      </c>
      <c r="L13" s="110">
        <v>1.51</v>
      </c>
      <c r="M13" s="19">
        <v>1</v>
      </c>
      <c r="N13" s="19"/>
      <c r="O13" s="19">
        <v>1.51</v>
      </c>
      <c r="P13" s="19"/>
      <c r="Q13" s="19" t="s">
        <v>1874</v>
      </c>
      <c r="R13" s="5">
        <v>237</v>
      </c>
      <c r="U13" s="5" t="s">
        <v>1672</v>
      </c>
      <c r="V13" s="5" t="s">
        <v>1674</v>
      </c>
      <c r="X13" s="5" t="s">
        <v>1672</v>
      </c>
    </row>
    <row r="14" spans="1:24" ht="14.25" customHeight="1" x14ac:dyDescent="0.2">
      <c r="A14" s="19" t="s">
        <v>313</v>
      </c>
      <c r="B14" s="19" t="s">
        <v>1761</v>
      </c>
      <c r="C14" s="19">
        <v>2015</v>
      </c>
      <c r="D14" s="19">
        <v>45</v>
      </c>
      <c r="E14" s="19">
        <v>3</v>
      </c>
      <c r="F14" s="19">
        <v>3</v>
      </c>
      <c r="G14" s="19"/>
      <c r="H14" s="19">
        <v>236</v>
      </c>
      <c r="I14" s="160" t="s">
        <v>153</v>
      </c>
      <c r="J14" s="110">
        <v>14</v>
      </c>
      <c r="K14" s="153">
        <v>4.45633840657307</v>
      </c>
      <c r="L14" s="110">
        <v>9.4947490703812072</v>
      </c>
      <c r="M14" s="19">
        <v>1</v>
      </c>
      <c r="N14" s="19">
        <v>6.7</v>
      </c>
      <c r="O14" s="19">
        <v>1.51</v>
      </c>
      <c r="P14" s="19">
        <v>50</v>
      </c>
      <c r="Q14" s="19" t="s">
        <v>1873</v>
      </c>
    </row>
    <row r="15" spans="1:24" ht="14.25" customHeight="1" x14ac:dyDescent="0.2">
      <c r="A15" s="19" t="s">
        <v>313</v>
      </c>
      <c r="B15" s="19" t="s">
        <v>1761</v>
      </c>
      <c r="C15" s="19">
        <v>2015</v>
      </c>
      <c r="D15" s="19">
        <v>45</v>
      </c>
      <c r="E15" s="19">
        <v>4</v>
      </c>
      <c r="F15" s="19">
        <v>4</v>
      </c>
      <c r="G15" s="19"/>
      <c r="H15" s="19">
        <v>237</v>
      </c>
      <c r="I15" s="160" t="s">
        <v>152</v>
      </c>
      <c r="J15" s="110">
        <v>38</v>
      </c>
      <c r="K15" s="153">
        <v>12.095775674984045</v>
      </c>
      <c r="L15" s="110">
        <v>16.005702268432461</v>
      </c>
      <c r="M15" s="19">
        <v>5</v>
      </c>
      <c r="N15" s="19">
        <v>10.15</v>
      </c>
      <c r="O15" s="19">
        <v>1.51</v>
      </c>
      <c r="P15" s="19">
        <v>55</v>
      </c>
      <c r="Q15" s="19" t="s">
        <v>1873</v>
      </c>
    </row>
    <row r="16" spans="1:24" ht="14.25" customHeight="1" x14ac:dyDescent="0.2">
      <c r="A16" s="19" t="s">
        <v>313</v>
      </c>
      <c r="B16" s="19" t="s">
        <v>1761</v>
      </c>
      <c r="C16" s="19">
        <v>2015</v>
      </c>
      <c r="D16" s="19">
        <v>45</v>
      </c>
      <c r="E16" s="19">
        <v>5</v>
      </c>
      <c r="F16" s="19">
        <v>5</v>
      </c>
      <c r="G16" s="19"/>
      <c r="H16" s="19">
        <v>237</v>
      </c>
      <c r="I16" s="160" t="s">
        <v>152</v>
      </c>
      <c r="J16" s="110">
        <v>18</v>
      </c>
      <c r="K16" s="153">
        <v>5.7295779513082321</v>
      </c>
      <c r="L16" s="110">
        <v>9.0315722864929384</v>
      </c>
      <c r="M16" s="19">
        <v>1</v>
      </c>
      <c r="N16" s="19">
        <v>4.7</v>
      </c>
      <c r="O16" s="19">
        <v>1.51</v>
      </c>
      <c r="P16" s="19">
        <v>58</v>
      </c>
      <c r="Q16" s="19" t="s">
        <v>1873</v>
      </c>
    </row>
    <row r="17" spans="1:24" ht="14.25" customHeight="1" x14ac:dyDescent="0.2">
      <c r="A17" s="19" t="s">
        <v>313</v>
      </c>
      <c r="B17" s="19" t="s">
        <v>1761</v>
      </c>
      <c r="C17" s="19">
        <v>2015</v>
      </c>
      <c r="D17" s="19">
        <v>45</v>
      </c>
      <c r="E17" s="19">
        <v>6</v>
      </c>
      <c r="F17" s="19">
        <v>6</v>
      </c>
      <c r="G17" s="19"/>
      <c r="H17" s="19">
        <v>237</v>
      </c>
      <c r="I17" s="160" t="s">
        <v>152</v>
      </c>
      <c r="J17" s="110">
        <v>34</v>
      </c>
      <c r="K17" s="153">
        <v>10.822536130248883</v>
      </c>
      <c r="L17" s="110">
        <v>10.537487033662392</v>
      </c>
      <c r="M17" s="19">
        <v>1</v>
      </c>
      <c r="N17" s="19">
        <v>4.8</v>
      </c>
      <c r="O17" s="19">
        <v>1.51</v>
      </c>
      <c r="P17" s="19">
        <v>62</v>
      </c>
      <c r="Q17" s="19" t="s">
        <v>1873</v>
      </c>
    </row>
    <row r="18" spans="1:24" ht="14.25" customHeight="1" x14ac:dyDescent="0.2">
      <c r="A18" s="19" t="s">
        <v>313</v>
      </c>
      <c r="B18" s="19" t="s">
        <v>1761</v>
      </c>
      <c r="C18" s="19">
        <v>2015</v>
      </c>
      <c r="D18" s="19">
        <v>45</v>
      </c>
      <c r="E18" s="19">
        <v>7</v>
      </c>
      <c r="F18" s="19">
        <v>7</v>
      </c>
      <c r="G18" s="19"/>
      <c r="H18" s="19" t="e">
        <v>#N/A</v>
      </c>
      <c r="I18" s="160" t="s">
        <v>1829</v>
      </c>
      <c r="J18" s="110"/>
      <c r="K18" s="19">
        <v>0</v>
      </c>
      <c r="L18" s="110">
        <v>1.51</v>
      </c>
      <c r="M18" s="19">
        <v>1</v>
      </c>
      <c r="N18" s="19"/>
      <c r="O18" s="19">
        <v>1.51</v>
      </c>
      <c r="P18" s="19"/>
      <c r="Q18" s="19" t="s">
        <v>1874</v>
      </c>
      <c r="R18" s="5">
        <v>237</v>
      </c>
      <c r="U18" s="5" t="s">
        <v>1675</v>
      </c>
      <c r="V18" s="5" t="s">
        <v>1674</v>
      </c>
      <c r="X18" s="5" t="s">
        <v>1675</v>
      </c>
    </row>
    <row r="19" spans="1:24" ht="14.25" customHeight="1" x14ac:dyDescent="0.2">
      <c r="A19" s="19" t="s">
        <v>313</v>
      </c>
      <c r="B19" s="19" t="s">
        <v>1761</v>
      </c>
      <c r="C19" s="19">
        <v>2015</v>
      </c>
      <c r="D19" s="19">
        <v>45</v>
      </c>
      <c r="E19" s="19">
        <v>8</v>
      </c>
      <c r="F19" s="19">
        <v>8</v>
      </c>
      <c r="G19" s="19"/>
      <c r="H19" s="19">
        <v>971</v>
      </c>
      <c r="I19" s="160" t="s">
        <v>1125</v>
      </c>
      <c r="J19" s="110">
        <v>46</v>
      </c>
      <c r="K19" s="153">
        <v>14.642254764454371</v>
      </c>
      <c r="L19" s="110">
        <v>7.3407157028532621</v>
      </c>
      <c r="M19" s="19">
        <v>1</v>
      </c>
      <c r="N19" s="19">
        <v>5.25</v>
      </c>
      <c r="O19" s="19">
        <v>1.51</v>
      </c>
      <c r="P19" s="19">
        <v>48</v>
      </c>
      <c r="Q19" s="19" t="s">
        <v>1873</v>
      </c>
    </row>
    <row r="20" spans="1:24" ht="14.25" customHeight="1" x14ac:dyDescent="0.2">
      <c r="A20" s="19" t="s">
        <v>313</v>
      </c>
      <c r="B20" s="19" t="s">
        <v>1761</v>
      </c>
      <c r="C20" s="19">
        <v>2015</v>
      </c>
      <c r="D20" s="19">
        <v>45</v>
      </c>
      <c r="E20" s="19">
        <v>9</v>
      </c>
      <c r="F20" s="19">
        <v>9</v>
      </c>
      <c r="G20" s="19"/>
      <c r="H20" s="19">
        <v>237</v>
      </c>
      <c r="I20" s="160" t="s">
        <v>152</v>
      </c>
      <c r="J20" s="110">
        <v>43</v>
      </c>
      <c r="K20" s="153">
        <v>13.687325105903</v>
      </c>
      <c r="L20" s="110">
        <v>14.377041523057352</v>
      </c>
      <c r="M20" s="19">
        <v>1</v>
      </c>
      <c r="N20" s="19">
        <v>6</v>
      </c>
      <c r="O20" s="19">
        <v>1.51</v>
      </c>
      <c r="P20" s="19">
        <v>65</v>
      </c>
      <c r="Q20" s="19" t="s">
        <v>1873</v>
      </c>
    </row>
    <row r="21" spans="1:24" ht="14.25" customHeight="1" x14ac:dyDescent="0.2">
      <c r="A21" s="19" t="s">
        <v>313</v>
      </c>
      <c r="B21" s="19" t="s">
        <v>1761</v>
      </c>
      <c r="C21" s="19">
        <v>2015</v>
      </c>
      <c r="D21" s="19">
        <v>45</v>
      </c>
      <c r="E21" s="19">
        <v>10</v>
      </c>
      <c r="F21" s="19">
        <v>10</v>
      </c>
      <c r="G21" s="19"/>
      <c r="H21" s="19">
        <v>237</v>
      </c>
      <c r="I21" s="160" t="s">
        <v>152</v>
      </c>
      <c r="J21" s="110">
        <v>21</v>
      </c>
      <c r="K21" s="153">
        <v>6.6845076098596001</v>
      </c>
      <c r="L21" s="110">
        <v>5.350802869698521</v>
      </c>
      <c r="M21" s="19">
        <v>1</v>
      </c>
      <c r="N21" s="19">
        <v>2.4</v>
      </c>
      <c r="O21" s="19">
        <v>1.51</v>
      </c>
      <c r="P21" s="19">
        <v>58</v>
      </c>
      <c r="Q21" s="19" t="s">
        <v>1873</v>
      </c>
    </row>
    <row r="22" spans="1:24" ht="14.25" customHeight="1" x14ac:dyDescent="0.2">
      <c r="H22" s="19" t="s">
        <v>1979</v>
      </c>
      <c r="J22" s="110" t="str">
        <f t="shared" ref="J22:J66" si="0">IF(K22="","", K22/PI())</f>
        <v/>
      </c>
      <c r="L22" s="110" t="str">
        <f t="shared" ref="L22:L66" si="1">IF(OR(P22="", N22="", O22=""), "", TAN(P22*PI()/180)*N22 +O22)</f>
        <v/>
      </c>
    </row>
    <row r="23" spans="1:24" ht="14.25" customHeight="1" x14ac:dyDescent="0.2">
      <c r="H23" s="19" t="s">
        <v>1979</v>
      </c>
      <c r="J23" s="110" t="str">
        <f t="shared" si="0"/>
        <v/>
      </c>
      <c r="L23" s="110" t="str">
        <f t="shared" si="1"/>
        <v/>
      </c>
    </row>
    <row r="24" spans="1:24" ht="14.25" customHeight="1" x14ac:dyDescent="0.2">
      <c r="H24" s="19" t="s">
        <v>1979</v>
      </c>
      <c r="J24" s="110" t="str">
        <f t="shared" si="0"/>
        <v/>
      </c>
      <c r="L24" s="110" t="str">
        <f t="shared" si="1"/>
        <v/>
      </c>
    </row>
    <row r="25" spans="1:24" ht="14.25" customHeight="1" x14ac:dyDescent="0.2">
      <c r="H25" s="19" t="s">
        <v>1979</v>
      </c>
      <c r="J25" s="110" t="str">
        <f t="shared" si="0"/>
        <v/>
      </c>
      <c r="L25" s="110" t="str">
        <f t="shared" si="1"/>
        <v/>
      </c>
    </row>
    <row r="26" spans="1:24" ht="14.25" customHeight="1" x14ac:dyDescent="0.2">
      <c r="H26" s="19" t="s">
        <v>1979</v>
      </c>
      <c r="J26" s="110" t="str">
        <f t="shared" si="0"/>
        <v/>
      </c>
      <c r="L26" s="110" t="str">
        <f t="shared" si="1"/>
        <v/>
      </c>
    </row>
    <row r="27" spans="1:24" ht="14.25" customHeight="1" x14ac:dyDescent="0.2">
      <c r="H27" s="19" t="s">
        <v>1979</v>
      </c>
      <c r="J27" s="110" t="str">
        <f t="shared" si="0"/>
        <v/>
      </c>
      <c r="L27" s="110" t="str">
        <f t="shared" si="1"/>
        <v/>
      </c>
    </row>
    <row r="28" spans="1:24" ht="14.25" customHeight="1" x14ac:dyDescent="0.2">
      <c r="H28" s="19" t="s">
        <v>1979</v>
      </c>
      <c r="J28" s="110" t="str">
        <f t="shared" si="0"/>
        <v/>
      </c>
      <c r="L28" s="110" t="str">
        <f t="shared" si="1"/>
        <v/>
      </c>
    </row>
    <row r="29" spans="1:24" ht="14.25" customHeight="1" x14ac:dyDescent="0.2">
      <c r="H29" s="19" t="s">
        <v>1979</v>
      </c>
      <c r="J29" s="110" t="str">
        <f t="shared" si="0"/>
        <v/>
      </c>
      <c r="L29" s="110" t="str">
        <f t="shared" si="1"/>
        <v/>
      </c>
    </row>
    <row r="30" spans="1:24" ht="14.25" customHeight="1" x14ac:dyDescent="0.2">
      <c r="H30" s="19" t="s">
        <v>1979</v>
      </c>
      <c r="J30" s="110" t="str">
        <f t="shared" si="0"/>
        <v/>
      </c>
      <c r="L30" s="110" t="str">
        <f t="shared" si="1"/>
        <v/>
      </c>
    </row>
    <row r="31" spans="1:24" ht="14.25" customHeight="1" x14ac:dyDescent="0.2">
      <c r="H31" s="19" t="s">
        <v>1979</v>
      </c>
      <c r="J31" s="110" t="str">
        <f t="shared" si="0"/>
        <v/>
      </c>
      <c r="L31" s="110" t="str">
        <f t="shared" si="1"/>
        <v/>
      </c>
    </row>
    <row r="32" spans="1:24" ht="14.25" customHeight="1" x14ac:dyDescent="0.2">
      <c r="H32" s="19" t="s">
        <v>1979</v>
      </c>
      <c r="J32" s="110" t="str">
        <f t="shared" si="0"/>
        <v/>
      </c>
      <c r="L32" s="110" t="str">
        <f t="shared" si="1"/>
        <v/>
      </c>
    </row>
    <row r="33" spans="8:12" ht="14.25" customHeight="1" x14ac:dyDescent="0.2">
      <c r="H33" s="19" t="s">
        <v>1979</v>
      </c>
      <c r="J33" s="110" t="str">
        <f t="shared" si="0"/>
        <v/>
      </c>
      <c r="L33" s="110" t="str">
        <f t="shared" si="1"/>
        <v/>
      </c>
    </row>
    <row r="34" spans="8:12" ht="14.25" customHeight="1" x14ac:dyDescent="0.2">
      <c r="H34" s="19" t="s">
        <v>1979</v>
      </c>
      <c r="J34" s="110" t="str">
        <f t="shared" si="0"/>
        <v/>
      </c>
      <c r="L34" s="110" t="str">
        <f t="shared" si="1"/>
        <v/>
      </c>
    </row>
    <row r="35" spans="8:12" ht="14.25" customHeight="1" x14ac:dyDescent="0.2">
      <c r="H35" s="19" t="s">
        <v>1979</v>
      </c>
      <c r="J35" s="110" t="str">
        <f t="shared" si="0"/>
        <v/>
      </c>
      <c r="L35" s="110" t="str">
        <f t="shared" si="1"/>
        <v/>
      </c>
    </row>
    <row r="36" spans="8:12" ht="14.25" customHeight="1" x14ac:dyDescent="0.2">
      <c r="H36" s="19" t="s">
        <v>1979</v>
      </c>
      <c r="J36" s="110" t="str">
        <f t="shared" si="0"/>
        <v/>
      </c>
      <c r="L36" s="110" t="str">
        <f t="shared" si="1"/>
        <v/>
      </c>
    </row>
    <row r="37" spans="8:12" ht="14.25" customHeight="1" x14ac:dyDescent="0.2">
      <c r="H37" s="19" t="s">
        <v>1979</v>
      </c>
      <c r="J37" s="110" t="str">
        <f t="shared" si="0"/>
        <v/>
      </c>
      <c r="L37" s="110" t="str">
        <f t="shared" si="1"/>
        <v/>
      </c>
    </row>
    <row r="38" spans="8:12" ht="14.25" customHeight="1" x14ac:dyDescent="0.2">
      <c r="H38" s="19" t="s">
        <v>1979</v>
      </c>
      <c r="J38" s="110" t="str">
        <f t="shared" si="0"/>
        <v/>
      </c>
      <c r="L38" s="110" t="str">
        <f t="shared" si="1"/>
        <v/>
      </c>
    </row>
    <row r="39" spans="8:12" ht="14.25" customHeight="1" x14ac:dyDescent="0.2">
      <c r="H39" s="19" t="s">
        <v>1979</v>
      </c>
      <c r="J39" s="110" t="str">
        <f t="shared" si="0"/>
        <v/>
      </c>
      <c r="L39" s="110" t="str">
        <f t="shared" si="1"/>
        <v/>
      </c>
    </row>
    <row r="40" spans="8:12" ht="14.25" customHeight="1" x14ac:dyDescent="0.2">
      <c r="H40" s="19" t="s">
        <v>1979</v>
      </c>
      <c r="J40" s="110" t="str">
        <f t="shared" si="0"/>
        <v/>
      </c>
      <c r="L40" s="110" t="str">
        <f t="shared" si="1"/>
        <v/>
      </c>
    </row>
    <row r="41" spans="8:12" ht="14.25" customHeight="1" x14ac:dyDescent="0.2">
      <c r="H41" s="19" t="s">
        <v>1979</v>
      </c>
      <c r="J41" s="110" t="str">
        <f t="shared" si="0"/>
        <v/>
      </c>
      <c r="L41" s="110" t="str">
        <f t="shared" si="1"/>
        <v/>
      </c>
    </row>
    <row r="42" spans="8:12" ht="14.25" customHeight="1" x14ac:dyDescent="0.2">
      <c r="H42" s="19" t="s">
        <v>1979</v>
      </c>
      <c r="J42" s="110" t="str">
        <f t="shared" si="0"/>
        <v/>
      </c>
      <c r="L42" s="110" t="str">
        <f t="shared" si="1"/>
        <v/>
      </c>
    </row>
    <row r="43" spans="8:12" ht="14.25" customHeight="1" x14ac:dyDescent="0.2">
      <c r="H43" s="19" t="s">
        <v>1979</v>
      </c>
      <c r="J43" s="110" t="str">
        <f t="shared" si="0"/>
        <v/>
      </c>
      <c r="L43" s="110" t="str">
        <f t="shared" si="1"/>
        <v/>
      </c>
    </row>
    <row r="44" spans="8:12" ht="14.25" customHeight="1" x14ac:dyDescent="0.2">
      <c r="H44" s="19" t="s">
        <v>1979</v>
      </c>
      <c r="J44" s="110" t="str">
        <f t="shared" si="0"/>
        <v/>
      </c>
      <c r="L44" s="110" t="str">
        <f t="shared" si="1"/>
        <v/>
      </c>
    </row>
    <row r="45" spans="8:12" ht="14.25" customHeight="1" x14ac:dyDescent="0.2">
      <c r="H45" s="19" t="s">
        <v>1979</v>
      </c>
      <c r="J45" s="110" t="str">
        <f t="shared" si="0"/>
        <v/>
      </c>
      <c r="L45" s="110" t="str">
        <f t="shared" si="1"/>
        <v/>
      </c>
    </row>
    <row r="46" spans="8:12" ht="14.25" customHeight="1" x14ac:dyDescent="0.2">
      <c r="H46" s="19" t="s">
        <v>1979</v>
      </c>
      <c r="J46" s="110" t="str">
        <f t="shared" si="0"/>
        <v/>
      </c>
      <c r="L46" s="110" t="str">
        <f t="shared" si="1"/>
        <v/>
      </c>
    </row>
    <row r="47" spans="8:12" ht="14.25" customHeight="1" x14ac:dyDescent="0.2">
      <c r="H47" s="19" t="s">
        <v>1979</v>
      </c>
      <c r="J47" s="110" t="str">
        <f t="shared" si="0"/>
        <v/>
      </c>
      <c r="L47" s="110" t="str">
        <f t="shared" si="1"/>
        <v/>
      </c>
    </row>
    <row r="48" spans="8:12" ht="14.25" customHeight="1" x14ac:dyDescent="0.2">
      <c r="H48" s="19" t="s">
        <v>1979</v>
      </c>
      <c r="J48" s="110" t="str">
        <f t="shared" si="0"/>
        <v/>
      </c>
      <c r="L48" s="110" t="str">
        <f t="shared" si="1"/>
        <v/>
      </c>
    </row>
    <row r="49" spans="8:12" ht="14.25" customHeight="1" x14ac:dyDescent="0.2">
      <c r="H49" s="19" t="s">
        <v>1979</v>
      </c>
      <c r="J49" s="110" t="str">
        <f t="shared" si="0"/>
        <v/>
      </c>
      <c r="L49" s="110" t="str">
        <f t="shared" si="1"/>
        <v/>
      </c>
    </row>
    <row r="50" spans="8:12" ht="14.25" customHeight="1" x14ac:dyDescent="0.2">
      <c r="H50" s="19" t="s">
        <v>1979</v>
      </c>
      <c r="J50" s="110" t="str">
        <f t="shared" si="0"/>
        <v/>
      </c>
      <c r="L50" s="110" t="str">
        <f t="shared" si="1"/>
        <v/>
      </c>
    </row>
    <row r="51" spans="8:12" ht="14.25" customHeight="1" x14ac:dyDescent="0.2">
      <c r="H51" s="19" t="s">
        <v>1979</v>
      </c>
      <c r="J51" s="110" t="str">
        <f t="shared" si="0"/>
        <v/>
      </c>
      <c r="L51" s="110" t="str">
        <f t="shared" si="1"/>
        <v/>
      </c>
    </row>
    <row r="52" spans="8:12" ht="14.25" customHeight="1" x14ac:dyDescent="0.2">
      <c r="H52" s="19" t="s">
        <v>1979</v>
      </c>
      <c r="J52" s="110" t="str">
        <f t="shared" si="0"/>
        <v/>
      </c>
      <c r="L52" s="110" t="str">
        <f t="shared" si="1"/>
        <v/>
      </c>
    </row>
    <row r="53" spans="8:12" ht="14.25" customHeight="1" x14ac:dyDescent="0.2">
      <c r="H53" s="19" t="s">
        <v>1979</v>
      </c>
      <c r="J53" s="110" t="str">
        <f t="shared" si="0"/>
        <v/>
      </c>
      <c r="L53" s="110" t="str">
        <f t="shared" si="1"/>
        <v/>
      </c>
    </row>
    <row r="54" spans="8:12" ht="14.25" customHeight="1" x14ac:dyDescent="0.2">
      <c r="H54" s="19" t="s">
        <v>1979</v>
      </c>
      <c r="J54" s="110" t="str">
        <f t="shared" si="0"/>
        <v/>
      </c>
      <c r="L54" s="110" t="str">
        <f t="shared" si="1"/>
        <v/>
      </c>
    </row>
    <row r="55" spans="8:12" ht="14.25" customHeight="1" x14ac:dyDescent="0.2">
      <c r="H55" s="19" t="s">
        <v>1979</v>
      </c>
      <c r="J55" s="110" t="str">
        <f t="shared" si="0"/>
        <v/>
      </c>
      <c r="L55" s="110" t="str">
        <f t="shared" si="1"/>
        <v/>
      </c>
    </row>
    <row r="56" spans="8:12" ht="14.25" customHeight="1" x14ac:dyDescent="0.2">
      <c r="H56" s="19" t="s">
        <v>1979</v>
      </c>
      <c r="J56" s="110" t="str">
        <f t="shared" si="0"/>
        <v/>
      </c>
      <c r="L56" s="110" t="str">
        <f t="shared" si="1"/>
        <v/>
      </c>
    </row>
    <row r="57" spans="8:12" ht="14.25" customHeight="1" x14ac:dyDescent="0.2">
      <c r="H57" s="19" t="s">
        <v>1979</v>
      </c>
      <c r="J57" s="110" t="str">
        <f t="shared" si="0"/>
        <v/>
      </c>
      <c r="L57" s="110" t="str">
        <f t="shared" si="1"/>
        <v/>
      </c>
    </row>
    <row r="58" spans="8:12" ht="14.25" customHeight="1" x14ac:dyDescent="0.2">
      <c r="H58" s="19" t="s">
        <v>1979</v>
      </c>
      <c r="J58" s="110" t="str">
        <f t="shared" si="0"/>
        <v/>
      </c>
      <c r="L58" s="110" t="str">
        <f t="shared" si="1"/>
        <v/>
      </c>
    </row>
    <row r="59" spans="8:12" ht="14.25" customHeight="1" x14ac:dyDescent="0.2">
      <c r="H59" s="19" t="s">
        <v>1979</v>
      </c>
      <c r="J59" s="110" t="str">
        <f t="shared" si="0"/>
        <v/>
      </c>
      <c r="L59" s="110" t="str">
        <f t="shared" si="1"/>
        <v/>
      </c>
    </row>
    <row r="60" spans="8:12" ht="14.25" customHeight="1" x14ac:dyDescent="0.2">
      <c r="H60" s="19" t="s">
        <v>1979</v>
      </c>
      <c r="J60" s="110" t="str">
        <f t="shared" si="0"/>
        <v/>
      </c>
      <c r="L60" s="110" t="str">
        <f t="shared" si="1"/>
        <v/>
      </c>
    </row>
    <row r="61" spans="8:12" ht="14.25" customHeight="1" x14ac:dyDescent="0.2">
      <c r="H61" s="19" t="s">
        <v>1979</v>
      </c>
      <c r="J61" s="110" t="str">
        <f t="shared" si="0"/>
        <v/>
      </c>
      <c r="L61" s="110" t="str">
        <f t="shared" si="1"/>
        <v/>
      </c>
    </row>
    <row r="62" spans="8:12" ht="14.25" customHeight="1" x14ac:dyDescent="0.2">
      <c r="H62" s="19" t="s">
        <v>1979</v>
      </c>
      <c r="J62" s="110" t="str">
        <f t="shared" si="0"/>
        <v/>
      </c>
      <c r="L62" s="110" t="str">
        <f t="shared" si="1"/>
        <v/>
      </c>
    </row>
    <row r="63" spans="8:12" ht="14.25" customHeight="1" x14ac:dyDescent="0.2">
      <c r="H63" s="19" t="s">
        <v>1979</v>
      </c>
      <c r="J63" s="110" t="str">
        <f t="shared" si="0"/>
        <v/>
      </c>
      <c r="L63" s="110" t="str">
        <f t="shared" si="1"/>
        <v/>
      </c>
    </row>
    <row r="64" spans="8:12" ht="14.25" customHeight="1" x14ac:dyDescent="0.2">
      <c r="H64" s="19" t="s">
        <v>1979</v>
      </c>
      <c r="J64" s="110" t="str">
        <f t="shared" si="0"/>
        <v/>
      </c>
      <c r="L64" s="110" t="str">
        <f t="shared" si="1"/>
        <v/>
      </c>
    </row>
    <row r="65" spans="8:12" ht="14.25" customHeight="1" x14ac:dyDescent="0.2">
      <c r="H65" s="19" t="s">
        <v>1979</v>
      </c>
      <c r="J65" s="110" t="str">
        <f t="shared" si="0"/>
        <v/>
      </c>
      <c r="L65" s="110" t="str">
        <f t="shared" si="1"/>
        <v/>
      </c>
    </row>
    <row r="66" spans="8:12" ht="14.25" customHeight="1" x14ac:dyDescent="0.2">
      <c r="H66" s="19" t="s">
        <v>1979</v>
      </c>
      <c r="J66" s="110" t="str">
        <f t="shared" si="0"/>
        <v/>
      </c>
      <c r="L66" s="110" t="str">
        <f t="shared" si="1"/>
        <v/>
      </c>
    </row>
    <row r="67" spans="8:12" ht="14.25" customHeight="1" x14ac:dyDescent="0.2">
      <c r="H67" s="19" t="s">
        <v>1979</v>
      </c>
      <c r="J67" s="110" t="str">
        <f t="shared" ref="J67:J130" si="2">IF(K67="","", K67/PI())</f>
        <v/>
      </c>
      <c r="L67" s="110" t="str">
        <f t="shared" ref="L67:L130" si="3">IF(OR(P67="", N67="", O67=""), "", TAN(P67*PI()/180)*N67 +O67)</f>
        <v/>
      </c>
    </row>
    <row r="68" spans="8:12" ht="14.25" customHeight="1" x14ac:dyDescent="0.2">
      <c r="H68" s="19" t="s">
        <v>1979</v>
      </c>
      <c r="J68" s="110" t="str">
        <f t="shared" si="2"/>
        <v/>
      </c>
      <c r="L68" s="110" t="str">
        <f t="shared" si="3"/>
        <v/>
      </c>
    </row>
    <row r="69" spans="8:12" ht="14.25" customHeight="1" x14ac:dyDescent="0.2">
      <c r="H69" s="19" t="s">
        <v>1979</v>
      </c>
      <c r="J69" s="110" t="str">
        <f t="shared" si="2"/>
        <v/>
      </c>
      <c r="L69" s="110" t="str">
        <f t="shared" si="3"/>
        <v/>
      </c>
    </row>
    <row r="70" spans="8:12" ht="14.25" customHeight="1" x14ac:dyDescent="0.2">
      <c r="H70" s="19" t="s">
        <v>1979</v>
      </c>
      <c r="J70" s="110" t="str">
        <f t="shared" si="2"/>
        <v/>
      </c>
      <c r="L70" s="110" t="str">
        <f t="shared" si="3"/>
        <v/>
      </c>
    </row>
    <row r="71" spans="8:12" ht="14.25" customHeight="1" x14ac:dyDescent="0.2">
      <c r="H71" s="19" t="s">
        <v>1979</v>
      </c>
      <c r="J71" s="110" t="str">
        <f t="shared" si="2"/>
        <v/>
      </c>
      <c r="L71" s="110" t="str">
        <f t="shared" si="3"/>
        <v/>
      </c>
    </row>
    <row r="72" spans="8:12" ht="14.25" customHeight="1" x14ac:dyDescent="0.2">
      <c r="H72" s="19" t="s">
        <v>1979</v>
      </c>
      <c r="J72" s="110" t="str">
        <f t="shared" si="2"/>
        <v/>
      </c>
      <c r="L72" s="110" t="str">
        <f t="shared" si="3"/>
        <v/>
      </c>
    </row>
    <row r="73" spans="8:12" ht="14.25" customHeight="1" x14ac:dyDescent="0.2">
      <c r="H73" s="19" t="s">
        <v>1979</v>
      </c>
      <c r="J73" s="110" t="str">
        <f t="shared" si="2"/>
        <v/>
      </c>
      <c r="L73" s="110" t="str">
        <f t="shared" si="3"/>
        <v/>
      </c>
    </row>
    <row r="74" spans="8:12" ht="14.25" customHeight="1" x14ac:dyDescent="0.2">
      <c r="H74" s="19" t="s">
        <v>1979</v>
      </c>
      <c r="J74" s="110" t="str">
        <f t="shared" si="2"/>
        <v/>
      </c>
      <c r="L74" s="110" t="str">
        <f t="shared" si="3"/>
        <v/>
      </c>
    </row>
    <row r="75" spans="8:12" ht="14.25" customHeight="1" x14ac:dyDescent="0.2">
      <c r="H75" s="19" t="s">
        <v>1979</v>
      </c>
      <c r="J75" s="110" t="str">
        <f t="shared" si="2"/>
        <v/>
      </c>
      <c r="L75" s="110" t="str">
        <f t="shared" si="3"/>
        <v/>
      </c>
    </row>
    <row r="76" spans="8:12" ht="14.25" customHeight="1" x14ac:dyDescent="0.2">
      <c r="H76" s="19" t="s">
        <v>1979</v>
      </c>
      <c r="J76" s="110" t="str">
        <f t="shared" si="2"/>
        <v/>
      </c>
      <c r="L76" s="110" t="str">
        <f t="shared" si="3"/>
        <v/>
      </c>
    </row>
    <row r="77" spans="8:12" ht="14.25" customHeight="1" x14ac:dyDescent="0.2">
      <c r="H77" s="19" t="s">
        <v>1979</v>
      </c>
      <c r="J77" s="110" t="str">
        <f t="shared" si="2"/>
        <v/>
      </c>
      <c r="L77" s="110" t="str">
        <f t="shared" si="3"/>
        <v/>
      </c>
    </row>
    <row r="78" spans="8:12" ht="14.25" customHeight="1" x14ac:dyDescent="0.2">
      <c r="H78" s="19" t="s">
        <v>1979</v>
      </c>
      <c r="J78" s="110" t="str">
        <f t="shared" si="2"/>
        <v/>
      </c>
      <c r="L78" s="110" t="str">
        <f t="shared" si="3"/>
        <v/>
      </c>
    </row>
    <row r="79" spans="8:12" ht="14.25" customHeight="1" x14ac:dyDescent="0.2">
      <c r="H79" s="19" t="s">
        <v>1979</v>
      </c>
      <c r="J79" s="110" t="str">
        <f t="shared" si="2"/>
        <v/>
      </c>
      <c r="L79" s="110" t="str">
        <f t="shared" si="3"/>
        <v/>
      </c>
    </row>
    <row r="80" spans="8:12" ht="14.25" customHeight="1" x14ac:dyDescent="0.2">
      <c r="H80" s="19" t="s">
        <v>1979</v>
      </c>
      <c r="J80" s="110" t="str">
        <f t="shared" si="2"/>
        <v/>
      </c>
      <c r="L80" s="110" t="str">
        <f t="shared" si="3"/>
        <v/>
      </c>
    </row>
    <row r="81" spans="8:12" ht="14.25" customHeight="1" x14ac:dyDescent="0.2">
      <c r="H81" s="19" t="s">
        <v>1979</v>
      </c>
      <c r="J81" s="110" t="str">
        <f t="shared" si="2"/>
        <v/>
      </c>
      <c r="L81" s="110" t="str">
        <f t="shared" si="3"/>
        <v/>
      </c>
    </row>
    <row r="82" spans="8:12" ht="14.25" customHeight="1" x14ac:dyDescent="0.2">
      <c r="H82" s="19" t="s">
        <v>1979</v>
      </c>
      <c r="J82" s="110" t="str">
        <f t="shared" si="2"/>
        <v/>
      </c>
      <c r="L82" s="110" t="str">
        <f t="shared" si="3"/>
        <v/>
      </c>
    </row>
    <row r="83" spans="8:12" ht="14.25" customHeight="1" x14ac:dyDescent="0.2">
      <c r="H83" s="19" t="s">
        <v>1979</v>
      </c>
      <c r="J83" s="110" t="str">
        <f t="shared" si="2"/>
        <v/>
      </c>
      <c r="L83" s="110" t="str">
        <f t="shared" si="3"/>
        <v/>
      </c>
    </row>
    <row r="84" spans="8:12" ht="14.25" customHeight="1" x14ac:dyDescent="0.2">
      <c r="H84" s="19" t="s">
        <v>1979</v>
      </c>
      <c r="J84" s="110" t="str">
        <f t="shared" si="2"/>
        <v/>
      </c>
      <c r="L84" s="110" t="str">
        <f t="shared" si="3"/>
        <v/>
      </c>
    </row>
    <row r="85" spans="8:12" ht="14.25" customHeight="1" x14ac:dyDescent="0.2">
      <c r="H85" s="19" t="s">
        <v>1979</v>
      </c>
      <c r="J85" s="110" t="str">
        <f t="shared" si="2"/>
        <v/>
      </c>
      <c r="L85" s="110" t="str">
        <f t="shared" si="3"/>
        <v/>
      </c>
    </row>
    <row r="86" spans="8:12" ht="14.25" customHeight="1" x14ac:dyDescent="0.2">
      <c r="H86" s="19" t="s">
        <v>1979</v>
      </c>
      <c r="J86" s="110" t="str">
        <f t="shared" si="2"/>
        <v/>
      </c>
      <c r="L86" s="110" t="str">
        <f t="shared" si="3"/>
        <v/>
      </c>
    </row>
    <row r="87" spans="8:12" ht="14.25" customHeight="1" x14ac:dyDescent="0.2">
      <c r="H87" s="19" t="s">
        <v>1979</v>
      </c>
      <c r="J87" s="110" t="str">
        <f t="shared" si="2"/>
        <v/>
      </c>
      <c r="L87" s="110" t="str">
        <f t="shared" si="3"/>
        <v/>
      </c>
    </row>
    <row r="88" spans="8:12" ht="14.25" customHeight="1" x14ac:dyDescent="0.2">
      <c r="H88" s="19" t="s">
        <v>1979</v>
      </c>
      <c r="J88" s="110" t="str">
        <f t="shared" si="2"/>
        <v/>
      </c>
      <c r="L88" s="110" t="str">
        <f t="shared" si="3"/>
        <v/>
      </c>
    </row>
    <row r="89" spans="8:12" ht="14.25" customHeight="1" x14ac:dyDescent="0.2">
      <c r="H89" s="19" t="s">
        <v>1979</v>
      </c>
      <c r="J89" s="110" t="str">
        <f t="shared" si="2"/>
        <v/>
      </c>
      <c r="L89" s="110" t="str">
        <f t="shared" si="3"/>
        <v/>
      </c>
    </row>
    <row r="90" spans="8:12" ht="14.25" customHeight="1" x14ac:dyDescent="0.2">
      <c r="H90" s="19" t="s">
        <v>1979</v>
      </c>
      <c r="J90" s="110" t="str">
        <f t="shared" si="2"/>
        <v/>
      </c>
      <c r="L90" s="110" t="str">
        <f t="shared" si="3"/>
        <v/>
      </c>
    </row>
    <row r="91" spans="8:12" ht="14.25" customHeight="1" x14ac:dyDescent="0.2">
      <c r="H91" s="19" t="s">
        <v>1979</v>
      </c>
      <c r="J91" s="110" t="str">
        <f t="shared" si="2"/>
        <v/>
      </c>
      <c r="L91" s="110" t="str">
        <f t="shared" si="3"/>
        <v/>
      </c>
    </row>
    <row r="92" spans="8:12" ht="14.25" customHeight="1" x14ac:dyDescent="0.2">
      <c r="H92" s="19" t="s">
        <v>1979</v>
      </c>
      <c r="J92" s="110" t="str">
        <f t="shared" si="2"/>
        <v/>
      </c>
      <c r="L92" s="110" t="str">
        <f t="shared" si="3"/>
        <v/>
      </c>
    </row>
    <row r="93" spans="8:12" ht="14.25" customHeight="1" x14ac:dyDescent="0.2">
      <c r="H93" s="19" t="s">
        <v>1979</v>
      </c>
      <c r="J93" s="110" t="str">
        <f t="shared" si="2"/>
        <v/>
      </c>
      <c r="L93" s="110" t="str">
        <f t="shared" si="3"/>
        <v/>
      </c>
    </row>
    <row r="94" spans="8:12" ht="14.25" customHeight="1" x14ac:dyDescent="0.2">
      <c r="H94" s="19" t="s">
        <v>1979</v>
      </c>
      <c r="J94" s="110" t="str">
        <f t="shared" si="2"/>
        <v/>
      </c>
      <c r="L94" s="110" t="str">
        <f t="shared" si="3"/>
        <v/>
      </c>
    </row>
    <row r="95" spans="8:12" ht="14.25" customHeight="1" x14ac:dyDescent="0.2">
      <c r="H95" s="19" t="s">
        <v>1979</v>
      </c>
      <c r="J95" s="110" t="str">
        <f t="shared" si="2"/>
        <v/>
      </c>
      <c r="L95" s="110" t="str">
        <f t="shared" si="3"/>
        <v/>
      </c>
    </row>
    <row r="96" spans="8:12" ht="14.25" customHeight="1" x14ac:dyDescent="0.2">
      <c r="H96" s="19" t="s">
        <v>1979</v>
      </c>
      <c r="J96" s="110" t="str">
        <f t="shared" si="2"/>
        <v/>
      </c>
      <c r="L96" s="110" t="str">
        <f t="shared" si="3"/>
        <v/>
      </c>
    </row>
    <row r="97" spans="8:12" ht="14.25" customHeight="1" x14ac:dyDescent="0.2">
      <c r="H97" s="19" t="s">
        <v>1979</v>
      </c>
      <c r="J97" s="110" t="str">
        <f t="shared" si="2"/>
        <v/>
      </c>
      <c r="L97" s="110" t="str">
        <f t="shared" si="3"/>
        <v/>
      </c>
    </row>
    <row r="98" spans="8:12" ht="14.25" customHeight="1" x14ac:dyDescent="0.2">
      <c r="H98" s="19" t="s">
        <v>1979</v>
      </c>
      <c r="J98" s="110" t="str">
        <f t="shared" si="2"/>
        <v/>
      </c>
      <c r="L98" s="110" t="str">
        <f t="shared" si="3"/>
        <v/>
      </c>
    </row>
    <row r="99" spans="8:12" ht="14.25" customHeight="1" x14ac:dyDescent="0.2">
      <c r="H99" s="19" t="s">
        <v>1979</v>
      </c>
      <c r="J99" s="110" t="str">
        <f t="shared" si="2"/>
        <v/>
      </c>
      <c r="L99" s="110" t="str">
        <f t="shared" si="3"/>
        <v/>
      </c>
    </row>
    <row r="100" spans="8:12" ht="14.25" customHeight="1" x14ac:dyDescent="0.2">
      <c r="H100" s="19" t="s">
        <v>1979</v>
      </c>
      <c r="J100" s="110" t="str">
        <f t="shared" si="2"/>
        <v/>
      </c>
      <c r="L100" s="110" t="str">
        <f t="shared" si="3"/>
        <v/>
      </c>
    </row>
    <row r="101" spans="8:12" ht="14.25" customHeight="1" x14ac:dyDescent="0.2">
      <c r="H101" s="19" t="s">
        <v>1979</v>
      </c>
      <c r="J101" s="110" t="str">
        <f t="shared" si="2"/>
        <v/>
      </c>
      <c r="L101" s="110" t="str">
        <f t="shared" si="3"/>
        <v/>
      </c>
    </row>
    <row r="102" spans="8:12" ht="14.25" customHeight="1" x14ac:dyDescent="0.2">
      <c r="H102" s="19" t="s">
        <v>1979</v>
      </c>
      <c r="J102" s="110" t="str">
        <f t="shared" si="2"/>
        <v/>
      </c>
      <c r="L102" s="110" t="str">
        <f t="shared" si="3"/>
        <v/>
      </c>
    </row>
    <row r="103" spans="8:12" ht="14.25" customHeight="1" x14ac:dyDescent="0.2">
      <c r="H103" s="19" t="s">
        <v>1979</v>
      </c>
      <c r="J103" s="110" t="str">
        <f t="shared" si="2"/>
        <v/>
      </c>
      <c r="L103" s="110" t="str">
        <f t="shared" si="3"/>
        <v/>
      </c>
    </row>
    <row r="104" spans="8:12" ht="14.25" customHeight="1" x14ac:dyDescent="0.2">
      <c r="H104" s="19" t="s">
        <v>1979</v>
      </c>
      <c r="J104" s="110" t="str">
        <f t="shared" si="2"/>
        <v/>
      </c>
      <c r="L104" s="110" t="str">
        <f t="shared" si="3"/>
        <v/>
      </c>
    </row>
    <row r="105" spans="8:12" ht="14.25" customHeight="1" x14ac:dyDescent="0.2">
      <c r="H105" s="19" t="s">
        <v>1979</v>
      </c>
      <c r="J105" s="110" t="str">
        <f t="shared" si="2"/>
        <v/>
      </c>
      <c r="L105" s="110" t="str">
        <f t="shared" si="3"/>
        <v/>
      </c>
    </row>
    <row r="106" spans="8:12" ht="14.25" customHeight="1" x14ac:dyDescent="0.2">
      <c r="H106" s="19" t="s">
        <v>1979</v>
      </c>
      <c r="J106" s="110" t="str">
        <f t="shared" si="2"/>
        <v/>
      </c>
      <c r="L106" s="110" t="str">
        <f t="shared" si="3"/>
        <v/>
      </c>
    </row>
    <row r="107" spans="8:12" ht="14.25" customHeight="1" x14ac:dyDescent="0.2">
      <c r="H107" s="19" t="s">
        <v>1979</v>
      </c>
      <c r="J107" s="110" t="str">
        <f t="shared" si="2"/>
        <v/>
      </c>
      <c r="L107" s="110" t="str">
        <f t="shared" si="3"/>
        <v/>
      </c>
    </row>
    <row r="108" spans="8:12" ht="14.25" customHeight="1" x14ac:dyDescent="0.2">
      <c r="H108" s="19" t="s">
        <v>1979</v>
      </c>
      <c r="J108" s="110" t="str">
        <f t="shared" si="2"/>
        <v/>
      </c>
      <c r="L108" s="110" t="str">
        <f t="shared" si="3"/>
        <v/>
      </c>
    </row>
    <row r="109" spans="8:12" ht="14.25" customHeight="1" x14ac:dyDescent="0.2">
      <c r="H109" s="19" t="s">
        <v>1979</v>
      </c>
      <c r="J109" s="110" t="str">
        <f t="shared" si="2"/>
        <v/>
      </c>
      <c r="L109" s="110" t="str">
        <f t="shared" si="3"/>
        <v/>
      </c>
    </row>
    <row r="110" spans="8:12" ht="14.25" customHeight="1" x14ac:dyDescent="0.2">
      <c r="H110" s="19" t="s">
        <v>1979</v>
      </c>
      <c r="J110" s="110" t="str">
        <f t="shared" si="2"/>
        <v/>
      </c>
      <c r="L110" s="110" t="str">
        <f t="shared" si="3"/>
        <v/>
      </c>
    </row>
    <row r="111" spans="8:12" ht="14.25" customHeight="1" x14ac:dyDescent="0.2">
      <c r="H111" s="19" t="s">
        <v>1979</v>
      </c>
      <c r="J111" s="110" t="str">
        <f t="shared" si="2"/>
        <v/>
      </c>
      <c r="L111" s="110" t="str">
        <f t="shared" si="3"/>
        <v/>
      </c>
    </row>
    <row r="112" spans="8:12" ht="14.25" customHeight="1" x14ac:dyDescent="0.2">
      <c r="H112" s="19" t="s">
        <v>1979</v>
      </c>
      <c r="J112" s="110" t="str">
        <f t="shared" si="2"/>
        <v/>
      </c>
      <c r="L112" s="110" t="str">
        <f t="shared" si="3"/>
        <v/>
      </c>
    </row>
    <row r="113" spans="8:12" ht="14.25" customHeight="1" x14ac:dyDescent="0.2">
      <c r="H113" s="19" t="s">
        <v>1979</v>
      </c>
      <c r="J113" s="110" t="str">
        <f t="shared" si="2"/>
        <v/>
      </c>
      <c r="L113" s="110" t="str">
        <f t="shared" si="3"/>
        <v/>
      </c>
    </row>
    <row r="114" spans="8:12" ht="14.25" customHeight="1" x14ac:dyDescent="0.2">
      <c r="H114" s="19" t="s">
        <v>1979</v>
      </c>
      <c r="J114" s="110" t="str">
        <f t="shared" si="2"/>
        <v/>
      </c>
      <c r="L114" s="110" t="str">
        <f t="shared" si="3"/>
        <v/>
      </c>
    </row>
    <row r="115" spans="8:12" ht="14.25" customHeight="1" x14ac:dyDescent="0.2">
      <c r="H115" s="19" t="s">
        <v>1979</v>
      </c>
      <c r="J115" s="110" t="str">
        <f t="shared" si="2"/>
        <v/>
      </c>
      <c r="L115" s="110" t="str">
        <f t="shared" si="3"/>
        <v/>
      </c>
    </row>
    <row r="116" spans="8:12" ht="14.25" customHeight="1" x14ac:dyDescent="0.2">
      <c r="H116" s="19" t="s">
        <v>1979</v>
      </c>
      <c r="J116" s="110" t="str">
        <f t="shared" si="2"/>
        <v/>
      </c>
      <c r="L116" s="110" t="str">
        <f t="shared" si="3"/>
        <v/>
      </c>
    </row>
    <row r="117" spans="8:12" ht="14.25" customHeight="1" x14ac:dyDescent="0.2">
      <c r="H117" s="19" t="s">
        <v>1979</v>
      </c>
      <c r="J117" s="110" t="str">
        <f t="shared" si="2"/>
        <v/>
      </c>
      <c r="L117" s="110" t="str">
        <f t="shared" si="3"/>
        <v/>
      </c>
    </row>
    <row r="118" spans="8:12" ht="14.25" customHeight="1" x14ac:dyDescent="0.2">
      <c r="H118" s="19" t="s">
        <v>1979</v>
      </c>
      <c r="J118" s="110" t="str">
        <f t="shared" si="2"/>
        <v/>
      </c>
      <c r="L118" s="110" t="str">
        <f t="shared" si="3"/>
        <v/>
      </c>
    </row>
    <row r="119" spans="8:12" ht="14.25" customHeight="1" x14ac:dyDescent="0.2">
      <c r="H119" s="19" t="s">
        <v>1979</v>
      </c>
      <c r="J119" s="110" t="str">
        <f t="shared" si="2"/>
        <v/>
      </c>
      <c r="L119" s="110" t="str">
        <f t="shared" si="3"/>
        <v/>
      </c>
    </row>
    <row r="120" spans="8:12" ht="14.25" customHeight="1" x14ac:dyDescent="0.2">
      <c r="H120" s="19" t="s">
        <v>1979</v>
      </c>
      <c r="J120" s="110" t="str">
        <f t="shared" si="2"/>
        <v/>
      </c>
      <c r="L120" s="110" t="str">
        <f t="shared" si="3"/>
        <v/>
      </c>
    </row>
    <row r="121" spans="8:12" ht="14.25" customHeight="1" x14ac:dyDescent="0.2">
      <c r="H121" s="19" t="s">
        <v>1979</v>
      </c>
      <c r="J121" s="110" t="str">
        <f t="shared" si="2"/>
        <v/>
      </c>
      <c r="L121" s="110" t="str">
        <f t="shared" si="3"/>
        <v/>
      </c>
    </row>
    <row r="122" spans="8:12" ht="14.25" customHeight="1" x14ac:dyDescent="0.2">
      <c r="H122" s="19" t="s">
        <v>1979</v>
      </c>
      <c r="J122" s="110" t="str">
        <f t="shared" si="2"/>
        <v/>
      </c>
      <c r="L122" s="110" t="str">
        <f t="shared" si="3"/>
        <v/>
      </c>
    </row>
    <row r="123" spans="8:12" ht="14.25" customHeight="1" x14ac:dyDescent="0.2">
      <c r="H123" s="19" t="s">
        <v>1979</v>
      </c>
      <c r="J123" s="110" t="str">
        <f t="shared" si="2"/>
        <v/>
      </c>
      <c r="L123" s="110" t="str">
        <f t="shared" si="3"/>
        <v/>
      </c>
    </row>
    <row r="124" spans="8:12" ht="14.25" customHeight="1" x14ac:dyDescent="0.2">
      <c r="H124" s="19" t="s">
        <v>1979</v>
      </c>
      <c r="J124" s="110" t="str">
        <f t="shared" si="2"/>
        <v/>
      </c>
      <c r="L124" s="110" t="str">
        <f t="shared" si="3"/>
        <v/>
      </c>
    </row>
    <row r="125" spans="8:12" ht="14.25" customHeight="1" x14ac:dyDescent="0.2">
      <c r="H125" s="19" t="s">
        <v>1979</v>
      </c>
      <c r="J125" s="110" t="str">
        <f t="shared" si="2"/>
        <v/>
      </c>
      <c r="L125" s="110" t="str">
        <f t="shared" si="3"/>
        <v/>
      </c>
    </row>
    <row r="126" spans="8:12" ht="14.25" customHeight="1" x14ac:dyDescent="0.2">
      <c r="H126" s="19" t="s">
        <v>1979</v>
      </c>
      <c r="J126" s="110" t="str">
        <f t="shared" si="2"/>
        <v/>
      </c>
      <c r="L126" s="110" t="str">
        <f t="shared" si="3"/>
        <v/>
      </c>
    </row>
    <row r="127" spans="8:12" ht="14.25" customHeight="1" x14ac:dyDescent="0.2">
      <c r="H127" s="19" t="s">
        <v>1979</v>
      </c>
      <c r="J127" s="110" t="str">
        <f t="shared" si="2"/>
        <v/>
      </c>
      <c r="L127" s="110" t="str">
        <f t="shared" si="3"/>
        <v/>
      </c>
    </row>
    <row r="128" spans="8:12" ht="14.25" customHeight="1" x14ac:dyDescent="0.2">
      <c r="H128" s="19" t="s">
        <v>1979</v>
      </c>
      <c r="J128" s="110" t="str">
        <f t="shared" si="2"/>
        <v/>
      </c>
      <c r="L128" s="110" t="str">
        <f t="shared" si="3"/>
        <v/>
      </c>
    </row>
    <row r="129" spans="8:12" ht="14.25" customHeight="1" x14ac:dyDescent="0.2">
      <c r="H129" s="19" t="s">
        <v>1979</v>
      </c>
      <c r="J129" s="110" t="str">
        <f t="shared" si="2"/>
        <v/>
      </c>
      <c r="L129" s="110" t="str">
        <f t="shared" si="3"/>
        <v/>
      </c>
    </row>
    <row r="130" spans="8:12" ht="14.25" customHeight="1" x14ac:dyDescent="0.2">
      <c r="H130" s="19" t="s">
        <v>1979</v>
      </c>
      <c r="J130" s="110" t="str">
        <f t="shared" si="2"/>
        <v/>
      </c>
      <c r="L130" s="110" t="str">
        <f t="shared" si="3"/>
        <v/>
      </c>
    </row>
    <row r="131" spans="8:12" ht="14.25" customHeight="1" x14ac:dyDescent="0.2">
      <c r="H131" s="19" t="s">
        <v>1979</v>
      </c>
      <c r="J131" s="110" t="str">
        <f t="shared" ref="J131:J194" si="4">IF(K131="","", K131/PI())</f>
        <v/>
      </c>
      <c r="L131" s="110" t="str">
        <f t="shared" ref="L131:L194" si="5">IF(OR(P131="", N131="", O131=""), "", TAN(P131*PI()/180)*N131 +O131)</f>
        <v/>
      </c>
    </row>
    <row r="132" spans="8:12" ht="14.25" customHeight="1" x14ac:dyDescent="0.2">
      <c r="H132" s="19" t="s">
        <v>1979</v>
      </c>
      <c r="J132" s="110" t="str">
        <f t="shared" si="4"/>
        <v/>
      </c>
      <c r="L132" s="110" t="str">
        <f t="shared" si="5"/>
        <v/>
      </c>
    </row>
    <row r="133" spans="8:12" ht="14.25" customHeight="1" x14ac:dyDescent="0.2">
      <c r="H133" s="19" t="s">
        <v>1979</v>
      </c>
      <c r="J133" s="110" t="str">
        <f t="shared" si="4"/>
        <v/>
      </c>
      <c r="L133" s="110" t="str">
        <f t="shared" si="5"/>
        <v/>
      </c>
    </row>
    <row r="134" spans="8:12" ht="14.25" customHeight="1" x14ac:dyDescent="0.2">
      <c r="H134" s="19" t="s">
        <v>1979</v>
      </c>
      <c r="J134" s="110" t="str">
        <f t="shared" si="4"/>
        <v/>
      </c>
      <c r="L134" s="110" t="str">
        <f t="shared" si="5"/>
        <v/>
      </c>
    </row>
    <row r="135" spans="8:12" ht="14.25" customHeight="1" x14ac:dyDescent="0.2">
      <c r="H135" s="19" t="s">
        <v>1979</v>
      </c>
      <c r="J135" s="110" t="str">
        <f t="shared" si="4"/>
        <v/>
      </c>
      <c r="L135" s="110" t="str">
        <f t="shared" si="5"/>
        <v/>
      </c>
    </row>
    <row r="136" spans="8:12" ht="14.25" customHeight="1" x14ac:dyDescent="0.2">
      <c r="H136" s="19" t="s">
        <v>1979</v>
      </c>
      <c r="J136" s="110" t="str">
        <f t="shared" si="4"/>
        <v/>
      </c>
      <c r="L136" s="110" t="str">
        <f t="shared" si="5"/>
        <v/>
      </c>
    </row>
    <row r="137" spans="8:12" ht="14.25" customHeight="1" x14ac:dyDescent="0.2">
      <c r="H137" s="19" t="s">
        <v>1979</v>
      </c>
      <c r="J137" s="110" t="str">
        <f t="shared" si="4"/>
        <v/>
      </c>
      <c r="L137" s="110" t="str">
        <f t="shared" si="5"/>
        <v/>
      </c>
    </row>
    <row r="138" spans="8:12" ht="14.25" customHeight="1" x14ac:dyDescent="0.2">
      <c r="H138" s="19" t="s">
        <v>1979</v>
      </c>
      <c r="J138" s="110" t="str">
        <f t="shared" si="4"/>
        <v/>
      </c>
      <c r="L138" s="110" t="str">
        <f t="shared" si="5"/>
        <v/>
      </c>
    </row>
    <row r="139" spans="8:12" ht="14.25" customHeight="1" x14ac:dyDescent="0.2">
      <c r="H139" s="19" t="s">
        <v>1979</v>
      </c>
      <c r="J139" s="110" t="str">
        <f t="shared" si="4"/>
        <v/>
      </c>
      <c r="L139" s="110" t="str">
        <f t="shared" si="5"/>
        <v/>
      </c>
    </row>
    <row r="140" spans="8:12" ht="14.25" customHeight="1" x14ac:dyDescent="0.2">
      <c r="H140" s="19" t="s">
        <v>1979</v>
      </c>
      <c r="J140" s="110" t="str">
        <f t="shared" si="4"/>
        <v/>
      </c>
      <c r="L140" s="110" t="str">
        <f t="shared" si="5"/>
        <v/>
      </c>
    </row>
    <row r="141" spans="8:12" ht="14.25" customHeight="1" x14ac:dyDescent="0.2">
      <c r="H141" s="19" t="s">
        <v>1979</v>
      </c>
      <c r="J141" s="110" t="str">
        <f t="shared" si="4"/>
        <v/>
      </c>
      <c r="L141" s="110" t="str">
        <f t="shared" si="5"/>
        <v/>
      </c>
    </row>
    <row r="142" spans="8:12" ht="14.25" customHeight="1" x14ac:dyDescent="0.2">
      <c r="H142" s="19" t="s">
        <v>1979</v>
      </c>
      <c r="J142" s="110" t="str">
        <f t="shared" si="4"/>
        <v/>
      </c>
      <c r="L142" s="110" t="str">
        <f t="shared" si="5"/>
        <v/>
      </c>
    </row>
    <row r="143" spans="8:12" ht="14.25" customHeight="1" x14ac:dyDescent="0.2">
      <c r="H143" s="19" t="s">
        <v>1979</v>
      </c>
      <c r="J143" s="110" t="str">
        <f t="shared" si="4"/>
        <v/>
      </c>
      <c r="L143" s="110" t="str">
        <f t="shared" si="5"/>
        <v/>
      </c>
    </row>
    <row r="144" spans="8:12" ht="14.25" customHeight="1" x14ac:dyDescent="0.2">
      <c r="H144" s="19" t="s">
        <v>1979</v>
      </c>
      <c r="J144" s="110" t="str">
        <f t="shared" si="4"/>
        <v/>
      </c>
      <c r="L144" s="110" t="str">
        <f t="shared" si="5"/>
        <v/>
      </c>
    </row>
    <row r="145" spans="8:12" ht="14.25" customHeight="1" x14ac:dyDescent="0.2">
      <c r="H145" s="19" t="s">
        <v>1979</v>
      </c>
      <c r="J145" s="110" t="str">
        <f t="shared" si="4"/>
        <v/>
      </c>
      <c r="L145" s="110" t="str">
        <f t="shared" si="5"/>
        <v/>
      </c>
    </row>
    <row r="146" spans="8:12" ht="14.25" customHeight="1" x14ac:dyDescent="0.2">
      <c r="H146" s="19" t="s">
        <v>1979</v>
      </c>
      <c r="J146" s="110" t="str">
        <f t="shared" si="4"/>
        <v/>
      </c>
      <c r="L146" s="110" t="str">
        <f t="shared" si="5"/>
        <v/>
      </c>
    </row>
    <row r="147" spans="8:12" ht="14.25" customHeight="1" x14ac:dyDescent="0.2">
      <c r="H147" s="19" t="s">
        <v>1979</v>
      </c>
      <c r="J147" s="110" t="str">
        <f t="shared" si="4"/>
        <v/>
      </c>
      <c r="L147" s="110" t="str">
        <f t="shared" si="5"/>
        <v/>
      </c>
    </row>
    <row r="148" spans="8:12" ht="14.25" customHeight="1" x14ac:dyDescent="0.2">
      <c r="H148" s="19" t="s">
        <v>1979</v>
      </c>
      <c r="J148" s="110" t="str">
        <f t="shared" si="4"/>
        <v/>
      </c>
      <c r="L148" s="110" t="str">
        <f t="shared" si="5"/>
        <v/>
      </c>
    </row>
    <row r="149" spans="8:12" ht="14.25" customHeight="1" x14ac:dyDescent="0.2">
      <c r="H149" s="19" t="s">
        <v>1979</v>
      </c>
      <c r="J149" s="110" t="str">
        <f t="shared" si="4"/>
        <v/>
      </c>
      <c r="L149" s="110" t="str">
        <f t="shared" si="5"/>
        <v/>
      </c>
    </row>
    <row r="150" spans="8:12" ht="14.25" customHeight="1" x14ac:dyDescent="0.2">
      <c r="H150" s="19" t="s">
        <v>1979</v>
      </c>
      <c r="J150" s="110" t="str">
        <f t="shared" si="4"/>
        <v/>
      </c>
      <c r="L150" s="110" t="str">
        <f t="shared" si="5"/>
        <v/>
      </c>
    </row>
    <row r="151" spans="8:12" ht="14.25" customHeight="1" x14ac:dyDescent="0.2">
      <c r="H151" s="19" t="s">
        <v>1979</v>
      </c>
      <c r="J151" s="110" t="str">
        <f t="shared" si="4"/>
        <v/>
      </c>
      <c r="L151" s="110" t="str">
        <f t="shared" si="5"/>
        <v/>
      </c>
    </row>
    <row r="152" spans="8:12" ht="14.25" customHeight="1" x14ac:dyDescent="0.2">
      <c r="H152" s="19" t="s">
        <v>1979</v>
      </c>
      <c r="J152" s="110" t="str">
        <f t="shared" si="4"/>
        <v/>
      </c>
      <c r="L152" s="110" t="str">
        <f t="shared" si="5"/>
        <v/>
      </c>
    </row>
    <row r="153" spans="8:12" ht="14.25" customHeight="1" x14ac:dyDescent="0.2">
      <c r="H153" s="19" t="s">
        <v>1979</v>
      </c>
      <c r="J153" s="110" t="str">
        <f t="shared" si="4"/>
        <v/>
      </c>
      <c r="L153" s="110" t="str">
        <f t="shared" si="5"/>
        <v/>
      </c>
    </row>
    <row r="154" spans="8:12" ht="14.25" customHeight="1" x14ac:dyDescent="0.2">
      <c r="H154" s="19" t="s">
        <v>1979</v>
      </c>
      <c r="J154" s="110" t="str">
        <f t="shared" si="4"/>
        <v/>
      </c>
      <c r="L154" s="110" t="str">
        <f t="shared" si="5"/>
        <v/>
      </c>
    </row>
    <row r="155" spans="8:12" ht="14.25" customHeight="1" x14ac:dyDescent="0.2">
      <c r="H155" s="19" t="s">
        <v>1979</v>
      </c>
      <c r="J155" s="110" t="str">
        <f t="shared" si="4"/>
        <v/>
      </c>
      <c r="L155" s="110" t="str">
        <f t="shared" si="5"/>
        <v/>
      </c>
    </row>
    <row r="156" spans="8:12" ht="14.25" customHeight="1" x14ac:dyDescent="0.2">
      <c r="H156" s="19" t="s">
        <v>1979</v>
      </c>
      <c r="J156" s="110" t="str">
        <f t="shared" si="4"/>
        <v/>
      </c>
      <c r="L156" s="110" t="str">
        <f t="shared" si="5"/>
        <v/>
      </c>
    </row>
    <row r="157" spans="8:12" ht="14.25" customHeight="1" x14ac:dyDescent="0.2">
      <c r="H157" s="19" t="s">
        <v>1979</v>
      </c>
      <c r="J157" s="110" t="str">
        <f t="shared" si="4"/>
        <v/>
      </c>
      <c r="L157" s="110" t="str">
        <f t="shared" si="5"/>
        <v/>
      </c>
    </row>
    <row r="158" spans="8:12" ht="14.25" customHeight="1" x14ac:dyDescent="0.2">
      <c r="H158" s="19" t="s">
        <v>1979</v>
      </c>
      <c r="J158" s="110" t="str">
        <f t="shared" si="4"/>
        <v/>
      </c>
      <c r="L158" s="110" t="str">
        <f t="shared" si="5"/>
        <v/>
      </c>
    </row>
    <row r="159" spans="8:12" ht="14.25" customHeight="1" x14ac:dyDescent="0.2">
      <c r="H159" s="19" t="s">
        <v>1979</v>
      </c>
      <c r="J159" s="110" t="str">
        <f t="shared" si="4"/>
        <v/>
      </c>
      <c r="L159" s="110" t="str">
        <f t="shared" si="5"/>
        <v/>
      </c>
    </row>
    <row r="160" spans="8:12" ht="14.25" customHeight="1" x14ac:dyDescent="0.2">
      <c r="H160" s="19" t="s">
        <v>1979</v>
      </c>
      <c r="J160" s="110" t="str">
        <f t="shared" si="4"/>
        <v/>
      </c>
      <c r="L160" s="110" t="str">
        <f t="shared" si="5"/>
        <v/>
      </c>
    </row>
    <row r="161" spans="8:12" ht="14.25" customHeight="1" x14ac:dyDescent="0.2">
      <c r="H161" s="19" t="s">
        <v>1979</v>
      </c>
      <c r="J161" s="110" t="str">
        <f t="shared" si="4"/>
        <v/>
      </c>
      <c r="L161" s="110" t="str">
        <f t="shared" si="5"/>
        <v/>
      </c>
    </row>
    <row r="162" spans="8:12" ht="14.25" customHeight="1" x14ac:dyDescent="0.2">
      <c r="H162" s="19" t="s">
        <v>1979</v>
      </c>
      <c r="J162" s="110" t="str">
        <f t="shared" si="4"/>
        <v/>
      </c>
      <c r="L162" s="110" t="str">
        <f t="shared" si="5"/>
        <v/>
      </c>
    </row>
    <row r="163" spans="8:12" ht="14.25" customHeight="1" x14ac:dyDescent="0.2">
      <c r="H163" s="19" t="s">
        <v>1979</v>
      </c>
      <c r="J163" s="110" t="str">
        <f t="shared" si="4"/>
        <v/>
      </c>
      <c r="L163" s="110" t="str">
        <f t="shared" si="5"/>
        <v/>
      </c>
    </row>
    <row r="164" spans="8:12" ht="14.25" customHeight="1" x14ac:dyDescent="0.2">
      <c r="H164" s="19" t="s">
        <v>1979</v>
      </c>
      <c r="J164" s="110" t="str">
        <f t="shared" si="4"/>
        <v/>
      </c>
      <c r="L164" s="110" t="str">
        <f t="shared" si="5"/>
        <v/>
      </c>
    </row>
    <row r="165" spans="8:12" ht="14.25" customHeight="1" x14ac:dyDescent="0.2">
      <c r="H165" s="19" t="s">
        <v>1979</v>
      </c>
      <c r="J165" s="110" t="str">
        <f t="shared" si="4"/>
        <v/>
      </c>
      <c r="L165" s="110" t="str">
        <f t="shared" si="5"/>
        <v/>
      </c>
    </row>
    <row r="166" spans="8:12" ht="14.25" customHeight="1" x14ac:dyDescent="0.2">
      <c r="H166" s="19" t="s">
        <v>1979</v>
      </c>
      <c r="J166" s="110" t="str">
        <f t="shared" si="4"/>
        <v/>
      </c>
      <c r="L166" s="110" t="str">
        <f t="shared" si="5"/>
        <v/>
      </c>
    </row>
    <row r="167" spans="8:12" ht="14.25" customHeight="1" x14ac:dyDescent="0.2">
      <c r="H167" s="19" t="s">
        <v>1979</v>
      </c>
      <c r="J167" s="110" t="str">
        <f t="shared" si="4"/>
        <v/>
      </c>
      <c r="L167" s="110" t="str">
        <f t="shared" si="5"/>
        <v/>
      </c>
    </row>
    <row r="168" spans="8:12" ht="14.25" customHeight="1" x14ac:dyDescent="0.2">
      <c r="H168" s="19" t="s">
        <v>1979</v>
      </c>
      <c r="J168" s="110" t="str">
        <f t="shared" si="4"/>
        <v/>
      </c>
      <c r="L168" s="110" t="str">
        <f t="shared" si="5"/>
        <v/>
      </c>
    </row>
    <row r="169" spans="8:12" ht="14.25" customHeight="1" x14ac:dyDescent="0.2">
      <c r="H169" s="19" t="s">
        <v>1979</v>
      </c>
      <c r="J169" s="110" t="str">
        <f t="shared" si="4"/>
        <v/>
      </c>
      <c r="L169" s="110" t="str">
        <f t="shared" si="5"/>
        <v/>
      </c>
    </row>
    <row r="170" spans="8:12" ht="14.25" customHeight="1" x14ac:dyDescent="0.2">
      <c r="H170" s="19" t="s">
        <v>1979</v>
      </c>
      <c r="J170" s="110" t="str">
        <f t="shared" si="4"/>
        <v/>
      </c>
      <c r="L170" s="110" t="str">
        <f t="shared" si="5"/>
        <v/>
      </c>
    </row>
    <row r="171" spans="8:12" ht="14.25" customHeight="1" x14ac:dyDescent="0.2">
      <c r="H171" s="19" t="s">
        <v>1979</v>
      </c>
      <c r="J171" s="110" t="str">
        <f t="shared" si="4"/>
        <v/>
      </c>
      <c r="L171" s="110" t="str">
        <f t="shared" si="5"/>
        <v/>
      </c>
    </row>
    <row r="172" spans="8:12" ht="14.25" customHeight="1" x14ac:dyDescent="0.2">
      <c r="H172" s="19" t="s">
        <v>1979</v>
      </c>
      <c r="J172" s="110" t="str">
        <f t="shared" si="4"/>
        <v/>
      </c>
      <c r="L172" s="110" t="str">
        <f t="shared" si="5"/>
        <v/>
      </c>
    </row>
    <row r="173" spans="8:12" ht="14.25" customHeight="1" x14ac:dyDescent="0.2">
      <c r="H173" s="19" t="s">
        <v>1979</v>
      </c>
      <c r="J173" s="110" t="str">
        <f t="shared" si="4"/>
        <v/>
      </c>
      <c r="L173" s="110" t="str">
        <f t="shared" si="5"/>
        <v/>
      </c>
    </row>
    <row r="174" spans="8:12" ht="14.25" customHeight="1" x14ac:dyDescent="0.2">
      <c r="H174" s="19" t="s">
        <v>1979</v>
      </c>
      <c r="J174" s="110" t="str">
        <f t="shared" si="4"/>
        <v/>
      </c>
      <c r="L174" s="110" t="str">
        <f t="shared" si="5"/>
        <v/>
      </c>
    </row>
    <row r="175" spans="8:12" ht="14.25" customHeight="1" x14ac:dyDescent="0.2">
      <c r="H175" s="19" t="s">
        <v>1979</v>
      </c>
      <c r="J175" s="110" t="str">
        <f t="shared" si="4"/>
        <v/>
      </c>
      <c r="L175" s="110" t="str">
        <f t="shared" si="5"/>
        <v/>
      </c>
    </row>
    <row r="176" spans="8:12" ht="14.25" customHeight="1" x14ac:dyDescent="0.2">
      <c r="H176" s="19" t="s">
        <v>1979</v>
      </c>
      <c r="J176" s="110" t="str">
        <f t="shared" si="4"/>
        <v/>
      </c>
      <c r="L176" s="110" t="str">
        <f t="shared" si="5"/>
        <v/>
      </c>
    </row>
    <row r="177" spans="8:12" ht="14.25" customHeight="1" x14ac:dyDescent="0.2">
      <c r="H177" s="19" t="s">
        <v>1979</v>
      </c>
      <c r="J177" s="110" t="str">
        <f t="shared" si="4"/>
        <v/>
      </c>
      <c r="L177" s="110" t="str">
        <f t="shared" si="5"/>
        <v/>
      </c>
    </row>
    <row r="178" spans="8:12" ht="14.25" customHeight="1" x14ac:dyDescent="0.2">
      <c r="H178" s="19" t="s">
        <v>1979</v>
      </c>
      <c r="J178" s="110" t="str">
        <f t="shared" si="4"/>
        <v/>
      </c>
      <c r="L178" s="110" t="str">
        <f t="shared" si="5"/>
        <v/>
      </c>
    </row>
    <row r="179" spans="8:12" ht="14.25" customHeight="1" x14ac:dyDescent="0.2">
      <c r="H179" s="19" t="s">
        <v>1979</v>
      </c>
      <c r="J179" s="110" t="str">
        <f t="shared" si="4"/>
        <v/>
      </c>
      <c r="L179" s="110" t="str">
        <f t="shared" si="5"/>
        <v/>
      </c>
    </row>
    <row r="180" spans="8:12" ht="14.25" customHeight="1" x14ac:dyDescent="0.2">
      <c r="H180" s="19" t="s">
        <v>1979</v>
      </c>
      <c r="J180" s="110" t="str">
        <f t="shared" si="4"/>
        <v/>
      </c>
      <c r="L180" s="110" t="str">
        <f t="shared" si="5"/>
        <v/>
      </c>
    </row>
    <row r="181" spans="8:12" ht="14.25" customHeight="1" x14ac:dyDescent="0.2">
      <c r="H181" s="19" t="s">
        <v>1979</v>
      </c>
      <c r="J181" s="110" t="str">
        <f t="shared" si="4"/>
        <v/>
      </c>
      <c r="L181" s="110" t="str">
        <f t="shared" si="5"/>
        <v/>
      </c>
    </row>
    <row r="182" spans="8:12" ht="14.25" customHeight="1" x14ac:dyDescent="0.2">
      <c r="H182" s="19" t="s">
        <v>1979</v>
      </c>
      <c r="J182" s="110" t="str">
        <f t="shared" si="4"/>
        <v/>
      </c>
      <c r="L182" s="110" t="str">
        <f t="shared" si="5"/>
        <v/>
      </c>
    </row>
    <row r="183" spans="8:12" ht="14.25" customHeight="1" x14ac:dyDescent="0.2">
      <c r="H183" s="19" t="s">
        <v>1979</v>
      </c>
      <c r="J183" s="110" t="str">
        <f t="shared" si="4"/>
        <v/>
      </c>
      <c r="L183" s="110" t="str">
        <f t="shared" si="5"/>
        <v/>
      </c>
    </row>
    <row r="184" spans="8:12" ht="14.25" customHeight="1" x14ac:dyDescent="0.2">
      <c r="H184" s="19" t="s">
        <v>1979</v>
      </c>
      <c r="J184" s="110" t="str">
        <f t="shared" si="4"/>
        <v/>
      </c>
      <c r="L184" s="110" t="str">
        <f t="shared" si="5"/>
        <v/>
      </c>
    </row>
    <row r="185" spans="8:12" ht="14.25" customHeight="1" x14ac:dyDescent="0.2">
      <c r="H185" s="19" t="s">
        <v>1979</v>
      </c>
      <c r="J185" s="110" t="str">
        <f t="shared" si="4"/>
        <v/>
      </c>
      <c r="L185" s="110" t="str">
        <f t="shared" si="5"/>
        <v/>
      </c>
    </row>
    <row r="186" spans="8:12" ht="14.25" customHeight="1" x14ac:dyDescent="0.2">
      <c r="H186" s="19" t="s">
        <v>1979</v>
      </c>
      <c r="J186" s="110" t="str">
        <f t="shared" si="4"/>
        <v/>
      </c>
      <c r="L186" s="110" t="str">
        <f t="shared" si="5"/>
        <v/>
      </c>
    </row>
    <row r="187" spans="8:12" ht="14.25" customHeight="1" x14ac:dyDescent="0.2">
      <c r="H187" s="19" t="s">
        <v>1979</v>
      </c>
      <c r="J187" s="110" t="str">
        <f t="shared" si="4"/>
        <v/>
      </c>
      <c r="L187" s="110" t="str">
        <f t="shared" si="5"/>
        <v/>
      </c>
    </row>
    <row r="188" spans="8:12" ht="14.25" customHeight="1" x14ac:dyDescent="0.2">
      <c r="H188" s="19" t="s">
        <v>1979</v>
      </c>
      <c r="J188" s="110" t="str">
        <f t="shared" si="4"/>
        <v/>
      </c>
      <c r="L188" s="110" t="str">
        <f t="shared" si="5"/>
        <v/>
      </c>
    </row>
    <row r="189" spans="8:12" ht="14.25" customHeight="1" x14ac:dyDescent="0.2">
      <c r="H189" s="19" t="s">
        <v>1979</v>
      </c>
      <c r="J189" s="110" t="str">
        <f t="shared" si="4"/>
        <v/>
      </c>
      <c r="L189" s="110" t="str">
        <f t="shared" si="5"/>
        <v/>
      </c>
    </row>
    <row r="190" spans="8:12" ht="14.25" customHeight="1" x14ac:dyDescent="0.2">
      <c r="H190" s="19" t="s">
        <v>1979</v>
      </c>
      <c r="J190" s="110" t="str">
        <f t="shared" si="4"/>
        <v/>
      </c>
      <c r="L190" s="110" t="str">
        <f t="shared" si="5"/>
        <v/>
      </c>
    </row>
    <row r="191" spans="8:12" ht="14.25" customHeight="1" x14ac:dyDescent="0.2">
      <c r="H191" s="19" t="s">
        <v>1979</v>
      </c>
      <c r="J191" s="110" t="str">
        <f t="shared" si="4"/>
        <v/>
      </c>
      <c r="L191" s="110" t="str">
        <f t="shared" si="5"/>
        <v/>
      </c>
    </row>
    <row r="192" spans="8:12" ht="14.25" customHeight="1" x14ac:dyDescent="0.2">
      <c r="H192" s="19" t="s">
        <v>1979</v>
      </c>
      <c r="J192" s="110" t="str">
        <f t="shared" si="4"/>
        <v/>
      </c>
      <c r="L192" s="110" t="str">
        <f t="shared" si="5"/>
        <v/>
      </c>
    </row>
    <row r="193" spans="8:12" ht="14.25" customHeight="1" x14ac:dyDescent="0.2">
      <c r="H193" s="19" t="s">
        <v>1979</v>
      </c>
      <c r="J193" s="110" t="str">
        <f t="shared" si="4"/>
        <v/>
      </c>
      <c r="L193" s="110" t="str">
        <f t="shared" si="5"/>
        <v/>
      </c>
    </row>
    <row r="194" spans="8:12" ht="14.25" customHeight="1" x14ac:dyDescent="0.2">
      <c r="H194" s="19" t="s">
        <v>1979</v>
      </c>
      <c r="J194" s="110" t="str">
        <f t="shared" si="4"/>
        <v/>
      </c>
      <c r="L194" s="110" t="str">
        <f t="shared" si="5"/>
        <v/>
      </c>
    </row>
    <row r="195" spans="8:12" ht="14.25" customHeight="1" x14ac:dyDescent="0.2">
      <c r="H195" s="19" t="s">
        <v>1979</v>
      </c>
      <c r="J195" s="110" t="str">
        <f t="shared" ref="J195:J258" si="6">IF(K195="","", K195/PI())</f>
        <v/>
      </c>
      <c r="L195" s="110" t="str">
        <f t="shared" ref="L195:L258" si="7">IF(OR(P195="", N195="", O195=""), "", TAN(P195*PI()/180)*N195 +O195)</f>
        <v/>
      </c>
    </row>
    <row r="196" spans="8:12" ht="14.25" customHeight="1" x14ac:dyDescent="0.2">
      <c r="H196" s="19" t="s">
        <v>1979</v>
      </c>
      <c r="J196" s="110" t="str">
        <f t="shared" si="6"/>
        <v/>
      </c>
      <c r="L196" s="110" t="str">
        <f t="shared" si="7"/>
        <v/>
      </c>
    </row>
    <row r="197" spans="8:12" ht="14.25" customHeight="1" x14ac:dyDescent="0.2">
      <c r="H197" s="19" t="s">
        <v>1979</v>
      </c>
      <c r="J197" s="110" t="str">
        <f t="shared" si="6"/>
        <v/>
      </c>
      <c r="L197" s="110" t="str">
        <f t="shared" si="7"/>
        <v/>
      </c>
    </row>
    <row r="198" spans="8:12" ht="14.25" customHeight="1" x14ac:dyDescent="0.2">
      <c r="H198" s="19" t="s">
        <v>1979</v>
      </c>
      <c r="J198" s="110" t="str">
        <f t="shared" si="6"/>
        <v/>
      </c>
      <c r="L198" s="110" t="str">
        <f t="shared" si="7"/>
        <v/>
      </c>
    </row>
    <row r="199" spans="8:12" ht="14.25" customHeight="1" x14ac:dyDescent="0.2">
      <c r="H199" s="19" t="s">
        <v>1979</v>
      </c>
      <c r="J199" s="110" t="str">
        <f t="shared" si="6"/>
        <v/>
      </c>
      <c r="L199" s="110" t="str">
        <f t="shared" si="7"/>
        <v/>
      </c>
    </row>
    <row r="200" spans="8:12" ht="14.25" customHeight="1" x14ac:dyDescent="0.2">
      <c r="H200" s="19" t="s">
        <v>1979</v>
      </c>
      <c r="J200" s="110" t="str">
        <f t="shared" si="6"/>
        <v/>
      </c>
      <c r="L200" s="110" t="str">
        <f t="shared" si="7"/>
        <v/>
      </c>
    </row>
    <row r="201" spans="8:12" ht="14.25" customHeight="1" x14ac:dyDescent="0.2">
      <c r="H201" s="19" t="s">
        <v>1979</v>
      </c>
      <c r="J201" s="110" t="str">
        <f t="shared" si="6"/>
        <v/>
      </c>
      <c r="L201" s="110" t="str">
        <f t="shared" si="7"/>
        <v/>
      </c>
    </row>
    <row r="202" spans="8:12" ht="14.25" customHeight="1" x14ac:dyDescent="0.2">
      <c r="H202" s="19" t="s">
        <v>1979</v>
      </c>
      <c r="J202" s="110" t="str">
        <f t="shared" si="6"/>
        <v/>
      </c>
      <c r="L202" s="110" t="str">
        <f t="shared" si="7"/>
        <v/>
      </c>
    </row>
    <row r="203" spans="8:12" ht="14.25" customHeight="1" x14ac:dyDescent="0.2">
      <c r="H203" s="19" t="s">
        <v>1979</v>
      </c>
      <c r="J203" s="110" t="str">
        <f t="shared" si="6"/>
        <v/>
      </c>
      <c r="L203" s="110" t="str">
        <f t="shared" si="7"/>
        <v/>
      </c>
    </row>
    <row r="204" spans="8:12" ht="14.25" customHeight="1" x14ac:dyDescent="0.2">
      <c r="H204" s="19" t="s">
        <v>1979</v>
      </c>
      <c r="J204" s="110" t="str">
        <f t="shared" si="6"/>
        <v/>
      </c>
      <c r="L204" s="110" t="str">
        <f t="shared" si="7"/>
        <v/>
      </c>
    </row>
    <row r="205" spans="8:12" ht="14.25" customHeight="1" x14ac:dyDescent="0.2">
      <c r="H205" s="19" t="s">
        <v>1979</v>
      </c>
      <c r="J205" s="110" t="str">
        <f t="shared" si="6"/>
        <v/>
      </c>
      <c r="L205" s="110" t="str">
        <f t="shared" si="7"/>
        <v/>
      </c>
    </row>
    <row r="206" spans="8:12" ht="14.25" customHeight="1" x14ac:dyDescent="0.2">
      <c r="H206" s="19" t="s">
        <v>1979</v>
      </c>
      <c r="J206" s="110" t="str">
        <f t="shared" si="6"/>
        <v/>
      </c>
      <c r="L206" s="110" t="str">
        <f t="shared" si="7"/>
        <v/>
      </c>
    </row>
    <row r="207" spans="8:12" ht="14.25" customHeight="1" x14ac:dyDescent="0.2">
      <c r="H207" s="19" t="s">
        <v>1979</v>
      </c>
      <c r="J207" s="110" t="str">
        <f t="shared" si="6"/>
        <v/>
      </c>
      <c r="L207" s="110" t="str">
        <f t="shared" si="7"/>
        <v/>
      </c>
    </row>
    <row r="208" spans="8:12" ht="14.25" customHeight="1" x14ac:dyDescent="0.2">
      <c r="H208" s="19" t="s">
        <v>1979</v>
      </c>
      <c r="J208" s="110" t="str">
        <f t="shared" si="6"/>
        <v/>
      </c>
      <c r="L208" s="110" t="str">
        <f t="shared" si="7"/>
        <v/>
      </c>
    </row>
    <row r="209" spans="8:12" ht="14.25" customHeight="1" x14ac:dyDescent="0.2">
      <c r="H209" s="19" t="s">
        <v>1979</v>
      </c>
      <c r="J209" s="110" t="str">
        <f t="shared" si="6"/>
        <v/>
      </c>
      <c r="L209" s="110" t="str">
        <f t="shared" si="7"/>
        <v/>
      </c>
    </row>
    <row r="210" spans="8:12" ht="14.25" customHeight="1" x14ac:dyDescent="0.2">
      <c r="H210" s="19" t="s">
        <v>1979</v>
      </c>
      <c r="J210" s="110" t="str">
        <f t="shared" si="6"/>
        <v/>
      </c>
      <c r="L210" s="110" t="str">
        <f t="shared" si="7"/>
        <v/>
      </c>
    </row>
    <row r="211" spans="8:12" ht="14.25" customHeight="1" x14ac:dyDescent="0.2">
      <c r="H211" s="19" t="s">
        <v>1979</v>
      </c>
      <c r="J211" s="110" t="str">
        <f t="shared" si="6"/>
        <v/>
      </c>
      <c r="L211" s="110" t="str">
        <f t="shared" si="7"/>
        <v/>
      </c>
    </row>
    <row r="212" spans="8:12" ht="14.25" customHeight="1" x14ac:dyDescent="0.2">
      <c r="H212" s="19" t="s">
        <v>1979</v>
      </c>
      <c r="J212" s="110" t="str">
        <f t="shared" si="6"/>
        <v/>
      </c>
      <c r="L212" s="110" t="str">
        <f t="shared" si="7"/>
        <v/>
      </c>
    </row>
    <row r="213" spans="8:12" ht="14.25" customHeight="1" x14ac:dyDescent="0.2">
      <c r="H213" s="19" t="s">
        <v>1979</v>
      </c>
      <c r="J213" s="110" t="str">
        <f t="shared" si="6"/>
        <v/>
      </c>
      <c r="L213" s="110" t="str">
        <f t="shared" si="7"/>
        <v/>
      </c>
    </row>
    <row r="214" spans="8:12" ht="14.25" customHeight="1" x14ac:dyDescent="0.2">
      <c r="H214" s="19" t="s">
        <v>1979</v>
      </c>
      <c r="J214" s="110" t="str">
        <f t="shared" si="6"/>
        <v/>
      </c>
      <c r="L214" s="110" t="str">
        <f t="shared" si="7"/>
        <v/>
      </c>
    </row>
    <row r="215" spans="8:12" ht="14.25" customHeight="1" x14ac:dyDescent="0.2">
      <c r="H215" s="19" t="s">
        <v>1979</v>
      </c>
      <c r="J215" s="110" t="str">
        <f t="shared" si="6"/>
        <v/>
      </c>
      <c r="L215" s="110" t="str">
        <f t="shared" si="7"/>
        <v/>
      </c>
    </row>
    <row r="216" spans="8:12" ht="14.25" customHeight="1" x14ac:dyDescent="0.2">
      <c r="H216" s="19" t="s">
        <v>1979</v>
      </c>
      <c r="J216" s="110" t="str">
        <f t="shared" si="6"/>
        <v/>
      </c>
      <c r="L216" s="110" t="str">
        <f t="shared" si="7"/>
        <v/>
      </c>
    </row>
    <row r="217" spans="8:12" ht="14.25" customHeight="1" x14ac:dyDescent="0.2">
      <c r="H217" s="19" t="s">
        <v>1979</v>
      </c>
      <c r="J217" s="110" t="str">
        <f t="shared" si="6"/>
        <v/>
      </c>
      <c r="L217" s="110" t="str">
        <f t="shared" si="7"/>
        <v/>
      </c>
    </row>
    <row r="218" spans="8:12" ht="14.25" customHeight="1" x14ac:dyDescent="0.2">
      <c r="H218" s="19" t="s">
        <v>1979</v>
      </c>
      <c r="J218" s="110" t="str">
        <f t="shared" si="6"/>
        <v/>
      </c>
      <c r="L218" s="110" t="str">
        <f t="shared" si="7"/>
        <v/>
      </c>
    </row>
    <row r="219" spans="8:12" ht="14.25" customHeight="1" x14ac:dyDescent="0.2">
      <c r="H219" s="19" t="s">
        <v>1979</v>
      </c>
      <c r="J219" s="110" t="str">
        <f t="shared" si="6"/>
        <v/>
      </c>
      <c r="L219" s="110" t="str">
        <f t="shared" si="7"/>
        <v/>
      </c>
    </row>
    <row r="220" spans="8:12" ht="14.25" customHeight="1" x14ac:dyDescent="0.2">
      <c r="H220" s="19" t="s">
        <v>1979</v>
      </c>
      <c r="J220" s="110" t="str">
        <f t="shared" si="6"/>
        <v/>
      </c>
      <c r="L220" s="110" t="str">
        <f t="shared" si="7"/>
        <v/>
      </c>
    </row>
    <row r="221" spans="8:12" ht="14.25" customHeight="1" x14ac:dyDescent="0.2">
      <c r="H221" s="19" t="s">
        <v>1979</v>
      </c>
      <c r="J221" s="110" t="str">
        <f t="shared" si="6"/>
        <v/>
      </c>
      <c r="L221" s="110" t="str">
        <f t="shared" si="7"/>
        <v/>
      </c>
    </row>
    <row r="222" spans="8:12" ht="14.25" customHeight="1" x14ac:dyDescent="0.2">
      <c r="H222" s="19" t="s">
        <v>1979</v>
      </c>
      <c r="J222" s="110" t="str">
        <f t="shared" si="6"/>
        <v/>
      </c>
      <c r="L222" s="110" t="str">
        <f t="shared" si="7"/>
        <v/>
      </c>
    </row>
    <row r="223" spans="8:12" ht="14.25" customHeight="1" x14ac:dyDescent="0.2">
      <c r="H223" s="19" t="s">
        <v>1979</v>
      </c>
      <c r="J223" s="110" t="str">
        <f t="shared" si="6"/>
        <v/>
      </c>
      <c r="L223" s="110" t="str">
        <f t="shared" si="7"/>
        <v/>
      </c>
    </row>
    <row r="224" spans="8:12" ht="14.25" customHeight="1" x14ac:dyDescent="0.2">
      <c r="H224" s="19" t="s">
        <v>1979</v>
      </c>
      <c r="J224" s="110" t="str">
        <f t="shared" si="6"/>
        <v/>
      </c>
      <c r="L224" s="110" t="str">
        <f t="shared" si="7"/>
        <v/>
      </c>
    </row>
    <row r="225" spans="8:12" ht="14.25" customHeight="1" x14ac:dyDescent="0.2">
      <c r="H225" s="19" t="s">
        <v>1979</v>
      </c>
      <c r="J225" s="110" t="str">
        <f t="shared" si="6"/>
        <v/>
      </c>
      <c r="L225" s="110" t="str">
        <f t="shared" si="7"/>
        <v/>
      </c>
    </row>
    <row r="226" spans="8:12" ht="14.25" customHeight="1" x14ac:dyDescent="0.2">
      <c r="H226" s="19" t="s">
        <v>1979</v>
      </c>
      <c r="J226" s="110" t="str">
        <f t="shared" si="6"/>
        <v/>
      </c>
      <c r="L226" s="110" t="str">
        <f t="shared" si="7"/>
        <v/>
      </c>
    </row>
    <row r="227" spans="8:12" ht="14.25" customHeight="1" x14ac:dyDescent="0.2">
      <c r="H227" s="19" t="s">
        <v>1979</v>
      </c>
      <c r="J227" s="110" t="str">
        <f t="shared" si="6"/>
        <v/>
      </c>
      <c r="L227" s="110" t="str">
        <f t="shared" si="7"/>
        <v/>
      </c>
    </row>
    <row r="228" spans="8:12" ht="14.25" customHeight="1" x14ac:dyDescent="0.2">
      <c r="H228" s="19" t="s">
        <v>1979</v>
      </c>
      <c r="J228" s="110" t="str">
        <f t="shared" si="6"/>
        <v/>
      </c>
      <c r="L228" s="110" t="str">
        <f t="shared" si="7"/>
        <v/>
      </c>
    </row>
    <row r="229" spans="8:12" ht="14.25" customHeight="1" x14ac:dyDescent="0.2">
      <c r="H229" s="19" t="s">
        <v>1979</v>
      </c>
      <c r="J229" s="110" t="str">
        <f t="shared" si="6"/>
        <v/>
      </c>
      <c r="L229" s="110" t="str">
        <f t="shared" si="7"/>
        <v/>
      </c>
    </row>
    <row r="230" spans="8:12" ht="14.25" customHeight="1" x14ac:dyDescent="0.2">
      <c r="H230" s="19" t="s">
        <v>1979</v>
      </c>
      <c r="J230" s="110" t="str">
        <f t="shared" si="6"/>
        <v/>
      </c>
      <c r="L230" s="110" t="str">
        <f t="shared" si="7"/>
        <v/>
      </c>
    </row>
    <row r="231" spans="8:12" ht="14.25" customHeight="1" x14ac:dyDescent="0.2">
      <c r="H231" s="19" t="s">
        <v>1979</v>
      </c>
      <c r="J231" s="110" t="str">
        <f t="shared" si="6"/>
        <v/>
      </c>
      <c r="L231" s="110" t="str">
        <f t="shared" si="7"/>
        <v/>
      </c>
    </row>
    <row r="232" spans="8:12" ht="14.25" customHeight="1" x14ac:dyDescent="0.2">
      <c r="H232" s="19" t="s">
        <v>1979</v>
      </c>
      <c r="J232" s="110" t="str">
        <f t="shared" si="6"/>
        <v/>
      </c>
      <c r="L232" s="110" t="str">
        <f t="shared" si="7"/>
        <v/>
      </c>
    </row>
    <row r="233" spans="8:12" ht="14.25" customHeight="1" x14ac:dyDescent="0.2">
      <c r="H233" s="19" t="s">
        <v>1979</v>
      </c>
      <c r="J233" s="110" t="str">
        <f t="shared" si="6"/>
        <v/>
      </c>
      <c r="L233" s="110" t="str">
        <f t="shared" si="7"/>
        <v/>
      </c>
    </row>
    <row r="234" spans="8:12" ht="14.25" customHeight="1" x14ac:dyDescent="0.2">
      <c r="H234" s="19" t="s">
        <v>1979</v>
      </c>
      <c r="J234" s="110" t="str">
        <f t="shared" si="6"/>
        <v/>
      </c>
      <c r="L234" s="110" t="str">
        <f t="shared" si="7"/>
        <v/>
      </c>
    </row>
    <row r="235" spans="8:12" ht="14.25" customHeight="1" x14ac:dyDescent="0.2">
      <c r="H235" s="19" t="s">
        <v>1979</v>
      </c>
      <c r="J235" s="110" t="str">
        <f t="shared" si="6"/>
        <v/>
      </c>
      <c r="L235" s="110" t="str">
        <f t="shared" si="7"/>
        <v/>
      </c>
    </row>
    <row r="236" spans="8:12" ht="14.25" customHeight="1" x14ac:dyDescent="0.2">
      <c r="H236" s="19" t="s">
        <v>1979</v>
      </c>
      <c r="J236" s="110" t="str">
        <f t="shared" si="6"/>
        <v/>
      </c>
      <c r="L236" s="110" t="str">
        <f t="shared" si="7"/>
        <v/>
      </c>
    </row>
    <row r="237" spans="8:12" ht="14.25" customHeight="1" x14ac:dyDescent="0.2">
      <c r="H237" s="19" t="s">
        <v>1979</v>
      </c>
      <c r="J237" s="110" t="str">
        <f t="shared" si="6"/>
        <v/>
      </c>
      <c r="L237" s="110" t="str">
        <f t="shared" si="7"/>
        <v/>
      </c>
    </row>
    <row r="238" spans="8:12" ht="14.25" customHeight="1" x14ac:dyDescent="0.2">
      <c r="H238" s="19" t="s">
        <v>1979</v>
      </c>
      <c r="J238" s="110" t="str">
        <f t="shared" si="6"/>
        <v/>
      </c>
      <c r="L238" s="110" t="str">
        <f t="shared" si="7"/>
        <v/>
      </c>
    </row>
    <row r="239" spans="8:12" ht="14.25" customHeight="1" x14ac:dyDescent="0.2">
      <c r="H239" s="19" t="s">
        <v>1979</v>
      </c>
      <c r="J239" s="110" t="str">
        <f t="shared" si="6"/>
        <v/>
      </c>
      <c r="L239" s="110" t="str">
        <f t="shared" si="7"/>
        <v/>
      </c>
    </row>
    <row r="240" spans="8:12" ht="14.25" customHeight="1" x14ac:dyDescent="0.2">
      <c r="H240" s="19" t="s">
        <v>1979</v>
      </c>
      <c r="J240" s="110" t="str">
        <f t="shared" si="6"/>
        <v/>
      </c>
      <c r="L240" s="110" t="str">
        <f t="shared" si="7"/>
        <v/>
      </c>
    </row>
    <row r="241" spans="8:12" ht="14.25" customHeight="1" x14ac:dyDescent="0.2">
      <c r="H241" s="19" t="s">
        <v>1979</v>
      </c>
      <c r="J241" s="110" t="str">
        <f t="shared" si="6"/>
        <v/>
      </c>
      <c r="L241" s="110" t="str">
        <f t="shared" si="7"/>
        <v/>
      </c>
    </row>
    <row r="242" spans="8:12" ht="14.25" customHeight="1" x14ac:dyDescent="0.2">
      <c r="H242" s="19" t="s">
        <v>1979</v>
      </c>
      <c r="J242" s="110" t="str">
        <f t="shared" si="6"/>
        <v/>
      </c>
      <c r="L242" s="110" t="str">
        <f t="shared" si="7"/>
        <v/>
      </c>
    </row>
    <row r="243" spans="8:12" ht="14.25" customHeight="1" x14ac:dyDescent="0.2">
      <c r="H243" s="19" t="s">
        <v>1979</v>
      </c>
      <c r="J243" s="110" t="str">
        <f t="shared" si="6"/>
        <v/>
      </c>
      <c r="L243" s="110" t="str">
        <f t="shared" si="7"/>
        <v/>
      </c>
    </row>
    <row r="244" spans="8:12" ht="14.25" customHeight="1" x14ac:dyDescent="0.2">
      <c r="H244" s="19" t="s">
        <v>1979</v>
      </c>
      <c r="J244" s="110" t="str">
        <f t="shared" si="6"/>
        <v/>
      </c>
      <c r="L244" s="110" t="str">
        <f t="shared" si="7"/>
        <v/>
      </c>
    </row>
    <row r="245" spans="8:12" ht="14.25" customHeight="1" x14ac:dyDescent="0.2">
      <c r="H245" s="19" t="s">
        <v>1979</v>
      </c>
      <c r="J245" s="110" t="str">
        <f t="shared" si="6"/>
        <v/>
      </c>
      <c r="L245" s="110" t="str">
        <f t="shared" si="7"/>
        <v/>
      </c>
    </row>
    <row r="246" spans="8:12" ht="14.25" customHeight="1" x14ac:dyDescent="0.2">
      <c r="H246" s="19" t="s">
        <v>1979</v>
      </c>
      <c r="J246" s="110" t="str">
        <f t="shared" si="6"/>
        <v/>
      </c>
      <c r="L246" s="110" t="str">
        <f t="shared" si="7"/>
        <v/>
      </c>
    </row>
    <row r="247" spans="8:12" ht="14.25" customHeight="1" x14ac:dyDescent="0.2">
      <c r="H247" s="19" t="s">
        <v>1979</v>
      </c>
      <c r="J247" s="110" t="str">
        <f t="shared" si="6"/>
        <v/>
      </c>
      <c r="L247" s="110" t="str">
        <f t="shared" si="7"/>
        <v/>
      </c>
    </row>
    <row r="248" spans="8:12" ht="14.25" customHeight="1" x14ac:dyDescent="0.2">
      <c r="H248" s="19" t="s">
        <v>1979</v>
      </c>
      <c r="J248" s="110" t="str">
        <f t="shared" si="6"/>
        <v/>
      </c>
      <c r="L248" s="110" t="str">
        <f t="shared" si="7"/>
        <v/>
      </c>
    </row>
    <row r="249" spans="8:12" ht="14.25" customHeight="1" x14ac:dyDescent="0.2">
      <c r="H249" s="19" t="s">
        <v>1979</v>
      </c>
      <c r="J249" s="110" t="str">
        <f t="shared" si="6"/>
        <v/>
      </c>
      <c r="L249" s="110" t="str">
        <f t="shared" si="7"/>
        <v/>
      </c>
    </row>
    <row r="250" spans="8:12" ht="14.25" customHeight="1" x14ac:dyDescent="0.2">
      <c r="H250" s="19" t="s">
        <v>1979</v>
      </c>
      <c r="J250" s="110" t="str">
        <f t="shared" si="6"/>
        <v/>
      </c>
      <c r="L250" s="110" t="str">
        <f t="shared" si="7"/>
        <v/>
      </c>
    </row>
    <row r="251" spans="8:12" ht="14.25" customHeight="1" x14ac:dyDescent="0.2">
      <c r="H251" s="19" t="s">
        <v>1979</v>
      </c>
      <c r="J251" s="110" t="str">
        <f t="shared" si="6"/>
        <v/>
      </c>
      <c r="L251" s="110" t="str">
        <f t="shared" si="7"/>
        <v/>
      </c>
    </row>
    <row r="252" spans="8:12" ht="14.25" customHeight="1" x14ac:dyDescent="0.2">
      <c r="H252" s="19" t="s">
        <v>1979</v>
      </c>
      <c r="J252" s="110" t="str">
        <f t="shared" si="6"/>
        <v/>
      </c>
      <c r="L252" s="110" t="str">
        <f t="shared" si="7"/>
        <v/>
      </c>
    </row>
    <row r="253" spans="8:12" ht="14.25" customHeight="1" x14ac:dyDescent="0.2">
      <c r="H253" s="19" t="s">
        <v>1979</v>
      </c>
      <c r="J253" s="110" t="str">
        <f t="shared" si="6"/>
        <v/>
      </c>
      <c r="L253" s="110" t="str">
        <f t="shared" si="7"/>
        <v/>
      </c>
    </row>
    <row r="254" spans="8:12" ht="14.25" customHeight="1" x14ac:dyDescent="0.2">
      <c r="H254" s="19" t="s">
        <v>1979</v>
      </c>
      <c r="J254" s="110" t="str">
        <f t="shared" si="6"/>
        <v/>
      </c>
      <c r="L254" s="110" t="str">
        <f t="shared" si="7"/>
        <v/>
      </c>
    </row>
    <row r="255" spans="8:12" ht="14.25" customHeight="1" x14ac:dyDescent="0.2">
      <c r="H255" s="19" t="s">
        <v>1979</v>
      </c>
      <c r="J255" s="110" t="str">
        <f t="shared" si="6"/>
        <v/>
      </c>
      <c r="L255" s="110" t="str">
        <f t="shared" si="7"/>
        <v/>
      </c>
    </row>
    <row r="256" spans="8:12" ht="14.25" customHeight="1" x14ac:dyDescent="0.2">
      <c r="H256" s="19" t="s">
        <v>1979</v>
      </c>
      <c r="J256" s="110" t="str">
        <f t="shared" si="6"/>
        <v/>
      </c>
      <c r="L256" s="110" t="str">
        <f t="shared" si="7"/>
        <v/>
      </c>
    </row>
    <row r="257" spans="8:12" ht="14.25" customHeight="1" x14ac:dyDescent="0.2">
      <c r="H257" s="19" t="s">
        <v>1979</v>
      </c>
      <c r="J257" s="110" t="str">
        <f t="shared" si="6"/>
        <v/>
      </c>
      <c r="L257" s="110" t="str">
        <f t="shared" si="7"/>
        <v/>
      </c>
    </row>
    <row r="258" spans="8:12" ht="14.25" customHeight="1" x14ac:dyDescent="0.2">
      <c r="H258" s="19" t="s">
        <v>1979</v>
      </c>
      <c r="J258" s="110" t="str">
        <f t="shared" si="6"/>
        <v/>
      </c>
      <c r="L258" s="110" t="str">
        <f t="shared" si="7"/>
        <v/>
      </c>
    </row>
    <row r="259" spans="8:12" ht="14.25" customHeight="1" x14ac:dyDescent="0.2">
      <c r="H259" s="19" t="s">
        <v>1979</v>
      </c>
      <c r="J259" s="110" t="str">
        <f t="shared" ref="J259:J322" si="8">IF(K259="","", K259/PI())</f>
        <v/>
      </c>
      <c r="L259" s="110" t="str">
        <f t="shared" ref="L259:L322" si="9">IF(OR(P259="", N259="", O259=""), "", TAN(P259*PI()/180)*N259 +O259)</f>
        <v/>
      </c>
    </row>
    <row r="260" spans="8:12" ht="14.25" customHeight="1" x14ac:dyDescent="0.2">
      <c r="H260" s="19" t="s">
        <v>1979</v>
      </c>
      <c r="J260" s="110" t="str">
        <f t="shared" si="8"/>
        <v/>
      </c>
      <c r="L260" s="110" t="str">
        <f t="shared" si="9"/>
        <v/>
      </c>
    </row>
    <row r="261" spans="8:12" ht="14.25" customHeight="1" x14ac:dyDescent="0.2">
      <c r="H261" s="19" t="s">
        <v>1979</v>
      </c>
      <c r="J261" s="110" t="str">
        <f t="shared" si="8"/>
        <v/>
      </c>
      <c r="L261" s="110" t="str">
        <f t="shared" si="9"/>
        <v/>
      </c>
    </row>
    <row r="262" spans="8:12" ht="14.25" customHeight="1" x14ac:dyDescent="0.2">
      <c r="H262" s="19" t="s">
        <v>1979</v>
      </c>
      <c r="J262" s="110" t="str">
        <f t="shared" si="8"/>
        <v/>
      </c>
      <c r="L262" s="110" t="str">
        <f t="shared" si="9"/>
        <v/>
      </c>
    </row>
    <row r="263" spans="8:12" ht="14.25" customHeight="1" x14ac:dyDescent="0.2">
      <c r="H263" s="19" t="s">
        <v>1979</v>
      </c>
      <c r="J263" s="110" t="str">
        <f t="shared" si="8"/>
        <v/>
      </c>
      <c r="L263" s="110" t="str">
        <f t="shared" si="9"/>
        <v/>
      </c>
    </row>
    <row r="264" spans="8:12" ht="14.25" customHeight="1" x14ac:dyDescent="0.2">
      <c r="H264" s="19" t="s">
        <v>1979</v>
      </c>
      <c r="J264" s="110" t="str">
        <f t="shared" si="8"/>
        <v/>
      </c>
      <c r="L264" s="110" t="str">
        <f t="shared" si="9"/>
        <v/>
      </c>
    </row>
    <row r="265" spans="8:12" ht="14.25" customHeight="1" x14ac:dyDescent="0.2">
      <c r="H265" s="19" t="s">
        <v>1979</v>
      </c>
      <c r="J265" s="110" t="str">
        <f t="shared" si="8"/>
        <v/>
      </c>
      <c r="L265" s="110" t="str">
        <f t="shared" si="9"/>
        <v/>
      </c>
    </row>
    <row r="266" spans="8:12" ht="14.25" customHeight="1" x14ac:dyDescent="0.2">
      <c r="H266" s="19" t="s">
        <v>1979</v>
      </c>
      <c r="J266" s="110" t="str">
        <f t="shared" si="8"/>
        <v/>
      </c>
      <c r="L266" s="110" t="str">
        <f t="shared" si="9"/>
        <v/>
      </c>
    </row>
    <row r="267" spans="8:12" ht="14.25" customHeight="1" x14ac:dyDescent="0.2">
      <c r="H267" s="19" t="s">
        <v>1979</v>
      </c>
      <c r="J267" s="110" t="str">
        <f t="shared" si="8"/>
        <v/>
      </c>
      <c r="L267" s="110" t="str">
        <f t="shared" si="9"/>
        <v/>
      </c>
    </row>
    <row r="268" spans="8:12" ht="14.25" customHeight="1" x14ac:dyDescent="0.2">
      <c r="H268" s="19" t="s">
        <v>1979</v>
      </c>
      <c r="J268" s="110" t="str">
        <f t="shared" si="8"/>
        <v/>
      </c>
      <c r="L268" s="110" t="str">
        <f t="shared" si="9"/>
        <v/>
      </c>
    </row>
    <row r="269" spans="8:12" ht="14.25" customHeight="1" x14ac:dyDescent="0.2">
      <c r="H269" s="19" t="s">
        <v>1979</v>
      </c>
      <c r="J269" s="110" t="str">
        <f t="shared" si="8"/>
        <v/>
      </c>
      <c r="L269" s="110" t="str">
        <f t="shared" si="9"/>
        <v/>
      </c>
    </row>
    <row r="270" spans="8:12" ht="14.25" customHeight="1" x14ac:dyDescent="0.2">
      <c r="H270" s="19" t="s">
        <v>1979</v>
      </c>
      <c r="J270" s="110" t="str">
        <f t="shared" si="8"/>
        <v/>
      </c>
      <c r="L270" s="110" t="str">
        <f t="shared" si="9"/>
        <v/>
      </c>
    </row>
    <row r="271" spans="8:12" ht="14.25" customHeight="1" x14ac:dyDescent="0.2">
      <c r="H271" s="19" t="s">
        <v>1979</v>
      </c>
      <c r="J271" s="110" t="str">
        <f t="shared" si="8"/>
        <v/>
      </c>
      <c r="L271" s="110" t="str">
        <f t="shared" si="9"/>
        <v/>
      </c>
    </row>
    <row r="272" spans="8:12" ht="14.25" customHeight="1" x14ac:dyDescent="0.2">
      <c r="H272" s="19" t="s">
        <v>1979</v>
      </c>
      <c r="J272" s="110" t="str">
        <f t="shared" si="8"/>
        <v/>
      </c>
      <c r="L272" s="110" t="str">
        <f t="shared" si="9"/>
        <v/>
      </c>
    </row>
    <row r="273" spans="8:12" ht="14.25" customHeight="1" x14ac:dyDescent="0.2">
      <c r="H273" s="19" t="s">
        <v>1979</v>
      </c>
      <c r="J273" s="110" t="str">
        <f t="shared" si="8"/>
        <v/>
      </c>
      <c r="L273" s="110" t="str">
        <f t="shared" si="9"/>
        <v/>
      </c>
    </row>
    <row r="274" spans="8:12" ht="14.25" customHeight="1" x14ac:dyDescent="0.2">
      <c r="H274" s="19" t="s">
        <v>1979</v>
      </c>
      <c r="J274" s="110" t="str">
        <f t="shared" si="8"/>
        <v/>
      </c>
      <c r="L274" s="110" t="str">
        <f t="shared" si="9"/>
        <v/>
      </c>
    </row>
    <row r="275" spans="8:12" ht="14.25" customHeight="1" x14ac:dyDescent="0.2">
      <c r="H275" s="19" t="s">
        <v>1979</v>
      </c>
      <c r="J275" s="110" t="str">
        <f t="shared" si="8"/>
        <v/>
      </c>
      <c r="L275" s="110" t="str">
        <f t="shared" si="9"/>
        <v/>
      </c>
    </row>
    <row r="276" spans="8:12" ht="14.25" customHeight="1" x14ac:dyDescent="0.2">
      <c r="H276" s="19" t="s">
        <v>1979</v>
      </c>
      <c r="J276" s="110" t="str">
        <f t="shared" si="8"/>
        <v/>
      </c>
      <c r="L276" s="110" t="str">
        <f t="shared" si="9"/>
        <v/>
      </c>
    </row>
    <row r="277" spans="8:12" ht="14.25" customHeight="1" x14ac:dyDescent="0.2">
      <c r="H277" s="19" t="s">
        <v>1979</v>
      </c>
      <c r="J277" s="110" t="str">
        <f t="shared" si="8"/>
        <v/>
      </c>
      <c r="L277" s="110" t="str">
        <f t="shared" si="9"/>
        <v/>
      </c>
    </row>
    <row r="278" spans="8:12" ht="14.25" customHeight="1" x14ac:dyDescent="0.2">
      <c r="H278" s="19" t="s">
        <v>1979</v>
      </c>
      <c r="J278" s="110" t="str">
        <f t="shared" si="8"/>
        <v/>
      </c>
      <c r="L278" s="110" t="str">
        <f t="shared" si="9"/>
        <v/>
      </c>
    </row>
    <row r="279" spans="8:12" ht="14.25" customHeight="1" x14ac:dyDescent="0.2">
      <c r="H279" s="19" t="s">
        <v>1979</v>
      </c>
      <c r="J279" s="110" t="str">
        <f t="shared" si="8"/>
        <v/>
      </c>
      <c r="L279" s="110" t="str">
        <f t="shared" si="9"/>
        <v/>
      </c>
    </row>
    <row r="280" spans="8:12" ht="14.25" customHeight="1" x14ac:dyDescent="0.2">
      <c r="H280" s="19" t="s">
        <v>1979</v>
      </c>
      <c r="J280" s="110" t="str">
        <f t="shared" si="8"/>
        <v/>
      </c>
      <c r="L280" s="110" t="str">
        <f t="shared" si="9"/>
        <v/>
      </c>
    </row>
    <row r="281" spans="8:12" ht="14.25" customHeight="1" x14ac:dyDescent="0.2">
      <c r="H281" s="19" t="s">
        <v>1979</v>
      </c>
      <c r="J281" s="110" t="str">
        <f t="shared" si="8"/>
        <v/>
      </c>
      <c r="L281" s="110" t="str">
        <f t="shared" si="9"/>
        <v/>
      </c>
    </row>
    <row r="282" spans="8:12" ht="14.25" customHeight="1" x14ac:dyDescent="0.2">
      <c r="H282" s="19" t="s">
        <v>1979</v>
      </c>
      <c r="J282" s="110" t="str">
        <f t="shared" si="8"/>
        <v/>
      </c>
      <c r="L282" s="110" t="str">
        <f t="shared" si="9"/>
        <v/>
      </c>
    </row>
    <row r="283" spans="8:12" ht="14.25" customHeight="1" x14ac:dyDescent="0.2">
      <c r="H283" s="19" t="s">
        <v>1979</v>
      </c>
      <c r="J283" s="110" t="str">
        <f t="shared" si="8"/>
        <v/>
      </c>
      <c r="L283" s="110" t="str">
        <f t="shared" si="9"/>
        <v/>
      </c>
    </row>
    <row r="284" spans="8:12" ht="14.25" customHeight="1" x14ac:dyDescent="0.2">
      <c r="H284" s="19" t="s">
        <v>1979</v>
      </c>
      <c r="J284" s="110" t="str">
        <f t="shared" si="8"/>
        <v/>
      </c>
      <c r="L284" s="110" t="str">
        <f t="shared" si="9"/>
        <v/>
      </c>
    </row>
    <row r="285" spans="8:12" ht="14.25" customHeight="1" x14ac:dyDescent="0.2">
      <c r="H285" s="19" t="s">
        <v>1979</v>
      </c>
      <c r="J285" s="110" t="str">
        <f t="shared" si="8"/>
        <v/>
      </c>
      <c r="L285" s="110" t="str">
        <f t="shared" si="9"/>
        <v/>
      </c>
    </row>
    <row r="286" spans="8:12" ht="14.25" customHeight="1" x14ac:dyDescent="0.2">
      <c r="H286" s="19" t="s">
        <v>1979</v>
      </c>
      <c r="J286" s="110" t="str">
        <f t="shared" si="8"/>
        <v/>
      </c>
      <c r="L286" s="110" t="str">
        <f t="shared" si="9"/>
        <v/>
      </c>
    </row>
    <row r="287" spans="8:12" ht="14.25" customHeight="1" x14ac:dyDescent="0.2">
      <c r="H287" s="19" t="s">
        <v>1979</v>
      </c>
      <c r="J287" s="110" t="str">
        <f t="shared" si="8"/>
        <v/>
      </c>
      <c r="L287" s="110" t="str">
        <f t="shared" si="9"/>
        <v/>
      </c>
    </row>
    <row r="288" spans="8:12" ht="14.25" customHeight="1" x14ac:dyDescent="0.2">
      <c r="H288" s="19" t="s">
        <v>1979</v>
      </c>
      <c r="J288" s="110" t="str">
        <f t="shared" si="8"/>
        <v/>
      </c>
      <c r="L288" s="110" t="str">
        <f t="shared" si="9"/>
        <v/>
      </c>
    </row>
    <row r="289" spans="8:12" ht="14.25" customHeight="1" x14ac:dyDescent="0.2">
      <c r="H289" s="19" t="s">
        <v>1979</v>
      </c>
      <c r="J289" s="110" t="str">
        <f t="shared" si="8"/>
        <v/>
      </c>
      <c r="L289" s="110" t="str">
        <f t="shared" si="9"/>
        <v/>
      </c>
    </row>
    <row r="290" spans="8:12" ht="14.25" customHeight="1" x14ac:dyDescent="0.2">
      <c r="H290" s="19" t="s">
        <v>1979</v>
      </c>
      <c r="J290" s="110" t="str">
        <f t="shared" si="8"/>
        <v/>
      </c>
      <c r="L290" s="110" t="str">
        <f t="shared" si="9"/>
        <v/>
      </c>
    </row>
    <row r="291" spans="8:12" ht="14.25" customHeight="1" x14ac:dyDescent="0.2">
      <c r="H291" s="19" t="s">
        <v>1979</v>
      </c>
      <c r="J291" s="110" t="str">
        <f t="shared" si="8"/>
        <v/>
      </c>
      <c r="L291" s="110" t="str">
        <f t="shared" si="9"/>
        <v/>
      </c>
    </row>
    <row r="292" spans="8:12" ht="14.25" customHeight="1" x14ac:dyDescent="0.2">
      <c r="H292" s="19" t="s">
        <v>1979</v>
      </c>
      <c r="J292" s="110" t="str">
        <f t="shared" si="8"/>
        <v/>
      </c>
      <c r="L292" s="110" t="str">
        <f t="shared" si="9"/>
        <v/>
      </c>
    </row>
    <row r="293" spans="8:12" ht="14.25" customHeight="1" x14ac:dyDescent="0.2">
      <c r="H293" s="19" t="s">
        <v>1979</v>
      </c>
      <c r="J293" s="110" t="str">
        <f t="shared" si="8"/>
        <v/>
      </c>
      <c r="L293" s="110" t="str">
        <f t="shared" si="9"/>
        <v/>
      </c>
    </row>
    <row r="294" spans="8:12" ht="14.25" customHeight="1" x14ac:dyDescent="0.2">
      <c r="H294" s="19" t="s">
        <v>1979</v>
      </c>
      <c r="J294" s="110" t="str">
        <f t="shared" si="8"/>
        <v/>
      </c>
      <c r="L294" s="110" t="str">
        <f t="shared" si="9"/>
        <v/>
      </c>
    </row>
    <row r="295" spans="8:12" ht="14.25" customHeight="1" x14ac:dyDescent="0.2">
      <c r="H295" s="19" t="s">
        <v>1979</v>
      </c>
      <c r="J295" s="110" t="str">
        <f t="shared" si="8"/>
        <v/>
      </c>
      <c r="L295" s="110" t="str">
        <f t="shared" si="9"/>
        <v/>
      </c>
    </row>
    <row r="296" spans="8:12" ht="14.25" customHeight="1" x14ac:dyDescent="0.2">
      <c r="H296" s="19" t="s">
        <v>1979</v>
      </c>
      <c r="J296" s="110" t="str">
        <f t="shared" si="8"/>
        <v/>
      </c>
      <c r="L296" s="110" t="str">
        <f t="shared" si="9"/>
        <v/>
      </c>
    </row>
    <row r="297" spans="8:12" ht="14.25" customHeight="1" x14ac:dyDescent="0.2">
      <c r="H297" s="19" t="s">
        <v>1979</v>
      </c>
      <c r="J297" s="110" t="str">
        <f t="shared" si="8"/>
        <v/>
      </c>
      <c r="L297" s="110" t="str">
        <f t="shared" si="9"/>
        <v/>
      </c>
    </row>
    <row r="298" spans="8:12" ht="14.25" customHeight="1" x14ac:dyDescent="0.2">
      <c r="H298" s="19" t="s">
        <v>1979</v>
      </c>
      <c r="J298" s="110" t="str">
        <f t="shared" si="8"/>
        <v/>
      </c>
      <c r="L298" s="110" t="str">
        <f t="shared" si="9"/>
        <v/>
      </c>
    </row>
    <row r="299" spans="8:12" ht="14.25" customHeight="1" x14ac:dyDescent="0.2">
      <c r="H299" s="19" t="s">
        <v>1979</v>
      </c>
      <c r="J299" s="110" t="str">
        <f t="shared" si="8"/>
        <v/>
      </c>
      <c r="L299" s="110" t="str">
        <f t="shared" si="9"/>
        <v/>
      </c>
    </row>
    <row r="300" spans="8:12" ht="14.25" customHeight="1" x14ac:dyDescent="0.2">
      <c r="H300" s="19" t="s">
        <v>1979</v>
      </c>
      <c r="J300" s="110" t="str">
        <f t="shared" si="8"/>
        <v/>
      </c>
      <c r="L300" s="110" t="str">
        <f t="shared" si="9"/>
        <v/>
      </c>
    </row>
    <row r="301" spans="8:12" ht="14.25" customHeight="1" x14ac:dyDescent="0.2">
      <c r="H301" s="19" t="s">
        <v>1979</v>
      </c>
      <c r="J301" s="110" t="str">
        <f t="shared" si="8"/>
        <v/>
      </c>
      <c r="L301" s="110" t="str">
        <f t="shared" si="9"/>
        <v/>
      </c>
    </row>
    <row r="302" spans="8:12" ht="14.25" customHeight="1" x14ac:dyDescent="0.2">
      <c r="H302" s="19" t="s">
        <v>1979</v>
      </c>
      <c r="J302" s="110" t="str">
        <f t="shared" si="8"/>
        <v/>
      </c>
      <c r="L302" s="110" t="str">
        <f t="shared" si="9"/>
        <v/>
      </c>
    </row>
    <row r="303" spans="8:12" ht="14.25" customHeight="1" x14ac:dyDescent="0.2">
      <c r="H303" s="19" t="s">
        <v>1979</v>
      </c>
      <c r="J303" s="110" t="str">
        <f t="shared" si="8"/>
        <v/>
      </c>
      <c r="L303" s="110" t="str">
        <f t="shared" si="9"/>
        <v/>
      </c>
    </row>
    <row r="304" spans="8:12" ht="14.25" customHeight="1" x14ac:dyDescent="0.2">
      <c r="H304" s="19" t="s">
        <v>1979</v>
      </c>
      <c r="J304" s="110" t="str">
        <f t="shared" si="8"/>
        <v/>
      </c>
      <c r="L304" s="110" t="str">
        <f t="shared" si="9"/>
        <v/>
      </c>
    </row>
    <row r="305" spans="8:12" ht="14.25" customHeight="1" x14ac:dyDescent="0.2">
      <c r="H305" s="19" t="s">
        <v>1979</v>
      </c>
      <c r="J305" s="110" t="str">
        <f t="shared" si="8"/>
        <v/>
      </c>
      <c r="L305" s="110" t="str">
        <f t="shared" si="9"/>
        <v/>
      </c>
    </row>
    <row r="306" spans="8:12" ht="14.25" customHeight="1" x14ac:dyDescent="0.2">
      <c r="H306" s="19" t="s">
        <v>1979</v>
      </c>
      <c r="J306" s="110" t="str">
        <f t="shared" si="8"/>
        <v/>
      </c>
      <c r="L306" s="110" t="str">
        <f t="shared" si="9"/>
        <v/>
      </c>
    </row>
    <row r="307" spans="8:12" ht="14.25" customHeight="1" x14ac:dyDescent="0.2">
      <c r="H307" s="19" t="s">
        <v>1979</v>
      </c>
      <c r="J307" s="110" t="str">
        <f t="shared" si="8"/>
        <v/>
      </c>
      <c r="L307" s="110" t="str">
        <f t="shared" si="9"/>
        <v/>
      </c>
    </row>
    <row r="308" spans="8:12" ht="14.25" customHeight="1" x14ac:dyDescent="0.2">
      <c r="H308" s="19" t="s">
        <v>1979</v>
      </c>
      <c r="J308" s="110" t="str">
        <f t="shared" si="8"/>
        <v/>
      </c>
      <c r="L308" s="110" t="str">
        <f t="shared" si="9"/>
        <v/>
      </c>
    </row>
    <row r="309" spans="8:12" ht="14.25" customHeight="1" x14ac:dyDescent="0.2">
      <c r="H309" s="19" t="s">
        <v>1979</v>
      </c>
      <c r="J309" s="110" t="str">
        <f t="shared" si="8"/>
        <v/>
      </c>
      <c r="L309" s="110" t="str">
        <f t="shared" si="9"/>
        <v/>
      </c>
    </row>
    <row r="310" spans="8:12" ht="14.25" customHeight="1" x14ac:dyDescent="0.2">
      <c r="H310" s="19" t="s">
        <v>1979</v>
      </c>
      <c r="J310" s="110" t="str">
        <f t="shared" si="8"/>
        <v/>
      </c>
      <c r="L310" s="110" t="str">
        <f t="shared" si="9"/>
        <v/>
      </c>
    </row>
    <row r="311" spans="8:12" ht="14.25" customHeight="1" x14ac:dyDescent="0.2">
      <c r="H311" s="19" t="s">
        <v>1979</v>
      </c>
      <c r="J311" s="110" t="str">
        <f t="shared" si="8"/>
        <v/>
      </c>
      <c r="L311" s="110" t="str">
        <f t="shared" si="9"/>
        <v/>
      </c>
    </row>
    <row r="312" spans="8:12" ht="14.25" customHeight="1" x14ac:dyDescent="0.2">
      <c r="H312" s="19" t="s">
        <v>1979</v>
      </c>
      <c r="J312" s="110" t="str">
        <f t="shared" si="8"/>
        <v/>
      </c>
      <c r="L312" s="110" t="str">
        <f t="shared" si="9"/>
        <v/>
      </c>
    </row>
    <row r="313" spans="8:12" ht="14.25" customHeight="1" x14ac:dyDescent="0.2">
      <c r="H313" s="19" t="s">
        <v>1979</v>
      </c>
      <c r="J313" s="110" t="str">
        <f t="shared" si="8"/>
        <v/>
      </c>
      <c r="L313" s="110" t="str">
        <f t="shared" si="9"/>
        <v/>
      </c>
    </row>
    <row r="314" spans="8:12" ht="14.25" customHeight="1" x14ac:dyDescent="0.2">
      <c r="H314" s="19" t="s">
        <v>1979</v>
      </c>
      <c r="J314" s="110" t="str">
        <f t="shared" si="8"/>
        <v/>
      </c>
      <c r="L314" s="110" t="str">
        <f t="shared" si="9"/>
        <v/>
      </c>
    </row>
    <row r="315" spans="8:12" ht="14.25" customHeight="1" x14ac:dyDescent="0.2">
      <c r="H315" s="19" t="s">
        <v>1979</v>
      </c>
      <c r="J315" s="110" t="str">
        <f t="shared" si="8"/>
        <v/>
      </c>
      <c r="L315" s="110" t="str">
        <f t="shared" si="9"/>
        <v/>
      </c>
    </row>
    <row r="316" spans="8:12" ht="14.25" customHeight="1" x14ac:dyDescent="0.2">
      <c r="H316" s="19" t="s">
        <v>1979</v>
      </c>
      <c r="J316" s="110" t="str">
        <f t="shared" si="8"/>
        <v/>
      </c>
      <c r="L316" s="110" t="str">
        <f t="shared" si="9"/>
        <v/>
      </c>
    </row>
    <row r="317" spans="8:12" ht="14.25" customHeight="1" x14ac:dyDescent="0.2">
      <c r="H317" s="19" t="s">
        <v>1979</v>
      </c>
      <c r="J317" s="110" t="str">
        <f t="shared" si="8"/>
        <v/>
      </c>
      <c r="L317" s="110" t="str">
        <f t="shared" si="9"/>
        <v/>
      </c>
    </row>
    <row r="318" spans="8:12" ht="14.25" customHeight="1" x14ac:dyDescent="0.2">
      <c r="H318" s="19" t="s">
        <v>1979</v>
      </c>
      <c r="J318" s="110" t="str">
        <f t="shared" si="8"/>
        <v/>
      </c>
      <c r="L318" s="110" t="str">
        <f t="shared" si="9"/>
        <v/>
      </c>
    </row>
    <row r="319" spans="8:12" ht="14.25" customHeight="1" x14ac:dyDescent="0.2">
      <c r="H319" s="19" t="s">
        <v>1979</v>
      </c>
      <c r="J319" s="110" t="str">
        <f t="shared" si="8"/>
        <v/>
      </c>
      <c r="L319" s="110" t="str">
        <f t="shared" si="9"/>
        <v/>
      </c>
    </row>
    <row r="320" spans="8:12" ht="14.25" customHeight="1" x14ac:dyDescent="0.2">
      <c r="H320" s="19" t="s">
        <v>1979</v>
      </c>
      <c r="J320" s="110" t="str">
        <f t="shared" si="8"/>
        <v/>
      </c>
      <c r="L320" s="110" t="str">
        <f t="shared" si="9"/>
        <v/>
      </c>
    </row>
    <row r="321" spans="8:12" ht="14.25" customHeight="1" x14ac:dyDescent="0.2">
      <c r="H321" s="19" t="s">
        <v>1979</v>
      </c>
      <c r="J321" s="110" t="str">
        <f t="shared" si="8"/>
        <v/>
      </c>
      <c r="L321" s="110" t="str">
        <f t="shared" si="9"/>
        <v/>
      </c>
    </row>
    <row r="322" spans="8:12" ht="14.25" customHeight="1" x14ac:dyDescent="0.2">
      <c r="H322" s="19" t="s">
        <v>1979</v>
      </c>
      <c r="J322" s="110" t="str">
        <f t="shared" si="8"/>
        <v/>
      </c>
      <c r="L322" s="110" t="str">
        <f t="shared" si="9"/>
        <v/>
      </c>
    </row>
    <row r="323" spans="8:12" ht="14.25" customHeight="1" x14ac:dyDescent="0.2">
      <c r="H323" s="19" t="s">
        <v>1979</v>
      </c>
      <c r="J323" s="110" t="str">
        <f t="shared" ref="J323:J386" si="10">IF(K323="","", K323/PI())</f>
        <v/>
      </c>
      <c r="L323" s="110" t="str">
        <f t="shared" ref="L323:L386" si="11">IF(OR(P323="", N323="", O323=""), "", TAN(P323*PI()/180)*N323 +O323)</f>
        <v/>
      </c>
    </row>
    <row r="324" spans="8:12" ht="14.25" customHeight="1" x14ac:dyDescent="0.2">
      <c r="H324" s="19" t="s">
        <v>1979</v>
      </c>
      <c r="J324" s="110" t="str">
        <f t="shared" si="10"/>
        <v/>
      </c>
      <c r="L324" s="110" t="str">
        <f t="shared" si="11"/>
        <v/>
      </c>
    </row>
    <row r="325" spans="8:12" ht="14.25" customHeight="1" x14ac:dyDescent="0.2">
      <c r="H325" s="19" t="s">
        <v>1979</v>
      </c>
      <c r="J325" s="110" t="str">
        <f t="shared" si="10"/>
        <v/>
      </c>
      <c r="L325" s="110" t="str">
        <f t="shared" si="11"/>
        <v/>
      </c>
    </row>
    <row r="326" spans="8:12" ht="14.25" customHeight="1" x14ac:dyDescent="0.2">
      <c r="H326" s="19" t="s">
        <v>1979</v>
      </c>
      <c r="J326" s="110" t="str">
        <f t="shared" si="10"/>
        <v/>
      </c>
      <c r="L326" s="110" t="str">
        <f t="shared" si="11"/>
        <v/>
      </c>
    </row>
    <row r="327" spans="8:12" ht="14.25" customHeight="1" x14ac:dyDescent="0.2">
      <c r="H327" s="19" t="s">
        <v>1979</v>
      </c>
      <c r="J327" s="110" t="str">
        <f t="shared" si="10"/>
        <v/>
      </c>
      <c r="L327" s="110" t="str">
        <f t="shared" si="11"/>
        <v/>
      </c>
    </row>
    <row r="328" spans="8:12" ht="14.25" customHeight="1" x14ac:dyDescent="0.2">
      <c r="H328" s="19" t="s">
        <v>1979</v>
      </c>
      <c r="J328" s="110" t="str">
        <f t="shared" si="10"/>
        <v/>
      </c>
      <c r="L328" s="110" t="str">
        <f t="shared" si="11"/>
        <v/>
      </c>
    </row>
    <row r="329" spans="8:12" ht="14.25" customHeight="1" x14ac:dyDescent="0.2">
      <c r="H329" s="19" t="s">
        <v>1979</v>
      </c>
      <c r="J329" s="110" t="str">
        <f t="shared" si="10"/>
        <v/>
      </c>
      <c r="L329" s="110" t="str">
        <f t="shared" si="11"/>
        <v/>
      </c>
    </row>
    <row r="330" spans="8:12" ht="14.25" customHeight="1" x14ac:dyDescent="0.2">
      <c r="H330" s="19" t="s">
        <v>1979</v>
      </c>
      <c r="J330" s="110" t="str">
        <f t="shared" si="10"/>
        <v/>
      </c>
      <c r="L330" s="110" t="str">
        <f t="shared" si="11"/>
        <v/>
      </c>
    </row>
    <row r="331" spans="8:12" ht="14.25" customHeight="1" x14ac:dyDescent="0.2">
      <c r="H331" s="19" t="s">
        <v>1979</v>
      </c>
      <c r="J331" s="110" t="str">
        <f t="shared" si="10"/>
        <v/>
      </c>
      <c r="L331" s="110" t="str">
        <f t="shared" si="11"/>
        <v/>
      </c>
    </row>
    <row r="332" spans="8:12" ht="14.25" customHeight="1" x14ac:dyDescent="0.2">
      <c r="H332" s="19" t="s">
        <v>1979</v>
      </c>
      <c r="J332" s="110" t="str">
        <f t="shared" si="10"/>
        <v/>
      </c>
      <c r="L332" s="110" t="str">
        <f t="shared" si="11"/>
        <v/>
      </c>
    </row>
    <row r="333" spans="8:12" ht="14.25" customHeight="1" x14ac:dyDescent="0.2">
      <c r="H333" s="19" t="s">
        <v>1979</v>
      </c>
      <c r="J333" s="110" t="str">
        <f t="shared" si="10"/>
        <v/>
      </c>
      <c r="L333" s="110" t="str">
        <f t="shared" si="11"/>
        <v/>
      </c>
    </row>
    <row r="334" spans="8:12" ht="14.25" customHeight="1" x14ac:dyDescent="0.2">
      <c r="H334" s="19" t="s">
        <v>1979</v>
      </c>
      <c r="J334" s="110" t="str">
        <f t="shared" si="10"/>
        <v/>
      </c>
      <c r="L334" s="110" t="str">
        <f t="shared" si="11"/>
        <v/>
      </c>
    </row>
    <row r="335" spans="8:12" ht="14.25" customHeight="1" x14ac:dyDescent="0.2">
      <c r="H335" s="19" t="s">
        <v>1979</v>
      </c>
      <c r="J335" s="110" t="str">
        <f t="shared" si="10"/>
        <v/>
      </c>
      <c r="L335" s="110" t="str">
        <f t="shared" si="11"/>
        <v/>
      </c>
    </row>
    <row r="336" spans="8:12" ht="14.25" customHeight="1" x14ac:dyDescent="0.2">
      <c r="H336" s="19" t="s">
        <v>1979</v>
      </c>
      <c r="J336" s="110" t="str">
        <f t="shared" si="10"/>
        <v/>
      </c>
      <c r="L336" s="110" t="str">
        <f t="shared" si="11"/>
        <v/>
      </c>
    </row>
    <row r="337" spans="8:12" ht="14.25" customHeight="1" x14ac:dyDescent="0.2">
      <c r="H337" s="19" t="s">
        <v>1979</v>
      </c>
      <c r="J337" s="110" t="str">
        <f t="shared" si="10"/>
        <v/>
      </c>
      <c r="L337" s="110" t="str">
        <f t="shared" si="11"/>
        <v/>
      </c>
    </row>
    <row r="338" spans="8:12" ht="14.25" customHeight="1" x14ac:dyDescent="0.2">
      <c r="H338" s="19" t="s">
        <v>1979</v>
      </c>
      <c r="J338" s="110" t="str">
        <f t="shared" si="10"/>
        <v/>
      </c>
      <c r="L338" s="110" t="str">
        <f t="shared" si="11"/>
        <v/>
      </c>
    </row>
    <row r="339" spans="8:12" ht="14.25" customHeight="1" x14ac:dyDescent="0.2">
      <c r="H339" s="19" t="s">
        <v>1979</v>
      </c>
      <c r="J339" s="110" t="str">
        <f t="shared" si="10"/>
        <v/>
      </c>
      <c r="L339" s="110" t="str">
        <f t="shared" si="11"/>
        <v/>
      </c>
    </row>
    <row r="340" spans="8:12" ht="14.25" customHeight="1" x14ac:dyDescent="0.2">
      <c r="H340" s="19" t="s">
        <v>1979</v>
      </c>
      <c r="J340" s="110" t="str">
        <f t="shared" si="10"/>
        <v/>
      </c>
      <c r="L340" s="110" t="str">
        <f t="shared" si="11"/>
        <v/>
      </c>
    </row>
    <row r="341" spans="8:12" ht="14.25" customHeight="1" x14ac:dyDescent="0.2">
      <c r="H341" s="19" t="s">
        <v>1979</v>
      </c>
      <c r="J341" s="110" t="str">
        <f t="shared" si="10"/>
        <v/>
      </c>
      <c r="L341" s="110" t="str">
        <f t="shared" si="11"/>
        <v/>
      </c>
    </row>
    <row r="342" spans="8:12" ht="14.25" customHeight="1" x14ac:dyDescent="0.2">
      <c r="H342" s="19" t="s">
        <v>1979</v>
      </c>
      <c r="J342" s="110" t="str">
        <f t="shared" si="10"/>
        <v/>
      </c>
      <c r="L342" s="110" t="str">
        <f t="shared" si="11"/>
        <v/>
      </c>
    </row>
    <row r="343" spans="8:12" ht="14.25" customHeight="1" x14ac:dyDescent="0.2">
      <c r="H343" s="19" t="s">
        <v>1979</v>
      </c>
      <c r="J343" s="110" t="str">
        <f t="shared" si="10"/>
        <v/>
      </c>
      <c r="L343" s="110" t="str">
        <f t="shared" si="11"/>
        <v/>
      </c>
    </row>
    <row r="344" spans="8:12" ht="14.25" customHeight="1" x14ac:dyDescent="0.2">
      <c r="H344" s="19" t="s">
        <v>1979</v>
      </c>
      <c r="J344" s="110" t="str">
        <f t="shared" si="10"/>
        <v/>
      </c>
      <c r="L344" s="110" t="str">
        <f t="shared" si="11"/>
        <v/>
      </c>
    </row>
    <row r="345" spans="8:12" ht="14.25" customHeight="1" x14ac:dyDescent="0.2">
      <c r="H345" s="19" t="s">
        <v>1979</v>
      </c>
      <c r="J345" s="110" t="str">
        <f t="shared" si="10"/>
        <v/>
      </c>
      <c r="L345" s="110" t="str">
        <f t="shared" si="11"/>
        <v/>
      </c>
    </row>
    <row r="346" spans="8:12" ht="14.25" customHeight="1" x14ac:dyDescent="0.2">
      <c r="H346" s="19" t="s">
        <v>1979</v>
      </c>
      <c r="J346" s="110" t="str">
        <f t="shared" si="10"/>
        <v/>
      </c>
      <c r="L346" s="110" t="str">
        <f t="shared" si="11"/>
        <v/>
      </c>
    </row>
    <row r="347" spans="8:12" ht="14.25" customHeight="1" x14ac:dyDescent="0.2">
      <c r="H347" s="19" t="s">
        <v>1979</v>
      </c>
      <c r="J347" s="110" t="str">
        <f t="shared" si="10"/>
        <v/>
      </c>
      <c r="L347" s="110" t="str">
        <f t="shared" si="11"/>
        <v/>
      </c>
    </row>
    <row r="348" spans="8:12" ht="14.25" customHeight="1" x14ac:dyDescent="0.2">
      <c r="H348" s="19" t="s">
        <v>1979</v>
      </c>
      <c r="J348" s="110" t="str">
        <f t="shared" si="10"/>
        <v/>
      </c>
      <c r="L348" s="110" t="str">
        <f t="shared" si="11"/>
        <v/>
      </c>
    </row>
    <row r="349" spans="8:12" ht="14.25" customHeight="1" x14ac:dyDescent="0.2">
      <c r="H349" s="19" t="s">
        <v>1979</v>
      </c>
      <c r="J349" s="110" t="str">
        <f t="shared" si="10"/>
        <v/>
      </c>
      <c r="L349" s="110" t="str">
        <f t="shared" si="11"/>
        <v/>
      </c>
    </row>
    <row r="350" spans="8:12" ht="14.25" customHeight="1" x14ac:dyDescent="0.2">
      <c r="H350" s="19" t="s">
        <v>1979</v>
      </c>
      <c r="J350" s="110" t="str">
        <f t="shared" si="10"/>
        <v/>
      </c>
      <c r="L350" s="110" t="str">
        <f t="shared" si="11"/>
        <v/>
      </c>
    </row>
    <row r="351" spans="8:12" ht="14.25" customHeight="1" x14ac:dyDescent="0.2">
      <c r="H351" s="19" t="s">
        <v>1979</v>
      </c>
      <c r="J351" s="110" t="str">
        <f t="shared" si="10"/>
        <v/>
      </c>
      <c r="L351" s="110" t="str">
        <f t="shared" si="11"/>
        <v/>
      </c>
    </row>
    <row r="352" spans="8:12" ht="14.25" customHeight="1" x14ac:dyDescent="0.2">
      <c r="H352" s="19" t="s">
        <v>1979</v>
      </c>
      <c r="J352" s="110" t="str">
        <f t="shared" si="10"/>
        <v/>
      </c>
      <c r="L352" s="110" t="str">
        <f t="shared" si="11"/>
        <v/>
      </c>
    </row>
    <row r="353" spans="8:12" ht="14.25" customHeight="1" x14ac:dyDescent="0.2">
      <c r="H353" s="19" t="s">
        <v>1979</v>
      </c>
      <c r="J353" s="110" t="str">
        <f t="shared" si="10"/>
        <v/>
      </c>
      <c r="L353" s="110" t="str">
        <f t="shared" si="11"/>
        <v/>
      </c>
    </row>
    <row r="354" spans="8:12" ht="14.25" customHeight="1" x14ac:dyDescent="0.2">
      <c r="H354" s="19" t="s">
        <v>1979</v>
      </c>
      <c r="J354" s="110" t="str">
        <f t="shared" si="10"/>
        <v/>
      </c>
      <c r="L354" s="110" t="str">
        <f t="shared" si="11"/>
        <v/>
      </c>
    </row>
    <row r="355" spans="8:12" ht="14.25" customHeight="1" x14ac:dyDescent="0.2">
      <c r="H355" s="19" t="s">
        <v>1979</v>
      </c>
      <c r="J355" s="110" t="str">
        <f t="shared" si="10"/>
        <v/>
      </c>
      <c r="L355" s="110" t="str">
        <f t="shared" si="11"/>
        <v/>
      </c>
    </row>
    <row r="356" spans="8:12" ht="14.25" customHeight="1" x14ac:dyDescent="0.2">
      <c r="H356" s="19" t="s">
        <v>1979</v>
      </c>
      <c r="J356" s="110" t="str">
        <f t="shared" si="10"/>
        <v/>
      </c>
      <c r="L356" s="110" t="str">
        <f t="shared" si="11"/>
        <v/>
      </c>
    </row>
    <row r="357" spans="8:12" ht="14.25" customHeight="1" x14ac:dyDescent="0.2">
      <c r="H357" s="19" t="s">
        <v>1979</v>
      </c>
      <c r="J357" s="110" t="str">
        <f t="shared" si="10"/>
        <v/>
      </c>
      <c r="L357" s="110" t="str">
        <f t="shared" si="11"/>
        <v/>
      </c>
    </row>
    <row r="358" spans="8:12" ht="14.25" customHeight="1" x14ac:dyDescent="0.2">
      <c r="H358" s="19" t="s">
        <v>1979</v>
      </c>
      <c r="J358" s="110" t="str">
        <f t="shared" si="10"/>
        <v/>
      </c>
      <c r="L358" s="110" t="str">
        <f t="shared" si="11"/>
        <v/>
      </c>
    </row>
    <row r="359" spans="8:12" ht="14.25" customHeight="1" x14ac:dyDescent="0.2">
      <c r="H359" s="19" t="s">
        <v>1979</v>
      </c>
      <c r="J359" s="110" t="str">
        <f t="shared" si="10"/>
        <v/>
      </c>
      <c r="L359" s="110" t="str">
        <f t="shared" si="11"/>
        <v/>
      </c>
    </row>
    <row r="360" spans="8:12" ht="14.25" customHeight="1" x14ac:dyDescent="0.2">
      <c r="H360" s="19" t="s">
        <v>1979</v>
      </c>
      <c r="J360" s="110" t="str">
        <f t="shared" si="10"/>
        <v/>
      </c>
      <c r="L360" s="110" t="str">
        <f t="shared" si="11"/>
        <v/>
      </c>
    </row>
    <row r="361" spans="8:12" ht="14.25" customHeight="1" x14ac:dyDescent="0.2">
      <c r="H361" s="19" t="s">
        <v>1979</v>
      </c>
      <c r="J361" s="110" t="str">
        <f t="shared" si="10"/>
        <v/>
      </c>
      <c r="L361" s="110" t="str">
        <f t="shared" si="11"/>
        <v/>
      </c>
    </row>
    <row r="362" spans="8:12" ht="14.25" customHeight="1" x14ac:dyDescent="0.2">
      <c r="H362" s="19" t="s">
        <v>1979</v>
      </c>
      <c r="J362" s="110" t="str">
        <f t="shared" si="10"/>
        <v/>
      </c>
      <c r="L362" s="110" t="str">
        <f t="shared" si="11"/>
        <v/>
      </c>
    </row>
    <row r="363" spans="8:12" ht="14.25" customHeight="1" x14ac:dyDescent="0.2">
      <c r="H363" s="19" t="s">
        <v>1979</v>
      </c>
      <c r="J363" s="110" t="str">
        <f t="shared" si="10"/>
        <v/>
      </c>
      <c r="L363" s="110" t="str">
        <f t="shared" si="11"/>
        <v/>
      </c>
    </row>
    <row r="364" spans="8:12" ht="14.25" customHeight="1" x14ac:dyDescent="0.2">
      <c r="H364" s="19" t="s">
        <v>1979</v>
      </c>
      <c r="J364" s="110" t="str">
        <f t="shared" si="10"/>
        <v/>
      </c>
      <c r="L364" s="110" t="str">
        <f t="shared" si="11"/>
        <v/>
      </c>
    </row>
    <row r="365" spans="8:12" ht="14.25" customHeight="1" x14ac:dyDescent="0.2">
      <c r="H365" s="19" t="s">
        <v>1979</v>
      </c>
      <c r="J365" s="110" t="str">
        <f t="shared" si="10"/>
        <v/>
      </c>
      <c r="L365" s="110" t="str">
        <f t="shared" si="11"/>
        <v/>
      </c>
    </row>
    <row r="366" spans="8:12" ht="14.25" customHeight="1" x14ac:dyDescent="0.2">
      <c r="H366" s="19" t="s">
        <v>1979</v>
      </c>
      <c r="J366" s="110" t="str">
        <f t="shared" si="10"/>
        <v/>
      </c>
      <c r="L366" s="110" t="str">
        <f t="shared" si="11"/>
        <v/>
      </c>
    </row>
    <row r="367" spans="8:12" ht="14.25" customHeight="1" x14ac:dyDescent="0.2">
      <c r="H367" s="19" t="s">
        <v>1979</v>
      </c>
      <c r="J367" s="110" t="str">
        <f t="shared" si="10"/>
        <v/>
      </c>
      <c r="L367" s="110" t="str">
        <f t="shared" si="11"/>
        <v/>
      </c>
    </row>
    <row r="368" spans="8:12" ht="14.25" customHeight="1" x14ac:dyDescent="0.2">
      <c r="H368" s="19" t="s">
        <v>1979</v>
      </c>
      <c r="J368" s="110" t="str">
        <f t="shared" si="10"/>
        <v/>
      </c>
      <c r="L368" s="110" t="str">
        <f t="shared" si="11"/>
        <v/>
      </c>
    </row>
    <row r="369" spans="8:12" ht="14.25" customHeight="1" x14ac:dyDescent="0.2">
      <c r="H369" s="19" t="s">
        <v>1979</v>
      </c>
      <c r="J369" s="110" t="str">
        <f t="shared" si="10"/>
        <v/>
      </c>
      <c r="L369" s="110" t="str">
        <f t="shared" si="11"/>
        <v/>
      </c>
    </row>
    <row r="370" spans="8:12" ht="14.25" customHeight="1" x14ac:dyDescent="0.2">
      <c r="H370" s="19" t="s">
        <v>1979</v>
      </c>
      <c r="J370" s="110" t="str">
        <f t="shared" si="10"/>
        <v/>
      </c>
      <c r="L370" s="110" t="str">
        <f t="shared" si="11"/>
        <v/>
      </c>
    </row>
    <row r="371" spans="8:12" ht="14.25" customHeight="1" x14ac:dyDescent="0.2">
      <c r="H371" s="19" t="s">
        <v>1979</v>
      </c>
      <c r="J371" s="110" t="str">
        <f t="shared" si="10"/>
        <v/>
      </c>
      <c r="L371" s="110" t="str">
        <f t="shared" si="11"/>
        <v/>
      </c>
    </row>
    <row r="372" spans="8:12" ht="14.25" customHeight="1" x14ac:dyDescent="0.2">
      <c r="H372" s="19" t="s">
        <v>1979</v>
      </c>
      <c r="J372" s="110" t="str">
        <f t="shared" si="10"/>
        <v/>
      </c>
      <c r="L372" s="110" t="str">
        <f t="shared" si="11"/>
        <v/>
      </c>
    </row>
    <row r="373" spans="8:12" ht="14.25" customHeight="1" x14ac:dyDescent="0.2">
      <c r="H373" s="19" t="s">
        <v>1979</v>
      </c>
      <c r="J373" s="110" t="str">
        <f t="shared" si="10"/>
        <v/>
      </c>
      <c r="L373" s="110" t="str">
        <f t="shared" si="11"/>
        <v/>
      </c>
    </row>
    <row r="374" spans="8:12" ht="14.25" customHeight="1" x14ac:dyDescent="0.2">
      <c r="H374" s="19" t="s">
        <v>1979</v>
      </c>
      <c r="J374" s="110" t="str">
        <f t="shared" si="10"/>
        <v/>
      </c>
      <c r="L374" s="110" t="str">
        <f t="shared" si="11"/>
        <v/>
      </c>
    </row>
    <row r="375" spans="8:12" ht="14.25" customHeight="1" x14ac:dyDescent="0.2">
      <c r="H375" s="19" t="s">
        <v>1979</v>
      </c>
      <c r="J375" s="110" t="str">
        <f t="shared" si="10"/>
        <v/>
      </c>
      <c r="L375" s="110" t="str">
        <f t="shared" si="11"/>
        <v/>
      </c>
    </row>
    <row r="376" spans="8:12" ht="14.25" customHeight="1" x14ac:dyDescent="0.2">
      <c r="H376" s="19" t="s">
        <v>1979</v>
      </c>
      <c r="J376" s="110" t="str">
        <f t="shared" si="10"/>
        <v/>
      </c>
      <c r="L376" s="110" t="str">
        <f t="shared" si="11"/>
        <v/>
      </c>
    </row>
    <row r="377" spans="8:12" ht="14.25" customHeight="1" x14ac:dyDescent="0.2">
      <c r="H377" s="19" t="s">
        <v>1979</v>
      </c>
      <c r="J377" s="110" t="str">
        <f t="shared" si="10"/>
        <v/>
      </c>
      <c r="L377" s="110" t="str">
        <f t="shared" si="11"/>
        <v/>
      </c>
    </row>
    <row r="378" spans="8:12" ht="14.25" customHeight="1" x14ac:dyDescent="0.2">
      <c r="H378" s="19" t="s">
        <v>1979</v>
      </c>
      <c r="J378" s="110" t="str">
        <f t="shared" si="10"/>
        <v/>
      </c>
      <c r="L378" s="110" t="str">
        <f t="shared" si="11"/>
        <v/>
      </c>
    </row>
    <row r="379" spans="8:12" ht="14.25" customHeight="1" x14ac:dyDescent="0.2">
      <c r="H379" s="19" t="s">
        <v>1979</v>
      </c>
      <c r="J379" s="110" t="str">
        <f t="shared" si="10"/>
        <v/>
      </c>
      <c r="L379" s="110" t="str">
        <f t="shared" si="11"/>
        <v/>
      </c>
    </row>
    <row r="380" spans="8:12" ht="14.25" customHeight="1" x14ac:dyDescent="0.2">
      <c r="H380" s="19" t="s">
        <v>1979</v>
      </c>
      <c r="J380" s="110" t="str">
        <f t="shared" si="10"/>
        <v/>
      </c>
      <c r="L380" s="110" t="str">
        <f t="shared" si="11"/>
        <v/>
      </c>
    </row>
    <row r="381" spans="8:12" ht="14.25" customHeight="1" x14ac:dyDescent="0.2">
      <c r="H381" s="19" t="s">
        <v>1979</v>
      </c>
      <c r="J381" s="110" t="str">
        <f t="shared" si="10"/>
        <v/>
      </c>
      <c r="L381" s="110" t="str">
        <f t="shared" si="11"/>
        <v/>
      </c>
    </row>
    <row r="382" spans="8:12" ht="14.25" customHeight="1" x14ac:dyDescent="0.2">
      <c r="H382" s="19" t="s">
        <v>1979</v>
      </c>
      <c r="J382" s="110" t="str">
        <f t="shared" si="10"/>
        <v/>
      </c>
      <c r="L382" s="110" t="str">
        <f t="shared" si="11"/>
        <v/>
      </c>
    </row>
    <row r="383" spans="8:12" ht="14.25" customHeight="1" x14ac:dyDescent="0.2">
      <c r="H383" s="19" t="s">
        <v>1979</v>
      </c>
      <c r="J383" s="110" t="str">
        <f t="shared" si="10"/>
        <v/>
      </c>
      <c r="L383" s="110" t="str">
        <f t="shared" si="11"/>
        <v/>
      </c>
    </row>
    <row r="384" spans="8:12" ht="14.25" customHeight="1" x14ac:dyDescent="0.2">
      <c r="H384" s="19" t="s">
        <v>1979</v>
      </c>
      <c r="J384" s="110" t="str">
        <f t="shared" si="10"/>
        <v/>
      </c>
      <c r="L384" s="110" t="str">
        <f t="shared" si="11"/>
        <v/>
      </c>
    </row>
    <row r="385" spans="8:12" ht="14.25" customHeight="1" x14ac:dyDescent="0.2">
      <c r="H385" s="19" t="s">
        <v>1979</v>
      </c>
      <c r="J385" s="110" t="str">
        <f t="shared" si="10"/>
        <v/>
      </c>
      <c r="L385" s="110" t="str">
        <f t="shared" si="11"/>
        <v/>
      </c>
    </row>
    <row r="386" spans="8:12" ht="14.25" customHeight="1" x14ac:dyDescent="0.2">
      <c r="H386" s="19" t="s">
        <v>1979</v>
      </c>
      <c r="J386" s="110" t="str">
        <f t="shared" si="10"/>
        <v/>
      </c>
      <c r="L386" s="110" t="str">
        <f t="shared" si="11"/>
        <v/>
      </c>
    </row>
    <row r="387" spans="8:12" ht="14.25" customHeight="1" x14ac:dyDescent="0.2">
      <c r="H387" s="19" t="s">
        <v>1979</v>
      </c>
      <c r="J387" s="110" t="str">
        <f t="shared" ref="J387:J450" si="12">IF(K387="","", K387/PI())</f>
        <v/>
      </c>
      <c r="L387" s="110" t="str">
        <f t="shared" ref="L387:L450" si="13">IF(OR(P387="", N387="", O387=""), "", TAN(P387*PI()/180)*N387 +O387)</f>
        <v/>
      </c>
    </row>
    <row r="388" spans="8:12" ht="14.25" customHeight="1" x14ac:dyDescent="0.2">
      <c r="H388" s="19" t="s">
        <v>1979</v>
      </c>
      <c r="J388" s="110" t="str">
        <f t="shared" si="12"/>
        <v/>
      </c>
      <c r="L388" s="110" t="str">
        <f t="shared" si="13"/>
        <v/>
      </c>
    </row>
    <row r="389" spans="8:12" ht="14.25" customHeight="1" x14ac:dyDescent="0.2">
      <c r="H389" s="19" t="s">
        <v>1979</v>
      </c>
      <c r="J389" s="110" t="str">
        <f t="shared" si="12"/>
        <v/>
      </c>
      <c r="L389" s="110" t="str">
        <f t="shared" si="13"/>
        <v/>
      </c>
    </row>
    <row r="390" spans="8:12" ht="14.25" customHeight="1" x14ac:dyDescent="0.2">
      <c r="H390" s="19" t="s">
        <v>1979</v>
      </c>
      <c r="J390" s="110" t="str">
        <f t="shared" si="12"/>
        <v/>
      </c>
      <c r="L390" s="110" t="str">
        <f t="shared" si="13"/>
        <v/>
      </c>
    </row>
    <row r="391" spans="8:12" ht="14.25" customHeight="1" x14ac:dyDescent="0.2">
      <c r="H391" s="19" t="s">
        <v>1979</v>
      </c>
      <c r="J391" s="110" t="str">
        <f t="shared" si="12"/>
        <v/>
      </c>
      <c r="L391" s="110" t="str">
        <f t="shared" si="13"/>
        <v/>
      </c>
    </row>
    <row r="392" spans="8:12" ht="14.25" customHeight="1" x14ac:dyDescent="0.2">
      <c r="H392" s="19" t="s">
        <v>1979</v>
      </c>
      <c r="J392" s="110" t="str">
        <f t="shared" si="12"/>
        <v/>
      </c>
      <c r="L392" s="110" t="str">
        <f t="shared" si="13"/>
        <v/>
      </c>
    </row>
    <row r="393" spans="8:12" ht="14.25" customHeight="1" x14ac:dyDescent="0.2">
      <c r="H393" s="19" t="s">
        <v>1979</v>
      </c>
      <c r="J393" s="110" t="str">
        <f t="shared" si="12"/>
        <v/>
      </c>
      <c r="L393" s="110" t="str">
        <f t="shared" si="13"/>
        <v/>
      </c>
    </row>
    <row r="394" spans="8:12" ht="14.25" customHeight="1" x14ac:dyDescent="0.2">
      <c r="H394" s="19" t="s">
        <v>1979</v>
      </c>
      <c r="J394" s="110" t="str">
        <f t="shared" si="12"/>
        <v/>
      </c>
      <c r="L394" s="110" t="str">
        <f t="shared" si="13"/>
        <v/>
      </c>
    </row>
    <row r="395" spans="8:12" ht="14.25" customHeight="1" x14ac:dyDescent="0.2">
      <c r="H395" s="19" t="s">
        <v>1979</v>
      </c>
      <c r="J395" s="110" t="str">
        <f t="shared" si="12"/>
        <v/>
      </c>
      <c r="L395" s="110" t="str">
        <f t="shared" si="13"/>
        <v/>
      </c>
    </row>
    <row r="396" spans="8:12" ht="14.25" customHeight="1" x14ac:dyDescent="0.2">
      <c r="H396" s="19" t="s">
        <v>1979</v>
      </c>
      <c r="J396" s="110" t="str">
        <f t="shared" si="12"/>
        <v/>
      </c>
      <c r="L396" s="110" t="str">
        <f t="shared" si="13"/>
        <v/>
      </c>
    </row>
    <row r="397" spans="8:12" ht="14.25" customHeight="1" x14ac:dyDescent="0.2">
      <c r="H397" s="19" t="s">
        <v>1979</v>
      </c>
      <c r="J397" s="110" t="str">
        <f t="shared" si="12"/>
        <v/>
      </c>
      <c r="L397" s="110" t="str">
        <f t="shared" si="13"/>
        <v/>
      </c>
    </row>
    <row r="398" spans="8:12" ht="14.25" customHeight="1" x14ac:dyDescent="0.2">
      <c r="H398" s="19" t="s">
        <v>1979</v>
      </c>
      <c r="J398" s="110" t="str">
        <f t="shared" si="12"/>
        <v/>
      </c>
      <c r="L398" s="110" t="str">
        <f t="shared" si="13"/>
        <v/>
      </c>
    </row>
    <row r="399" spans="8:12" ht="14.25" customHeight="1" x14ac:dyDescent="0.2">
      <c r="H399" s="19" t="s">
        <v>1979</v>
      </c>
      <c r="J399" s="110" t="str">
        <f t="shared" si="12"/>
        <v/>
      </c>
      <c r="L399" s="110" t="str">
        <f t="shared" si="13"/>
        <v/>
      </c>
    </row>
    <row r="400" spans="8:12" ht="14.25" customHeight="1" x14ac:dyDescent="0.2">
      <c r="H400" s="19" t="s">
        <v>1979</v>
      </c>
      <c r="J400" s="110" t="str">
        <f t="shared" si="12"/>
        <v/>
      </c>
      <c r="L400" s="110" t="str">
        <f t="shared" si="13"/>
        <v/>
      </c>
    </row>
    <row r="401" spans="8:12" ht="14.25" customHeight="1" x14ac:dyDescent="0.2">
      <c r="H401" s="19" t="s">
        <v>1979</v>
      </c>
      <c r="J401" s="110" t="str">
        <f t="shared" si="12"/>
        <v/>
      </c>
      <c r="L401" s="110" t="str">
        <f t="shared" si="13"/>
        <v/>
      </c>
    </row>
    <row r="402" spans="8:12" ht="14.25" customHeight="1" x14ac:dyDescent="0.2">
      <c r="H402" s="19" t="s">
        <v>1979</v>
      </c>
      <c r="J402" s="110" t="str">
        <f t="shared" si="12"/>
        <v/>
      </c>
      <c r="L402" s="110" t="str">
        <f t="shared" si="13"/>
        <v/>
      </c>
    </row>
    <row r="403" spans="8:12" ht="14.25" customHeight="1" x14ac:dyDescent="0.2">
      <c r="H403" s="19" t="s">
        <v>1979</v>
      </c>
      <c r="J403" s="110" t="str">
        <f t="shared" si="12"/>
        <v/>
      </c>
      <c r="L403" s="110" t="str">
        <f t="shared" si="13"/>
        <v/>
      </c>
    </row>
    <row r="404" spans="8:12" ht="14.25" customHeight="1" x14ac:dyDescent="0.2">
      <c r="H404" s="19" t="s">
        <v>1979</v>
      </c>
      <c r="J404" s="110" t="str">
        <f t="shared" si="12"/>
        <v/>
      </c>
      <c r="L404" s="110" t="str">
        <f t="shared" si="13"/>
        <v/>
      </c>
    </row>
    <row r="405" spans="8:12" ht="14.25" customHeight="1" x14ac:dyDescent="0.2">
      <c r="H405" s="19" t="s">
        <v>1979</v>
      </c>
      <c r="J405" s="110" t="str">
        <f t="shared" si="12"/>
        <v/>
      </c>
      <c r="L405" s="110" t="str">
        <f t="shared" si="13"/>
        <v/>
      </c>
    </row>
    <row r="406" spans="8:12" ht="14.25" customHeight="1" x14ac:dyDescent="0.2">
      <c r="H406" s="19" t="s">
        <v>1979</v>
      </c>
      <c r="J406" s="110" t="str">
        <f t="shared" si="12"/>
        <v/>
      </c>
      <c r="L406" s="110" t="str">
        <f t="shared" si="13"/>
        <v/>
      </c>
    </row>
    <row r="407" spans="8:12" ht="14.25" customHeight="1" x14ac:dyDescent="0.2">
      <c r="H407" s="19" t="s">
        <v>1979</v>
      </c>
      <c r="J407" s="110" t="str">
        <f t="shared" si="12"/>
        <v/>
      </c>
      <c r="L407" s="110" t="str">
        <f t="shared" si="13"/>
        <v/>
      </c>
    </row>
    <row r="408" spans="8:12" ht="14.25" customHeight="1" x14ac:dyDescent="0.2">
      <c r="H408" s="19" t="s">
        <v>1979</v>
      </c>
      <c r="J408" s="110" t="str">
        <f t="shared" si="12"/>
        <v/>
      </c>
      <c r="L408" s="110" t="str">
        <f t="shared" si="13"/>
        <v/>
      </c>
    </row>
    <row r="409" spans="8:12" ht="14.25" customHeight="1" x14ac:dyDescent="0.2">
      <c r="H409" s="19" t="s">
        <v>1979</v>
      </c>
      <c r="J409" s="110" t="str">
        <f t="shared" si="12"/>
        <v/>
      </c>
      <c r="L409" s="110" t="str">
        <f t="shared" si="13"/>
        <v/>
      </c>
    </row>
    <row r="410" spans="8:12" ht="14.25" customHeight="1" x14ac:dyDescent="0.2">
      <c r="H410" s="19" t="s">
        <v>1979</v>
      </c>
      <c r="J410" s="110" t="str">
        <f t="shared" si="12"/>
        <v/>
      </c>
      <c r="L410" s="110" t="str">
        <f t="shared" si="13"/>
        <v/>
      </c>
    </row>
    <row r="411" spans="8:12" ht="14.25" customHeight="1" x14ac:dyDescent="0.2">
      <c r="H411" s="19" t="s">
        <v>1979</v>
      </c>
      <c r="J411" s="110" t="str">
        <f t="shared" si="12"/>
        <v/>
      </c>
      <c r="L411" s="110" t="str">
        <f t="shared" si="13"/>
        <v/>
      </c>
    </row>
    <row r="412" spans="8:12" ht="14.25" customHeight="1" x14ac:dyDescent="0.2">
      <c r="H412" s="19" t="s">
        <v>1979</v>
      </c>
      <c r="J412" s="110" t="str">
        <f t="shared" si="12"/>
        <v/>
      </c>
      <c r="L412" s="110" t="str">
        <f t="shared" si="13"/>
        <v/>
      </c>
    </row>
    <row r="413" spans="8:12" ht="14.25" customHeight="1" x14ac:dyDescent="0.2">
      <c r="H413" s="19" t="s">
        <v>1979</v>
      </c>
      <c r="J413" s="110" t="str">
        <f t="shared" si="12"/>
        <v/>
      </c>
      <c r="L413" s="110" t="str">
        <f t="shared" si="13"/>
        <v/>
      </c>
    </row>
    <row r="414" spans="8:12" ht="14.25" customHeight="1" x14ac:dyDescent="0.2">
      <c r="H414" s="19" t="s">
        <v>1979</v>
      </c>
      <c r="J414" s="110" t="str">
        <f t="shared" si="12"/>
        <v/>
      </c>
      <c r="L414" s="110" t="str">
        <f t="shared" si="13"/>
        <v/>
      </c>
    </row>
    <row r="415" spans="8:12" ht="14.25" customHeight="1" x14ac:dyDescent="0.2">
      <c r="H415" s="19" t="s">
        <v>1979</v>
      </c>
      <c r="J415" s="110" t="str">
        <f t="shared" si="12"/>
        <v/>
      </c>
      <c r="L415" s="110" t="str">
        <f t="shared" si="13"/>
        <v/>
      </c>
    </row>
    <row r="416" spans="8:12" ht="14.25" customHeight="1" x14ac:dyDescent="0.2">
      <c r="H416" s="19" t="s">
        <v>1979</v>
      </c>
      <c r="J416" s="110" t="str">
        <f t="shared" si="12"/>
        <v/>
      </c>
      <c r="L416" s="110" t="str">
        <f t="shared" si="13"/>
        <v/>
      </c>
    </row>
    <row r="417" spans="8:12" ht="14.25" customHeight="1" x14ac:dyDescent="0.2">
      <c r="H417" s="19" t="s">
        <v>1979</v>
      </c>
      <c r="J417" s="110" t="str">
        <f t="shared" si="12"/>
        <v/>
      </c>
      <c r="L417" s="110" t="str">
        <f t="shared" si="13"/>
        <v/>
      </c>
    </row>
    <row r="418" spans="8:12" ht="14.25" customHeight="1" x14ac:dyDescent="0.2">
      <c r="H418" s="19" t="s">
        <v>1979</v>
      </c>
      <c r="J418" s="110" t="str">
        <f t="shared" si="12"/>
        <v/>
      </c>
      <c r="L418" s="110" t="str">
        <f t="shared" si="13"/>
        <v/>
      </c>
    </row>
    <row r="419" spans="8:12" ht="14.25" customHeight="1" x14ac:dyDescent="0.2">
      <c r="H419" s="19" t="s">
        <v>1979</v>
      </c>
      <c r="J419" s="110" t="str">
        <f t="shared" si="12"/>
        <v/>
      </c>
      <c r="L419" s="110" t="str">
        <f t="shared" si="13"/>
        <v/>
      </c>
    </row>
    <row r="420" spans="8:12" ht="14.25" customHeight="1" x14ac:dyDescent="0.2">
      <c r="H420" s="19" t="s">
        <v>1979</v>
      </c>
      <c r="J420" s="110" t="str">
        <f t="shared" si="12"/>
        <v/>
      </c>
      <c r="L420" s="110" t="str">
        <f t="shared" si="13"/>
        <v/>
      </c>
    </row>
    <row r="421" spans="8:12" ht="14.25" customHeight="1" x14ac:dyDescent="0.2">
      <c r="H421" s="19" t="s">
        <v>1979</v>
      </c>
      <c r="J421" s="110" t="str">
        <f t="shared" si="12"/>
        <v/>
      </c>
      <c r="L421" s="110" t="str">
        <f t="shared" si="13"/>
        <v/>
      </c>
    </row>
    <row r="422" spans="8:12" ht="14.25" customHeight="1" x14ac:dyDescent="0.2">
      <c r="H422" s="19" t="s">
        <v>1979</v>
      </c>
      <c r="J422" s="110" t="str">
        <f t="shared" si="12"/>
        <v/>
      </c>
      <c r="L422" s="110" t="str">
        <f t="shared" si="13"/>
        <v/>
      </c>
    </row>
    <row r="423" spans="8:12" ht="14.25" customHeight="1" x14ac:dyDescent="0.2">
      <c r="H423" s="19" t="s">
        <v>1979</v>
      </c>
      <c r="J423" s="110" t="str">
        <f t="shared" si="12"/>
        <v/>
      </c>
      <c r="L423" s="110" t="str">
        <f t="shared" si="13"/>
        <v/>
      </c>
    </row>
    <row r="424" spans="8:12" ht="14.25" customHeight="1" x14ac:dyDescent="0.2">
      <c r="H424" s="19" t="s">
        <v>1979</v>
      </c>
      <c r="J424" s="110" t="str">
        <f t="shared" si="12"/>
        <v/>
      </c>
      <c r="L424" s="110" t="str">
        <f t="shared" si="13"/>
        <v/>
      </c>
    </row>
    <row r="425" spans="8:12" ht="14.25" customHeight="1" x14ac:dyDescent="0.2">
      <c r="H425" s="19" t="s">
        <v>1979</v>
      </c>
      <c r="J425" s="110" t="str">
        <f t="shared" si="12"/>
        <v/>
      </c>
      <c r="L425" s="110" t="str">
        <f t="shared" si="13"/>
        <v/>
      </c>
    </row>
    <row r="426" spans="8:12" ht="14.25" customHeight="1" x14ac:dyDescent="0.2">
      <c r="H426" s="19" t="s">
        <v>1979</v>
      </c>
      <c r="J426" s="110" t="str">
        <f t="shared" si="12"/>
        <v/>
      </c>
      <c r="L426" s="110" t="str">
        <f t="shared" si="13"/>
        <v/>
      </c>
    </row>
    <row r="427" spans="8:12" ht="14.25" customHeight="1" x14ac:dyDescent="0.2">
      <c r="H427" s="19" t="s">
        <v>1979</v>
      </c>
      <c r="J427" s="110" t="str">
        <f t="shared" si="12"/>
        <v/>
      </c>
      <c r="L427" s="110" t="str">
        <f t="shared" si="13"/>
        <v/>
      </c>
    </row>
    <row r="428" spans="8:12" ht="14.25" customHeight="1" x14ac:dyDescent="0.2">
      <c r="H428" s="19" t="s">
        <v>1979</v>
      </c>
      <c r="J428" s="110" t="str">
        <f t="shared" si="12"/>
        <v/>
      </c>
      <c r="L428" s="110" t="str">
        <f t="shared" si="13"/>
        <v/>
      </c>
    </row>
    <row r="429" spans="8:12" ht="14.25" customHeight="1" x14ac:dyDescent="0.2">
      <c r="H429" s="19" t="s">
        <v>1979</v>
      </c>
      <c r="J429" s="110" t="str">
        <f t="shared" si="12"/>
        <v/>
      </c>
      <c r="L429" s="110" t="str">
        <f t="shared" si="13"/>
        <v/>
      </c>
    </row>
    <row r="430" spans="8:12" ht="14.25" customHeight="1" x14ac:dyDescent="0.2">
      <c r="H430" s="19" t="s">
        <v>1979</v>
      </c>
      <c r="J430" s="110" t="str">
        <f t="shared" si="12"/>
        <v/>
      </c>
      <c r="L430" s="110" t="str">
        <f t="shared" si="13"/>
        <v/>
      </c>
    </row>
    <row r="431" spans="8:12" ht="14.25" customHeight="1" x14ac:dyDescent="0.2">
      <c r="H431" s="19" t="s">
        <v>1979</v>
      </c>
      <c r="J431" s="110" t="str">
        <f t="shared" si="12"/>
        <v/>
      </c>
      <c r="L431" s="110" t="str">
        <f t="shared" si="13"/>
        <v/>
      </c>
    </row>
    <row r="432" spans="8:12" ht="14.25" customHeight="1" x14ac:dyDescent="0.2">
      <c r="H432" s="19" t="s">
        <v>1979</v>
      </c>
      <c r="J432" s="110" t="str">
        <f t="shared" si="12"/>
        <v/>
      </c>
      <c r="L432" s="110" t="str">
        <f t="shared" si="13"/>
        <v/>
      </c>
    </row>
    <row r="433" spans="8:12" ht="14.25" customHeight="1" x14ac:dyDescent="0.2">
      <c r="H433" s="19" t="s">
        <v>1979</v>
      </c>
      <c r="J433" s="110" t="str">
        <f t="shared" si="12"/>
        <v/>
      </c>
      <c r="L433" s="110" t="str">
        <f t="shared" si="13"/>
        <v/>
      </c>
    </row>
    <row r="434" spans="8:12" ht="14.25" customHeight="1" x14ac:dyDescent="0.2">
      <c r="H434" s="19" t="s">
        <v>1979</v>
      </c>
      <c r="J434" s="110" t="str">
        <f t="shared" si="12"/>
        <v/>
      </c>
      <c r="L434" s="110" t="str">
        <f t="shared" si="13"/>
        <v/>
      </c>
    </row>
    <row r="435" spans="8:12" ht="14.25" customHeight="1" x14ac:dyDescent="0.2">
      <c r="H435" s="19" t="s">
        <v>1979</v>
      </c>
      <c r="J435" s="110" t="str">
        <f t="shared" si="12"/>
        <v/>
      </c>
      <c r="L435" s="110" t="str">
        <f t="shared" si="13"/>
        <v/>
      </c>
    </row>
    <row r="436" spans="8:12" ht="14.25" customHeight="1" x14ac:dyDescent="0.2">
      <c r="H436" s="19" t="s">
        <v>1979</v>
      </c>
      <c r="J436" s="110" t="str">
        <f t="shared" si="12"/>
        <v/>
      </c>
      <c r="L436" s="110" t="str">
        <f t="shared" si="13"/>
        <v/>
      </c>
    </row>
    <row r="437" spans="8:12" ht="14.25" customHeight="1" x14ac:dyDescent="0.2">
      <c r="H437" s="19" t="s">
        <v>1979</v>
      </c>
      <c r="J437" s="110" t="str">
        <f t="shared" si="12"/>
        <v/>
      </c>
      <c r="L437" s="110" t="str">
        <f t="shared" si="13"/>
        <v/>
      </c>
    </row>
    <row r="438" spans="8:12" ht="14.25" customHeight="1" x14ac:dyDescent="0.2">
      <c r="H438" s="19" t="s">
        <v>1979</v>
      </c>
      <c r="J438" s="110" t="str">
        <f t="shared" si="12"/>
        <v/>
      </c>
      <c r="L438" s="110" t="str">
        <f t="shared" si="13"/>
        <v/>
      </c>
    </row>
    <row r="439" spans="8:12" ht="14.25" customHeight="1" x14ac:dyDescent="0.2">
      <c r="H439" s="19" t="s">
        <v>1979</v>
      </c>
      <c r="J439" s="110" t="str">
        <f t="shared" si="12"/>
        <v/>
      </c>
      <c r="L439" s="110" t="str">
        <f t="shared" si="13"/>
        <v/>
      </c>
    </row>
    <row r="440" spans="8:12" ht="14.25" customHeight="1" x14ac:dyDescent="0.2">
      <c r="H440" s="19" t="s">
        <v>1979</v>
      </c>
      <c r="J440" s="110" t="str">
        <f t="shared" si="12"/>
        <v/>
      </c>
      <c r="L440" s="110" t="str">
        <f t="shared" si="13"/>
        <v/>
      </c>
    </row>
    <row r="441" spans="8:12" ht="14.25" customHeight="1" x14ac:dyDescent="0.2">
      <c r="H441" s="19" t="s">
        <v>1979</v>
      </c>
      <c r="J441" s="110" t="str">
        <f t="shared" si="12"/>
        <v/>
      </c>
      <c r="L441" s="110" t="str">
        <f t="shared" si="13"/>
        <v/>
      </c>
    </row>
    <row r="442" spans="8:12" ht="14.25" customHeight="1" x14ac:dyDescent="0.2">
      <c r="H442" s="19" t="s">
        <v>1979</v>
      </c>
      <c r="J442" s="110" t="str">
        <f t="shared" si="12"/>
        <v/>
      </c>
      <c r="L442" s="110" t="str">
        <f t="shared" si="13"/>
        <v/>
      </c>
    </row>
    <row r="443" spans="8:12" ht="14.25" customHeight="1" x14ac:dyDescent="0.2">
      <c r="H443" s="19" t="s">
        <v>1979</v>
      </c>
      <c r="J443" s="110" t="str">
        <f t="shared" si="12"/>
        <v/>
      </c>
      <c r="L443" s="110" t="str">
        <f t="shared" si="13"/>
        <v/>
      </c>
    </row>
    <row r="444" spans="8:12" ht="14.25" customHeight="1" x14ac:dyDescent="0.2">
      <c r="H444" s="19" t="s">
        <v>1979</v>
      </c>
      <c r="J444" s="110" t="str">
        <f t="shared" si="12"/>
        <v/>
      </c>
      <c r="L444" s="110" t="str">
        <f t="shared" si="13"/>
        <v/>
      </c>
    </row>
    <row r="445" spans="8:12" ht="14.25" customHeight="1" x14ac:dyDescent="0.2">
      <c r="H445" s="19" t="s">
        <v>1979</v>
      </c>
      <c r="J445" s="110" t="str">
        <f t="shared" si="12"/>
        <v/>
      </c>
      <c r="L445" s="110" t="str">
        <f t="shared" si="13"/>
        <v/>
      </c>
    </row>
    <row r="446" spans="8:12" ht="14.25" customHeight="1" x14ac:dyDescent="0.2">
      <c r="H446" s="19" t="s">
        <v>1979</v>
      </c>
      <c r="J446" s="110" t="str">
        <f t="shared" si="12"/>
        <v/>
      </c>
      <c r="L446" s="110" t="str">
        <f t="shared" si="13"/>
        <v/>
      </c>
    </row>
    <row r="447" spans="8:12" ht="14.25" customHeight="1" x14ac:dyDescent="0.2">
      <c r="H447" s="19" t="s">
        <v>1979</v>
      </c>
      <c r="J447" s="110" t="str">
        <f t="shared" si="12"/>
        <v/>
      </c>
      <c r="L447" s="110" t="str">
        <f t="shared" si="13"/>
        <v/>
      </c>
    </row>
    <row r="448" spans="8:12" ht="14.25" customHeight="1" x14ac:dyDescent="0.2">
      <c r="H448" s="19" t="s">
        <v>1979</v>
      </c>
      <c r="J448" s="110" t="str">
        <f t="shared" si="12"/>
        <v/>
      </c>
      <c r="L448" s="110" t="str">
        <f t="shared" si="13"/>
        <v/>
      </c>
    </row>
    <row r="449" spans="8:12" ht="14.25" customHeight="1" x14ac:dyDescent="0.2">
      <c r="H449" s="19" t="s">
        <v>1979</v>
      </c>
      <c r="J449" s="110" t="str">
        <f t="shared" si="12"/>
        <v/>
      </c>
      <c r="L449" s="110" t="str">
        <f t="shared" si="13"/>
        <v/>
      </c>
    </row>
    <row r="450" spans="8:12" ht="14.25" customHeight="1" x14ac:dyDescent="0.2">
      <c r="H450" s="19" t="s">
        <v>1979</v>
      </c>
      <c r="J450" s="110" t="str">
        <f t="shared" si="12"/>
        <v/>
      </c>
      <c r="L450" s="110" t="str">
        <f t="shared" si="13"/>
        <v/>
      </c>
    </row>
    <row r="451" spans="8:12" ht="14.25" customHeight="1" x14ac:dyDescent="0.2">
      <c r="H451" s="19" t="s">
        <v>1979</v>
      </c>
      <c r="J451" s="110" t="str">
        <f t="shared" ref="J451:J514" si="14">IF(K451="","", K451/PI())</f>
        <v/>
      </c>
      <c r="L451" s="110" t="str">
        <f t="shared" ref="L451:L514" si="15">IF(OR(P451="", N451="", O451=""), "", TAN(P451*PI()/180)*N451 +O451)</f>
        <v/>
      </c>
    </row>
    <row r="452" spans="8:12" ht="14.25" customHeight="1" x14ac:dyDescent="0.2">
      <c r="H452" s="19" t="s">
        <v>1979</v>
      </c>
      <c r="J452" s="110" t="str">
        <f t="shared" si="14"/>
        <v/>
      </c>
      <c r="L452" s="110" t="str">
        <f t="shared" si="15"/>
        <v/>
      </c>
    </row>
    <row r="453" spans="8:12" ht="14.25" customHeight="1" x14ac:dyDescent="0.2">
      <c r="H453" s="19" t="s">
        <v>1979</v>
      </c>
      <c r="J453" s="110" t="str">
        <f t="shared" si="14"/>
        <v/>
      </c>
      <c r="L453" s="110" t="str">
        <f t="shared" si="15"/>
        <v/>
      </c>
    </row>
    <row r="454" spans="8:12" ht="14.25" customHeight="1" x14ac:dyDescent="0.2">
      <c r="H454" s="19" t="s">
        <v>1979</v>
      </c>
      <c r="J454" s="110" t="str">
        <f t="shared" si="14"/>
        <v/>
      </c>
      <c r="L454" s="110" t="str">
        <f t="shared" si="15"/>
        <v/>
      </c>
    </row>
    <row r="455" spans="8:12" ht="14.25" customHeight="1" x14ac:dyDescent="0.2">
      <c r="H455" s="19" t="s">
        <v>1979</v>
      </c>
      <c r="J455" s="110" t="str">
        <f t="shared" si="14"/>
        <v/>
      </c>
      <c r="L455" s="110" t="str">
        <f t="shared" si="15"/>
        <v/>
      </c>
    </row>
    <row r="456" spans="8:12" ht="14.25" customHeight="1" x14ac:dyDescent="0.2">
      <c r="H456" s="19" t="s">
        <v>1979</v>
      </c>
      <c r="J456" s="110" t="str">
        <f t="shared" si="14"/>
        <v/>
      </c>
      <c r="L456" s="110" t="str">
        <f t="shared" si="15"/>
        <v/>
      </c>
    </row>
    <row r="457" spans="8:12" ht="14.25" customHeight="1" x14ac:dyDescent="0.2">
      <c r="H457" s="19" t="s">
        <v>1979</v>
      </c>
      <c r="J457" s="110" t="str">
        <f t="shared" si="14"/>
        <v/>
      </c>
      <c r="L457" s="110" t="str">
        <f t="shared" si="15"/>
        <v/>
      </c>
    </row>
    <row r="458" spans="8:12" ht="14.25" customHeight="1" x14ac:dyDescent="0.2">
      <c r="H458" s="19" t="s">
        <v>1979</v>
      </c>
      <c r="J458" s="110" t="str">
        <f t="shared" si="14"/>
        <v/>
      </c>
      <c r="L458" s="110" t="str">
        <f t="shared" si="15"/>
        <v/>
      </c>
    </row>
    <row r="459" spans="8:12" ht="14.25" customHeight="1" x14ac:dyDescent="0.2">
      <c r="H459" s="19" t="s">
        <v>1979</v>
      </c>
      <c r="J459" s="110" t="str">
        <f t="shared" si="14"/>
        <v/>
      </c>
      <c r="L459" s="110" t="str">
        <f t="shared" si="15"/>
        <v/>
      </c>
    </row>
    <row r="460" spans="8:12" ht="14.25" customHeight="1" x14ac:dyDescent="0.2">
      <c r="H460" s="19" t="s">
        <v>1979</v>
      </c>
      <c r="J460" s="110" t="str">
        <f t="shared" si="14"/>
        <v/>
      </c>
      <c r="L460" s="110" t="str">
        <f t="shared" si="15"/>
        <v/>
      </c>
    </row>
    <row r="461" spans="8:12" ht="14.25" customHeight="1" x14ac:dyDescent="0.2">
      <c r="H461" s="19" t="s">
        <v>1979</v>
      </c>
      <c r="J461" s="110" t="str">
        <f t="shared" si="14"/>
        <v/>
      </c>
      <c r="L461" s="110" t="str">
        <f t="shared" si="15"/>
        <v/>
      </c>
    </row>
    <row r="462" spans="8:12" ht="14.25" customHeight="1" x14ac:dyDescent="0.2">
      <c r="H462" s="19" t="s">
        <v>1979</v>
      </c>
      <c r="J462" s="110" t="str">
        <f t="shared" si="14"/>
        <v/>
      </c>
      <c r="L462" s="110" t="str">
        <f t="shared" si="15"/>
        <v/>
      </c>
    </row>
    <row r="463" spans="8:12" ht="14.25" customHeight="1" x14ac:dyDescent="0.2">
      <c r="H463" s="19" t="s">
        <v>1979</v>
      </c>
      <c r="J463" s="110" t="str">
        <f t="shared" si="14"/>
        <v/>
      </c>
      <c r="L463" s="110" t="str">
        <f t="shared" si="15"/>
        <v/>
      </c>
    </row>
    <row r="464" spans="8:12" ht="14.25" customHeight="1" x14ac:dyDescent="0.2">
      <c r="H464" s="19" t="s">
        <v>1979</v>
      </c>
      <c r="J464" s="110" t="str">
        <f t="shared" si="14"/>
        <v/>
      </c>
      <c r="L464" s="110" t="str">
        <f t="shared" si="15"/>
        <v/>
      </c>
    </row>
    <row r="465" spans="8:12" ht="14.25" customHeight="1" x14ac:dyDescent="0.2">
      <c r="H465" s="19" t="s">
        <v>1979</v>
      </c>
      <c r="J465" s="110" t="str">
        <f t="shared" si="14"/>
        <v/>
      </c>
      <c r="L465" s="110" t="str">
        <f t="shared" si="15"/>
        <v/>
      </c>
    </row>
    <row r="466" spans="8:12" ht="14.25" customHeight="1" x14ac:dyDescent="0.2">
      <c r="H466" s="19" t="s">
        <v>1979</v>
      </c>
      <c r="J466" s="110" t="str">
        <f t="shared" si="14"/>
        <v/>
      </c>
      <c r="L466" s="110" t="str">
        <f t="shared" si="15"/>
        <v/>
      </c>
    </row>
    <row r="467" spans="8:12" ht="14.25" customHeight="1" x14ac:dyDescent="0.2">
      <c r="H467" s="19" t="s">
        <v>1979</v>
      </c>
      <c r="J467" s="110" t="str">
        <f t="shared" si="14"/>
        <v/>
      </c>
      <c r="L467" s="110" t="str">
        <f t="shared" si="15"/>
        <v/>
      </c>
    </row>
    <row r="468" spans="8:12" ht="14.25" customHeight="1" x14ac:dyDescent="0.2">
      <c r="H468" s="19" t="s">
        <v>1979</v>
      </c>
      <c r="J468" s="110" t="str">
        <f t="shared" si="14"/>
        <v/>
      </c>
      <c r="L468" s="110" t="str">
        <f t="shared" si="15"/>
        <v/>
      </c>
    </row>
    <row r="469" spans="8:12" ht="14.25" customHeight="1" x14ac:dyDescent="0.2">
      <c r="H469" s="19" t="s">
        <v>1979</v>
      </c>
      <c r="J469" s="110" t="str">
        <f t="shared" si="14"/>
        <v/>
      </c>
      <c r="L469" s="110" t="str">
        <f t="shared" si="15"/>
        <v/>
      </c>
    </row>
    <row r="470" spans="8:12" ht="14.25" customHeight="1" x14ac:dyDescent="0.2">
      <c r="H470" s="19" t="s">
        <v>1979</v>
      </c>
      <c r="J470" s="110" t="str">
        <f t="shared" si="14"/>
        <v/>
      </c>
      <c r="L470" s="110" t="str">
        <f t="shared" si="15"/>
        <v/>
      </c>
    </row>
    <row r="471" spans="8:12" ht="14.25" customHeight="1" x14ac:dyDescent="0.2">
      <c r="H471" s="19" t="s">
        <v>1979</v>
      </c>
      <c r="J471" s="110" t="str">
        <f t="shared" si="14"/>
        <v/>
      </c>
      <c r="L471" s="110" t="str">
        <f t="shared" si="15"/>
        <v/>
      </c>
    </row>
    <row r="472" spans="8:12" ht="14.25" customHeight="1" x14ac:dyDescent="0.2">
      <c r="H472" s="19" t="s">
        <v>1979</v>
      </c>
      <c r="J472" s="110" t="str">
        <f t="shared" si="14"/>
        <v/>
      </c>
      <c r="L472" s="110" t="str">
        <f t="shared" si="15"/>
        <v/>
      </c>
    </row>
    <row r="473" spans="8:12" ht="14.25" customHeight="1" x14ac:dyDescent="0.2">
      <c r="H473" s="19" t="s">
        <v>1979</v>
      </c>
      <c r="J473" s="110" t="str">
        <f t="shared" si="14"/>
        <v/>
      </c>
      <c r="L473" s="110" t="str">
        <f t="shared" si="15"/>
        <v/>
      </c>
    </row>
    <row r="474" spans="8:12" ht="14.25" customHeight="1" x14ac:dyDescent="0.2">
      <c r="H474" s="19" t="s">
        <v>1979</v>
      </c>
      <c r="J474" s="110" t="str">
        <f t="shared" si="14"/>
        <v/>
      </c>
      <c r="L474" s="110" t="str">
        <f t="shared" si="15"/>
        <v/>
      </c>
    </row>
    <row r="475" spans="8:12" ht="14.25" customHeight="1" x14ac:dyDescent="0.2">
      <c r="H475" s="19" t="s">
        <v>1979</v>
      </c>
      <c r="J475" s="110" t="str">
        <f t="shared" si="14"/>
        <v/>
      </c>
      <c r="L475" s="110" t="str">
        <f t="shared" si="15"/>
        <v/>
      </c>
    </row>
    <row r="476" spans="8:12" ht="14.25" customHeight="1" x14ac:dyDescent="0.2">
      <c r="H476" s="19" t="s">
        <v>1979</v>
      </c>
      <c r="J476" s="110" t="str">
        <f t="shared" si="14"/>
        <v/>
      </c>
      <c r="L476" s="110" t="str">
        <f t="shared" si="15"/>
        <v/>
      </c>
    </row>
    <row r="477" spans="8:12" ht="14.25" customHeight="1" x14ac:dyDescent="0.2">
      <c r="H477" s="19" t="s">
        <v>1979</v>
      </c>
      <c r="J477" s="110" t="str">
        <f t="shared" si="14"/>
        <v/>
      </c>
      <c r="L477" s="110" t="str">
        <f t="shared" si="15"/>
        <v/>
      </c>
    </row>
    <row r="478" spans="8:12" ht="14.25" customHeight="1" x14ac:dyDescent="0.2">
      <c r="H478" s="19" t="s">
        <v>1979</v>
      </c>
      <c r="J478" s="110" t="str">
        <f t="shared" si="14"/>
        <v/>
      </c>
      <c r="L478" s="110" t="str">
        <f t="shared" si="15"/>
        <v/>
      </c>
    </row>
    <row r="479" spans="8:12" ht="14.25" customHeight="1" x14ac:dyDescent="0.2">
      <c r="H479" s="19" t="s">
        <v>1979</v>
      </c>
      <c r="J479" s="110" t="str">
        <f t="shared" si="14"/>
        <v/>
      </c>
      <c r="L479" s="110" t="str">
        <f t="shared" si="15"/>
        <v/>
      </c>
    </row>
    <row r="480" spans="8:12" ht="14.25" customHeight="1" x14ac:dyDescent="0.2">
      <c r="H480" s="19" t="s">
        <v>1979</v>
      </c>
      <c r="J480" s="110" t="str">
        <f t="shared" si="14"/>
        <v/>
      </c>
      <c r="L480" s="110" t="str">
        <f t="shared" si="15"/>
        <v/>
      </c>
    </row>
    <row r="481" spans="8:12" ht="14.25" customHeight="1" x14ac:dyDescent="0.2">
      <c r="H481" s="19" t="s">
        <v>1979</v>
      </c>
      <c r="J481" s="110" t="str">
        <f t="shared" si="14"/>
        <v/>
      </c>
      <c r="L481" s="110" t="str">
        <f t="shared" si="15"/>
        <v/>
      </c>
    </row>
    <row r="482" spans="8:12" ht="14.25" customHeight="1" x14ac:dyDescent="0.2">
      <c r="H482" s="19" t="s">
        <v>1979</v>
      </c>
      <c r="J482" s="110" t="str">
        <f t="shared" si="14"/>
        <v/>
      </c>
      <c r="L482" s="110" t="str">
        <f t="shared" si="15"/>
        <v/>
      </c>
    </row>
    <row r="483" spans="8:12" ht="14.25" customHeight="1" x14ac:dyDescent="0.2">
      <c r="H483" s="19" t="s">
        <v>1979</v>
      </c>
      <c r="J483" s="110" t="str">
        <f t="shared" si="14"/>
        <v/>
      </c>
      <c r="L483" s="110" t="str">
        <f t="shared" si="15"/>
        <v/>
      </c>
    </row>
    <row r="484" spans="8:12" ht="14.25" customHeight="1" x14ac:dyDescent="0.2">
      <c r="H484" s="19" t="s">
        <v>1979</v>
      </c>
      <c r="J484" s="110" t="str">
        <f t="shared" si="14"/>
        <v/>
      </c>
      <c r="L484" s="110" t="str">
        <f t="shared" si="15"/>
        <v/>
      </c>
    </row>
    <row r="485" spans="8:12" ht="14.25" customHeight="1" x14ac:dyDescent="0.2">
      <c r="H485" s="19" t="s">
        <v>1979</v>
      </c>
      <c r="J485" s="110" t="str">
        <f t="shared" si="14"/>
        <v/>
      </c>
      <c r="L485" s="110" t="str">
        <f t="shared" si="15"/>
        <v/>
      </c>
    </row>
    <row r="486" spans="8:12" ht="14.25" customHeight="1" x14ac:dyDescent="0.2">
      <c r="H486" s="19" t="s">
        <v>1979</v>
      </c>
      <c r="J486" s="110" t="str">
        <f t="shared" si="14"/>
        <v/>
      </c>
      <c r="L486" s="110" t="str">
        <f t="shared" si="15"/>
        <v/>
      </c>
    </row>
    <row r="487" spans="8:12" ht="14.25" customHeight="1" x14ac:dyDescent="0.2">
      <c r="H487" s="19" t="s">
        <v>1979</v>
      </c>
      <c r="J487" s="110" t="str">
        <f t="shared" si="14"/>
        <v/>
      </c>
      <c r="L487" s="110" t="str">
        <f t="shared" si="15"/>
        <v/>
      </c>
    </row>
    <row r="488" spans="8:12" ht="14.25" customHeight="1" x14ac:dyDescent="0.2">
      <c r="H488" s="19" t="s">
        <v>1979</v>
      </c>
      <c r="J488" s="110" t="str">
        <f t="shared" si="14"/>
        <v/>
      </c>
      <c r="L488" s="110" t="str">
        <f t="shared" si="15"/>
        <v/>
      </c>
    </row>
    <row r="489" spans="8:12" ht="14.25" customHeight="1" x14ac:dyDescent="0.2">
      <c r="H489" s="19" t="s">
        <v>1979</v>
      </c>
      <c r="J489" s="110" t="str">
        <f t="shared" si="14"/>
        <v/>
      </c>
      <c r="L489" s="110" t="str">
        <f t="shared" si="15"/>
        <v/>
      </c>
    </row>
    <row r="490" spans="8:12" ht="14.25" customHeight="1" x14ac:dyDescent="0.2">
      <c r="H490" s="19" t="s">
        <v>1979</v>
      </c>
      <c r="J490" s="110" t="str">
        <f t="shared" si="14"/>
        <v/>
      </c>
      <c r="L490" s="110" t="str">
        <f t="shared" si="15"/>
        <v/>
      </c>
    </row>
    <row r="491" spans="8:12" ht="14.25" customHeight="1" x14ac:dyDescent="0.2">
      <c r="H491" s="19" t="s">
        <v>1979</v>
      </c>
      <c r="J491" s="110" t="str">
        <f t="shared" si="14"/>
        <v/>
      </c>
      <c r="L491" s="110" t="str">
        <f t="shared" si="15"/>
        <v/>
      </c>
    </row>
    <row r="492" spans="8:12" ht="14.25" customHeight="1" x14ac:dyDescent="0.2">
      <c r="H492" s="19" t="s">
        <v>1979</v>
      </c>
      <c r="J492" s="110" t="str">
        <f t="shared" si="14"/>
        <v/>
      </c>
      <c r="L492" s="110" t="str">
        <f t="shared" si="15"/>
        <v/>
      </c>
    </row>
    <row r="493" spans="8:12" ht="14.25" customHeight="1" x14ac:dyDescent="0.2">
      <c r="H493" s="19" t="s">
        <v>1979</v>
      </c>
      <c r="J493" s="110" t="str">
        <f t="shared" si="14"/>
        <v/>
      </c>
      <c r="L493" s="110" t="str">
        <f t="shared" si="15"/>
        <v/>
      </c>
    </row>
    <row r="494" spans="8:12" ht="14.25" customHeight="1" x14ac:dyDescent="0.2">
      <c r="H494" s="19" t="s">
        <v>1979</v>
      </c>
      <c r="J494" s="110" t="str">
        <f t="shared" si="14"/>
        <v/>
      </c>
      <c r="L494" s="110" t="str">
        <f t="shared" si="15"/>
        <v/>
      </c>
    </row>
    <row r="495" spans="8:12" ht="14.25" customHeight="1" x14ac:dyDescent="0.2">
      <c r="H495" s="19" t="s">
        <v>1979</v>
      </c>
      <c r="J495" s="110" t="str">
        <f t="shared" si="14"/>
        <v/>
      </c>
      <c r="L495" s="110" t="str">
        <f t="shared" si="15"/>
        <v/>
      </c>
    </row>
    <row r="496" spans="8:12" ht="14.25" customHeight="1" x14ac:dyDescent="0.2">
      <c r="H496" s="19" t="s">
        <v>1979</v>
      </c>
      <c r="J496" s="110" t="str">
        <f t="shared" si="14"/>
        <v/>
      </c>
      <c r="L496" s="110" t="str">
        <f t="shared" si="15"/>
        <v/>
      </c>
    </row>
    <row r="497" spans="8:24" ht="14.25" customHeight="1" x14ac:dyDescent="0.2">
      <c r="H497" s="19" t="s">
        <v>1979</v>
      </c>
      <c r="J497" s="110" t="str">
        <f t="shared" si="14"/>
        <v/>
      </c>
      <c r="L497" s="110" t="str">
        <f t="shared" si="15"/>
        <v/>
      </c>
    </row>
    <row r="498" spans="8:24" ht="14.25" customHeight="1" x14ac:dyDescent="0.2">
      <c r="H498" s="19" t="s">
        <v>1979</v>
      </c>
      <c r="J498" s="110" t="str">
        <f t="shared" si="14"/>
        <v/>
      </c>
      <c r="L498" s="110" t="str">
        <f t="shared" si="15"/>
        <v/>
      </c>
    </row>
    <row r="499" spans="8:24" ht="14.25" customHeight="1" x14ac:dyDescent="0.2">
      <c r="H499" s="19" t="s">
        <v>1979</v>
      </c>
      <c r="J499" s="110" t="str">
        <f t="shared" si="14"/>
        <v/>
      </c>
      <c r="L499" s="110" t="str">
        <f t="shared" si="15"/>
        <v/>
      </c>
    </row>
    <row r="500" spans="8:24" ht="14.25" customHeight="1" x14ac:dyDescent="0.2">
      <c r="H500" s="19" t="s">
        <v>1979</v>
      </c>
      <c r="J500" s="110" t="str">
        <f t="shared" si="14"/>
        <v/>
      </c>
      <c r="L500" s="110" t="str">
        <f t="shared" si="15"/>
        <v/>
      </c>
    </row>
    <row r="501" spans="8:24" ht="14.25" customHeight="1" x14ac:dyDescent="0.2">
      <c r="H501" s="19" t="s">
        <v>1979</v>
      </c>
      <c r="J501" s="110" t="str">
        <f t="shared" si="14"/>
        <v/>
      </c>
      <c r="L501" s="110" t="str">
        <f t="shared" si="15"/>
        <v/>
      </c>
      <c r="R501" s="15"/>
      <c r="S501" s="15"/>
      <c r="T501" s="15"/>
      <c r="U501" s="4"/>
      <c r="V501" s="4"/>
      <c r="W501" s="4"/>
      <c r="X501" s="4"/>
    </row>
    <row r="502" spans="8:24" ht="14.25" customHeight="1" x14ac:dyDescent="0.2">
      <c r="H502" s="19" t="s">
        <v>1979</v>
      </c>
      <c r="J502" s="110" t="str">
        <f t="shared" si="14"/>
        <v/>
      </c>
      <c r="L502" s="110" t="str">
        <f t="shared" si="15"/>
        <v/>
      </c>
      <c r="R502" s="15"/>
      <c r="S502" s="15"/>
      <c r="T502" s="15"/>
      <c r="U502" s="4"/>
      <c r="V502" s="4"/>
      <c r="W502" s="4"/>
      <c r="X502" s="4"/>
    </row>
    <row r="503" spans="8:24" ht="14.25" customHeight="1" x14ac:dyDescent="0.2">
      <c r="H503" s="19" t="s">
        <v>1979</v>
      </c>
      <c r="J503" s="110" t="str">
        <f t="shared" si="14"/>
        <v/>
      </c>
      <c r="L503" s="110" t="str">
        <f t="shared" si="15"/>
        <v/>
      </c>
      <c r="R503" s="15"/>
      <c r="S503" s="15"/>
      <c r="T503" s="15"/>
      <c r="U503" s="4"/>
      <c r="V503" s="4"/>
      <c r="W503" s="4"/>
      <c r="X503" s="4"/>
    </row>
    <row r="504" spans="8:24" ht="14.25" customHeight="1" x14ac:dyDescent="0.2">
      <c r="H504" s="19" t="s">
        <v>1979</v>
      </c>
      <c r="J504" s="110" t="str">
        <f t="shared" si="14"/>
        <v/>
      </c>
      <c r="L504" s="110" t="str">
        <f t="shared" si="15"/>
        <v/>
      </c>
      <c r="R504" s="15"/>
      <c r="S504" s="15"/>
      <c r="T504" s="15"/>
      <c r="U504" s="4"/>
      <c r="V504" s="4"/>
      <c r="W504" s="4"/>
      <c r="X504" s="4"/>
    </row>
    <row r="505" spans="8:24" ht="14.25" customHeight="1" x14ac:dyDescent="0.2">
      <c r="H505" s="19" t="s">
        <v>1979</v>
      </c>
      <c r="J505" s="110" t="str">
        <f t="shared" si="14"/>
        <v/>
      </c>
      <c r="L505" s="110" t="str">
        <f t="shared" si="15"/>
        <v/>
      </c>
      <c r="R505" s="15"/>
      <c r="S505" s="15"/>
      <c r="T505" s="15"/>
      <c r="U505" s="4"/>
      <c r="V505" s="4"/>
      <c r="W505" s="4"/>
      <c r="X505" s="4"/>
    </row>
    <row r="506" spans="8:24" ht="14.25" customHeight="1" x14ac:dyDescent="0.2">
      <c r="H506" s="19" t="s">
        <v>1979</v>
      </c>
      <c r="J506" s="110" t="str">
        <f t="shared" si="14"/>
        <v/>
      </c>
      <c r="L506" s="110" t="str">
        <f t="shared" si="15"/>
        <v/>
      </c>
      <c r="R506" s="15"/>
      <c r="S506" s="15"/>
      <c r="T506" s="15"/>
      <c r="U506" s="4"/>
      <c r="V506" s="4"/>
      <c r="W506" s="4"/>
      <c r="X506" s="4"/>
    </row>
    <row r="507" spans="8:24" ht="14.25" customHeight="1" x14ac:dyDescent="0.2">
      <c r="H507" s="19" t="s">
        <v>1979</v>
      </c>
      <c r="J507" s="110" t="str">
        <f t="shared" si="14"/>
        <v/>
      </c>
      <c r="L507" s="110" t="str">
        <f t="shared" si="15"/>
        <v/>
      </c>
      <c r="R507" s="15"/>
      <c r="S507" s="15"/>
      <c r="T507" s="15"/>
      <c r="U507" s="4"/>
      <c r="V507" s="4"/>
      <c r="W507" s="4"/>
      <c r="X507" s="4"/>
    </row>
    <row r="508" spans="8:24" ht="14.25" customHeight="1" x14ac:dyDescent="0.2">
      <c r="H508" s="19" t="s">
        <v>1979</v>
      </c>
      <c r="J508" s="110" t="str">
        <f t="shared" si="14"/>
        <v/>
      </c>
      <c r="L508" s="110" t="str">
        <f t="shared" si="15"/>
        <v/>
      </c>
      <c r="R508" s="16"/>
      <c r="S508" s="16"/>
      <c r="T508" s="16"/>
      <c r="U508" s="4"/>
      <c r="V508" s="4"/>
      <c r="W508" s="4"/>
      <c r="X508" s="4"/>
    </row>
    <row r="509" spans="8:24" ht="14.25" customHeight="1" x14ac:dyDescent="0.2">
      <c r="H509" s="19" t="s">
        <v>1979</v>
      </c>
      <c r="J509" s="110" t="str">
        <f t="shared" si="14"/>
        <v/>
      </c>
      <c r="L509" s="110" t="str">
        <f t="shared" si="15"/>
        <v/>
      </c>
      <c r="R509" s="15"/>
      <c r="S509" s="15"/>
      <c r="T509" s="15"/>
      <c r="U509" s="4"/>
      <c r="V509" s="4"/>
      <c r="W509" s="4"/>
      <c r="X509" s="4"/>
    </row>
    <row r="510" spans="8:24" ht="14.25" customHeight="1" x14ac:dyDescent="0.2">
      <c r="H510" s="19" t="s">
        <v>1979</v>
      </c>
      <c r="J510" s="110" t="str">
        <f t="shared" si="14"/>
        <v/>
      </c>
      <c r="L510" s="110" t="str">
        <f t="shared" si="15"/>
        <v/>
      </c>
      <c r="R510" s="15"/>
      <c r="S510" s="15"/>
      <c r="T510" s="15"/>
      <c r="U510" s="4"/>
      <c r="V510" s="4"/>
      <c r="W510" s="4"/>
      <c r="X510" s="4"/>
    </row>
    <row r="511" spans="8:24" ht="14.25" customHeight="1" x14ac:dyDescent="0.2">
      <c r="H511" s="19" t="s">
        <v>1979</v>
      </c>
      <c r="J511" s="110" t="str">
        <f t="shared" si="14"/>
        <v/>
      </c>
      <c r="L511" s="110" t="str">
        <f t="shared" si="15"/>
        <v/>
      </c>
      <c r="R511" s="15"/>
      <c r="S511" s="15"/>
      <c r="T511" s="15"/>
      <c r="U511" s="4"/>
      <c r="V511" s="4"/>
      <c r="W511" s="4"/>
      <c r="X511" s="4"/>
    </row>
    <row r="512" spans="8:24" ht="14.25" customHeight="1" x14ac:dyDescent="0.2">
      <c r="H512" s="19" t="s">
        <v>1979</v>
      </c>
      <c r="J512" s="110" t="str">
        <f t="shared" si="14"/>
        <v/>
      </c>
      <c r="L512" s="110" t="str">
        <f t="shared" si="15"/>
        <v/>
      </c>
      <c r="R512" s="15"/>
      <c r="S512" s="15"/>
      <c r="T512" s="15"/>
      <c r="U512" s="4"/>
      <c r="V512" s="4"/>
      <c r="W512" s="4"/>
      <c r="X512" s="4"/>
    </row>
    <row r="513" spans="8:24" ht="14.25" customHeight="1" x14ac:dyDescent="0.2">
      <c r="H513" s="19" t="s">
        <v>1979</v>
      </c>
      <c r="J513" s="110" t="str">
        <f t="shared" si="14"/>
        <v/>
      </c>
      <c r="L513" s="110" t="str">
        <f t="shared" si="15"/>
        <v/>
      </c>
      <c r="R513" s="15"/>
      <c r="S513" s="15"/>
      <c r="T513" s="15"/>
      <c r="U513" s="4"/>
      <c r="V513" s="4"/>
      <c r="W513" s="4"/>
      <c r="X513" s="4"/>
    </row>
    <row r="514" spans="8:24" ht="14.25" customHeight="1" x14ac:dyDescent="0.2">
      <c r="H514" s="19" t="s">
        <v>1979</v>
      </c>
      <c r="J514" s="110" t="str">
        <f t="shared" si="14"/>
        <v/>
      </c>
      <c r="L514" s="110" t="str">
        <f t="shared" si="15"/>
        <v/>
      </c>
      <c r="R514" s="15"/>
      <c r="S514" s="15"/>
      <c r="T514" s="15"/>
      <c r="U514" s="4"/>
      <c r="V514" s="4"/>
      <c r="W514" s="4"/>
      <c r="X514" s="4"/>
    </row>
    <row r="515" spans="8:24" ht="14.25" customHeight="1" x14ac:dyDescent="0.2">
      <c r="H515" s="19" t="s">
        <v>1979</v>
      </c>
      <c r="J515" s="110" t="str">
        <f t="shared" ref="J515:J578" si="16">IF(K515="","", K515/PI())</f>
        <v/>
      </c>
      <c r="L515" s="110" t="str">
        <f t="shared" ref="L515:L578" si="17">IF(OR(P515="", N515="", O515=""), "", TAN(P515*PI()/180)*N515 +O515)</f>
        <v/>
      </c>
      <c r="R515" s="15"/>
      <c r="S515" s="15"/>
      <c r="T515" s="15"/>
      <c r="U515" s="4"/>
      <c r="V515" s="4"/>
      <c r="W515" s="4"/>
      <c r="X515" s="4"/>
    </row>
    <row r="516" spans="8:24" ht="14.25" customHeight="1" x14ac:dyDescent="0.2">
      <c r="H516" s="19" t="s">
        <v>1979</v>
      </c>
      <c r="J516" s="110" t="str">
        <f t="shared" si="16"/>
        <v/>
      </c>
      <c r="L516" s="110" t="str">
        <f t="shared" si="17"/>
        <v/>
      </c>
      <c r="R516" s="15"/>
      <c r="S516" s="15"/>
      <c r="T516" s="15"/>
      <c r="U516" s="4"/>
      <c r="V516" s="4"/>
      <c r="W516" s="4"/>
      <c r="X516" s="4"/>
    </row>
    <row r="517" spans="8:24" ht="14.25" customHeight="1" x14ac:dyDescent="0.2">
      <c r="H517" s="19" t="s">
        <v>1979</v>
      </c>
      <c r="J517" s="110" t="str">
        <f t="shared" si="16"/>
        <v/>
      </c>
      <c r="L517" s="110" t="str">
        <f t="shared" si="17"/>
        <v/>
      </c>
      <c r="R517" s="15"/>
      <c r="S517" s="15"/>
      <c r="T517" s="15"/>
      <c r="U517" s="4"/>
      <c r="V517" s="4"/>
      <c r="W517" s="4"/>
      <c r="X517" s="4"/>
    </row>
    <row r="518" spans="8:24" ht="14.25" customHeight="1" x14ac:dyDescent="0.2">
      <c r="H518" s="19" t="s">
        <v>1979</v>
      </c>
      <c r="J518" s="110" t="str">
        <f t="shared" si="16"/>
        <v/>
      </c>
      <c r="L518" s="110" t="str">
        <f t="shared" si="17"/>
        <v/>
      </c>
      <c r="R518" s="15"/>
      <c r="S518" s="15"/>
      <c r="T518" s="15"/>
      <c r="U518" s="4"/>
      <c r="V518" s="4"/>
      <c r="W518" s="4"/>
      <c r="X518" s="4"/>
    </row>
    <row r="519" spans="8:24" ht="14.25" customHeight="1" x14ac:dyDescent="0.2">
      <c r="H519" s="19" t="s">
        <v>1979</v>
      </c>
      <c r="J519" s="110" t="str">
        <f t="shared" si="16"/>
        <v/>
      </c>
      <c r="L519" s="110" t="str">
        <f t="shared" si="17"/>
        <v/>
      </c>
      <c r="R519" s="16"/>
      <c r="S519" s="16"/>
      <c r="T519" s="16"/>
      <c r="U519" s="4"/>
      <c r="V519" s="4"/>
      <c r="W519" s="4"/>
      <c r="X519" s="4"/>
    </row>
    <row r="520" spans="8:24" ht="14.25" customHeight="1" x14ac:dyDescent="0.2">
      <c r="H520" s="19" t="s">
        <v>1979</v>
      </c>
      <c r="J520" s="110" t="str">
        <f t="shared" si="16"/>
        <v/>
      </c>
      <c r="L520" s="110" t="str">
        <f t="shared" si="17"/>
        <v/>
      </c>
      <c r="R520" s="15"/>
      <c r="S520" s="15"/>
      <c r="T520" s="15"/>
      <c r="U520" s="4"/>
      <c r="V520" s="4"/>
      <c r="W520" s="4"/>
      <c r="X520" s="4"/>
    </row>
    <row r="521" spans="8:24" ht="14.25" customHeight="1" x14ac:dyDescent="0.2">
      <c r="H521" s="19" t="s">
        <v>1979</v>
      </c>
      <c r="J521" s="110" t="str">
        <f t="shared" si="16"/>
        <v/>
      </c>
      <c r="L521" s="110" t="str">
        <f t="shared" si="17"/>
        <v/>
      </c>
      <c r="R521" s="15"/>
      <c r="S521" s="15"/>
      <c r="T521" s="15"/>
      <c r="U521" s="4"/>
      <c r="V521" s="4"/>
      <c r="W521" s="4"/>
      <c r="X521" s="4"/>
    </row>
    <row r="522" spans="8:24" ht="14.25" customHeight="1" x14ac:dyDescent="0.2">
      <c r="H522" s="19" t="s">
        <v>1979</v>
      </c>
      <c r="J522" s="110" t="str">
        <f t="shared" si="16"/>
        <v/>
      </c>
      <c r="L522" s="110" t="str">
        <f t="shared" si="17"/>
        <v/>
      </c>
      <c r="R522" s="15"/>
      <c r="S522" s="15"/>
      <c r="T522" s="15"/>
      <c r="U522" s="4"/>
      <c r="V522" s="4"/>
      <c r="W522" s="4"/>
      <c r="X522" s="4"/>
    </row>
    <row r="523" spans="8:24" ht="14.25" customHeight="1" x14ac:dyDescent="0.2">
      <c r="H523" s="19" t="s">
        <v>1979</v>
      </c>
      <c r="J523" s="110" t="str">
        <f t="shared" si="16"/>
        <v/>
      </c>
      <c r="L523" s="110" t="str">
        <f t="shared" si="17"/>
        <v/>
      </c>
      <c r="R523" s="15"/>
      <c r="S523" s="15"/>
      <c r="T523" s="15"/>
      <c r="U523" s="4"/>
      <c r="V523" s="4"/>
      <c r="W523" s="4"/>
      <c r="X523" s="4"/>
    </row>
    <row r="524" spans="8:24" ht="14.25" customHeight="1" x14ac:dyDescent="0.2">
      <c r="H524" s="19" t="s">
        <v>1979</v>
      </c>
      <c r="J524" s="110" t="str">
        <f t="shared" si="16"/>
        <v/>
      </c>
      <c r="L524" s="110" t="str">
        <f t="shared" si="17"/>
        <v/>
      </c>
      <c r="R524" s="15"/>
      <c r="S524" s="15"/>
      <c r="T524" s="15"/>
      <c r="U524" s="4"/>
      <c r="V524" s="4"/>
      <c r="W524" s="4"/>
      <c r="X524" s="4"/>
    </row>
    <row r="525" spans="8:24" ht="14.25" customHeight="1" x14ac:dyDescent="0.2">
      <c r="H525" s="19" t="s">
        <v>1979</v>
      </c>
      <c r="J525" s="110" t="str">
        <f t="shared" si="16"/>
        <v/>
      </c>
      <c r="L525" s="110" t="str">
        <f t="shared" si="17"/>
        <v/>
      </c>
      <c r="R525" s="15"/>
      <c r="S525" s="15"/>
      <c r="T525" s="15"/>
      <c r="U525" s="4"/>
      <c r="V525" s="4"/>
      <c r="W525" s="4"/>
      <c r="X525" s="4"/>
    </row>
    <row r="526" spans="8:24" ht="14.25" customHeight="1" x14ac:dyDescent="0.2">
      <c r="H526" s="19" t="s">
        <v>1979</v>
      </c>
      <c r="J526" s="110" t="str">
        <f t="shared" si="16"/>
        <v/>
      </c>
      <c r="L526" s="110" t="str">
        <f t="shared" si="17"/>
        <v/>
      </c>
      <c r="R526" s="15"/>
      <c r="S526" s="15"/>
      <c r="T526" s="15"/>
      <c r="U526" s="4"/>
      <c r="V526" s="4"/>
      <c r="W526" s="4"/>
      <c r="X526" s="4"/>
    </row>
    <row r="527" spans="8:24" ht="14.25" customHeight="1" x14ac:dyDescent="0.2">
      <c r="H527" s="19" t="s">
        <v>1979</v>
      </c>
      <c r="J527" s="110" t="str">
        <f t="shared" si="16"/>
        <v/>
      </c>
      <c r="L527" s="110" t="str">
        <f t="shared" si="17"/>
        <v/>
      </c>
      <c r="R527" s="15"/>
      <c r="S527" s="15"/>
      <c r="T527" s="15"/>
      <c r="U527" s="4"/>
      <c r="V527" s="4"/>
      <c r="W527" s="4"/>
      <c r="X527" s="4"/>
    </row>
    <row r="528" spans="8:24" ht="14.25" customHeight="1" x14ac:dyDescent="0.2">
      <c r="H528" s="19" t="s">
        <v>1979</v>
      </c>
      <c r="J528" s="110" t="str">
        <f t="shared" si="16"/>
        <v/>
      </c>
      <c r="L528" s="110" t="str">
        <f t="shared" si="17"/>
        <v/>
      </c>
      <c r="R528" s="15"/>
      <c r="S528" s="15"/>
      <c r="T528" s="15"/>
      <c r="U528" s="4"/>
      <c r="V528" s="4"/>
      <c r="W528" s="4"/>
      <c r="X528" s="4"/>
    </row>
    <row r="529" spans="8:24" ht="14.25" customHeight="1" x14ac:dyDescent="0.2">
      <c r="H529" s="19" t="s">
        <v>1979</v>
      </c>
      <c r="J529" s="110" t="str">
        <f t="shared" si="16"/>
        <v/>
      </c>
      <c r="L529" s="110" t="str">
        <f t="shared" si="17"/>
        <v/>
      </c>
      <c r="R529" s="15"/>
      <c r="S529" s="15"/>
      <c r="T529" s="15"/>
      <c r="U529" s="4"/>
      <c r="V529" s="4"/>
      <c r="W529" s="4"/>
      <c r="X529" s="4"/>
    </row>
    <row r="530" spans="8:24" ht="14.25" customHeight="1" x14ac:dyDescent="0.2">
      <c r="H530" s="19" t="s">
        <v>1979</v>
      </c>
      <c r="J530" s="110" t="str">
        <f t="shared" si="16"/>
        <v/>
      </c>
      <c r="L530" s="110" t="str">
        <f t="shared" si="17"/>
        <v/>
      </c>
      <c r="R530" s="15"/>
      <c r="S530" s="15"/>
      <c r="T530" s="15"/>
      <c r="U530" s="4"/>
      <c r="V530" s="4"/>
      <c r="W530" s="4"/>
      <c r="X530" s="4"/>
    </row>
    <row r="531" spans="8:24" ht="14.25" customHeight="1" x14ac:dyDescent="0.2">
      <c r="H531" s="19" t="s">
        <v>1979</v>
      </c>
      <c r="J531" s="110" t="str">
        <f t="shared" si="16"/>
        <v/>
      </c>
      <c r="L531" s="110" t="str">
        <f t="shared" si="17"/>
        <v/>
      </c>
      <c r="R531" s="15"/>
      <c r="S531" s="15"/>
      <c r="T531" s="15"/>
      <c r="U531" s="4"/>
      <c r="V531" s="4"/>
      <c r="W531" s="4"/>
      <c r="X531" s="4"/>
    </row>
    <row r="532" spans="8:24" ht="14.25" customHeight="1" x14ac:dyDescent="0.2">
      <c r="H532" s="19" t="s">
        <v>1979</v>
      </c>
      <c r="J532" s="110" t="str">
        <f t="shared" si="16"/>
        <v/>
      </c>
      <c r="L532" s="110" t="str">
        <f t="shared" si="17"/>
        <v/>
      </c>
      <c r="R532" s="15"/>
      <c r="S532" s="15"/>
      <c r="T532" s="15"/>
      <c r="U532" s="4"/>
      <c r="V532" s="4"/>
      <c r="W532" s="4"/>
      <c r="X532" s="4"/>
    </row>
    <row r="533" spans="8:24" ht="14.25" customHeight="1" x14ac:dyDescent="0.2">
      <c r="H533" s="19" t="s">
        <v>1979</v>
      </c>
      <c r="J533" s="110" t="str">
        <f t="shared" si="16"/>
        <v/>
      </c>
      <c r="L533" s="110" t="str">
        <f t="shared" si="17"/>
        <v/>
      </c>
      <c r="R533" s="15"/>
      <c r="S533" s="15"/>
      <c r="T533" s="15"/>
      <c r="U533" s="4"/>
      <c r="V533" s="4"/>
      <c r="W533" s="4"/>
      <c r="X533" s="4"/>
    </row>
    <row r="534" spans="8:24" ht="14.25" customHeight="1" x14ac:dyDescent="0.2">
      <c r="H534" s="19" t="s">
        <v>1979</v>
      </c>
      <c r="J534" s="110" t="str">
        <f t="shared" si="16"/>
        <v/>
      </c>
      <c r="L534" s="110" t="str">
        <f t="shared" si="17"/>
        <v/>
      </c>
      <c r="R534" s="15"/>
      <c r="S534" s="15"/>
      <c r="T534" s="15"/>
      <c r="U534" s="4"/>
      <c r="V534" s="4"/>
      <c r="W534" s="4"/>
      <c r="X534" s="4"/>
    </row>
    <row r="535" spans="8:24" ht="14.25" customHeight="1" x14ac:dyDescent="0.2">
      <c r="H535" s="19" t="s">
        <v>1979</v>
      </c>
      <c r="J535" s="110" t="str">
        <f t="shared" si="16"/>
        <v/>
      </c>
      <c r="L535" s="110" t="str">
        <f t="shared" si="17"/>
        <v/>
      </c>
      <c r="R535" s="15"/>
      <c r="S535" s="15"/>
      <c r="T535" s="15"/>
      <c r="U535" s="4"/>
      <c r="V535" s="4"/>
      <c r="W535" s="4"/>
      <c r="X535" s="4"/>
    </row>
    <row r="536" spans="8:24" ht="14.25" customHeight="1" x14ac:dyDescent="0.2">
      <c r="H536" s="19" t="s">
        <v>1979</v>
      </c>
      <c r="J536" s="110" t="str">
        <f t="shared" si="16"/>
        <v/>
      </c>
      <c r="L536" s="110" t="str">
        <f t="shared" si="17"/>
        <v/>
      </c>
      <c r="R536" s="15"/>
      <c r="S536" s="15"/>
      <c r="T536" s="15"/>
      <c r="U536" s="4"/>
      <c r="V536" s="4"/>
      <c r="W536" s="4"/>
      <c r="X536" s="4"/>
    </row>
    <row r="537" spans="8:24" ht="14.25" customHeight="1" x14ac:dyDescent="0.2">
      <c r="H537" s="19" t="s">
        <v>1979</v>
      </c>
      <c r="J537" s="110" t="str">
        <f t="shared" si="16"/>
        <v/>
      </c>
      <c r="L537" s="110" t="str">
        <f t="shared" si="17"/>
        <v/>
      </c>
      <c r="R537" s="15"/>
      <c r="S537" s="15"/>
      <c r="T537" s="15"/>
      <c r="U537" s="4"/>
      <c r="V537" s="4"/>
      <c r="W537" s="4"/>
      <c r="X537" s="4"/>
    </row>
    <row r="538" spans="8:24" ht="14.25" customHeight="1" x14ac:dyDescent="0.2">
      <c r="H538" s="19" t="s">
        <v>1979</v>
      </c>
      <c r="J538" s="110" t="str">
        <f t="shared" si="16"/>
        <v/>
      </c>
      <c r="L538" s="110" t="str">
        <f t="shared" si="17"/>
        <v/>
      </c>
      <c r="R538" s="15"/>
      <c r="S538" s="15"/>
      <c r="T538" s="15"/>
      <c r="U538" s="4"/>
      <c r="V538" s="4"/>
      <c r="W538" s="4"/>
      <c r="X538" s="4"/>
    </row>
    <row r="539" spans="8:24" ht="14.25" customHeight="1" x14ac:dyDescent="0.2">
      <c r="H539" s="19" t="s">
        <v>1979</v>
      </c>
      <c r="J539" s="110" t="str">
        <f t="shared" si="16"/>
        <v/>
      </c>
      <c r="L539" s="110" t="str">
        <f t="shared" si="17"/>
        <v/>
      </c>
      <c r="R539" s="15"/>
      <c r="S539" s="15"/>
      <c r="T539" s="15"/>
      <c r="U539" s="4"/>
      <c r="V539" s="4"/>
      <c r="W539" s="4"/>
      <c r="X539" s="4"/>
    </row>
    <row r="540" spans="8:24" ht="14.25" customHeight="1" x14ac:dyDescent="0.2">
      <c r="H540" s="19" t="s">
        <v>1979</v>
      </c>
      <c r="J540" s="110" t="str">
        <f t="shared" si="16"/>
        <v/>
      </c>
      <c r="L540" s="110" t="str">
        <f t="shared" si="17"/>
        <v/>
      </c>
      <c r="R540" s="15"/>
      <c r="S540" s="15"/>
      <c r="T540" s="15"/>
      <c r="U540" s="4"/>
      <c r="V540" s="4"/>
      <c r="W540" s="4"/>
      <c r="X540" s="4"/>
    </row>
    <row r="541" spans="8:24" ht="14.25" customHeight="1" x14ac:dyDescent="0.2">
      <c r="H541" s="19" t="s">
        <v>1979</v>
      </c>
      <c r="J541" s="110" t="str">
        <f t="shared" si="16"/>
        <v/>
      </c>
      <c r="L541" s="110" t="str">
        <f t="shared" si="17"/>
        <v/>
      </c>
      <c r="R541" s="15"/>
      <c r="S541" s="15"/>
      <c r="T541" s="15"/>
      <c r="U541" s="4"/>
      <c r="V541" s="4"/>
      <c r="W541" s="4"/>
      <c r="X541" s="4"/>
    </row>
    <row r="542" spans="8:24" ht="14.25" customHeight="1" x14ac:dyDescent="0.2">
      <c r="H542" s="19" t="s">
        <v>1979</v>
      </c>
      <c r="J542" s="110" t="str">
        <f t="shared" si="16"/>
        <v/>
      </c>
      <c r="L542" s="110" t="str">
        <f t="shared" si="17"/>
        <v/>
      </c>
      <c r="R542" s="15"/>
      <c r="S542" s="15"/>
      <c r="T542" s="15"/>
      <c r="U542" s="4"/>
      <c r="V542" s="4"/>
      <c r="W542" s="4"/>
      <c r="X542" s="4"/>
    </row>
    <row r="543" spans="8:24" ht="14.25" customHeight="1" x14ac:dyDescent="0.2">
      <c r="H543" s="19" t="s">
        <v>1979</v>
      </c>
      <c r="J543" s="110" t="str">
        <f t="shared" si="16"/>
        <v/>
      </c>
      <c r="L543" s="110" t="str">
        <f t="shared" si="17"/>
        <v/>
      </c>
      <c r="R543" s="15"/>
      <c r="S543" s="15"/>
      <c r="T543" s="15"/>
      <c r="U543" s="4"/>
      <c r="V543" s="4"/>
      <c r="W543" s="4"/>
      <c r="X543" s="4"/>
    </row>
    <row r="544" spans="8:24" ht="14.25" customHeight="1" x14ac:dyDescent="0.2">
      <c r="H544" s="19" t="s">
        <v>1979</v>
      </c>
      <c r="J544" s="110" t="str">
        <f t="shared" si="16"/>
        <v/>
      </c>
      <c r="L544" s="110" t="str">
        <f t="shared" si="17"/>
        <v/>
      </c>
      <c r="R544" s="15"/>
      <c r="S544" s="15"/>
      <c r="T544" s="15"/>
      <c r="U544" s="4"/>
      <c r="V544" s="4"/>
      <c r="W544" s="4"/>
      <c r="X544" s="4"/>
    </row>
    <row r="545" spans="8:24" ht="14.25" customHeight="1" x14ac:dyDescent="0.2">
      <c r="H545" s="19" t="s">
        <v>1979</v>
      </c>
      <c r="J545" s="110" t="str">
        <f t="shared" si="16"/>
        <v/>
      </c>
      <c r="L545" s="110" t="str">
        <f t="shared" si="17"/>
        <v/>
      </c>
      <c r="R545" s="15"/>
      <c r="S545" s="15"/>
      <c r="T545" s="15"/>
      <c r="U545" s="4"/>
      <c r="V545" s="4"/>
      <c r="W545" s="4"/>
      <c r="X545" s="4"/>
    </row>
    <row r="546" spans="8:24" ht="14.25" customHeight="1" x14ac:dyDescent="0.2">
      <c r="H546" s="19" t="s">
        <v>1979</v>
      </c>
      <c r="J546" s="110" t="str">
        <f t="shared" si="16"/>
        <v/>
      </c>
      <c r="L546" s="110" t="str">
        <f t="shared" si="17"/>
        <v/>
      </c>
      <c r="R546" s="15"/>
      <c r="S546" s="15"/>
      <c r="T546" s="15"/>
      <c r="U546" s="4"/>
      <c r="V546" s="4"/>
      <c r="W546" s="4"/>
      <c r="X546" s="4"/>
    </row>
    <row r="547" spans="8:24" ht="14.25" customHeight="1" x14ac:dyDescent="0.2">
      <c r="H547" s="19" t="s">
        <v>1979</v>
      </c>
      <c r="J547" s="110" t="str">
        <f t="shared" si="16"/>
        <v/>
      </c>
      <c r="L547" s="110" t="str">
        <f t="shared" si="17"/>
        <v/>
      </c>
      <c r="R547" s="15"/>
      <c r="S547" s="15"/>
      <c r="T547" s="15"/>
      <c r="U547" s="4"/>
      <c r="V547" s="4"/>
      <c r="W547" s="4"/>
      <c r="X547" s="4"/>
    </row>
    <row r="548" spans="8:24" ht="14.25" customHeight="1" x14ac:dyDescent="0.2">
      <c r="H548" s="19" t="s">
        <v>1979</v>
      </c>
      <c r="J548" s="110" t="str">
        <f t="shared" si="16"/>
        <v/>
      </c>
      <c r="L548" s="110" t="str">
        <f t="shared" si="17"/>
        <v/>
      </c>
      <c r="R548" s="15"/>
      <c r="S548" s="15"/>
      <c r="T548" s="15"/>
      <c r="U548" s="4"/>
      <c r="V548" s="4"/>
      <c r="W548" s="4"/>
      <c r="X548" s="4"/>
    </row>
    <row r="549" spans="8:24" ht="14.25" customHeight="1" x14ac:dyDescent="0.2">
      <c r="H549" s="19" t="s">
        <v>1979</v>
      </c>
      <c r="J549" s="110" t="str">
        <f t="shared" si="16"/>
        <v/>
      </c>
      <c r="L549" s="110" t="str">
        <f t="shared" si="17"/>
        <v/>
      </c>
      <c r="R549" s="15"/>
      <c r="S549" s="15"/>
      <c r="T549" s="15"/>
      <c r="U549" s="4"/>
      <c r="V549" s="4"/>
      <c r="W549" s="4"/>
      <c r="X549" s="4"/>
    </row>
    <row r="550" spans="8:24" ht="14.25" customHeight="1" x14ac:dyDescent="0.2">
      <c r="H550" s="19" t="s">
        <v>1979</v>
      </c>
      <c r="J550" s="110" t="str">
        <f t="shared" si="16"/>
        <v/>
      </c>
      <c r="L550" s="110" t="str">
        <f t="shared" si="17"/>
        <v/>
      </c>
      <c r="R550" s="15"/>
      <c r="S550" s="15"/>
      <c r="T550" s="15"/>
      <c r="U550" s="4"/>
      <c r="V550" s="4"/>
      <c r="W550" s="4"/>
      <c r="X550" s="4"/>
    </row>
    <row r="551" spans="8:24" ht="14.25" customHeight="1" x14ac:dyDescent="0.2">
      <c r="H551" s="19" t="s">
        <v>1979</v>
      </c>
      <c r="J551" s="110" t="str">
        <f t="shared" si="16"/>
        <v/>
      </c>
      <c r="L551" s="110" t="str">
        <f t="shared" si="17"/>
        <v/>
      </c>
      <c r="R551" s="15"/>
      <c r="S551" s="15"/>
      <c r="T551" s="15"/>
      <c r="U551" s="4"/>
      <c r="V551" s="4"/>
      <c r="W551" s="4"/>
      <c r="X551" s="4"/>
    </row>
    <row r="552" spans="8:24" ht="14.25" customHeight="1" x14ac:dyDescent="0.2">
      <c r="H552" s="19" t="s">
        <v>1979</v>
      </c>
      <c r="J552" s="110" t="str">
        <f t="shared" si="16"/>
        <v/>
      </c>
      <c r="L552" s="110" t="str">
        <f t="shared" si="17"/>
        <v/>
      </c>
      <c r="R552" s="15"/>
      <c r="S552" s="15"/>
      <c r="T552" s="15"/>
      <c r="U552" s="4"/>
      <c r="V552" s="4"/>
      <c r="W552" s="4"/>
      <c r="X552" s="4"/>
    </row>
    <row r="553" spans="8:24" ht="14.25" customHeight="1" x14ac:dyDescent="0.2">
      <c r="H553" s="19" t="s">
        <v>1979</v>
      </c>
      <c r="J553" s="110" t="str">
        <f t="shared" si="16"/>
        <v/>
      </c>
      <c r="L553" s="110" t="str">
        <f t="shared" si="17"/>
        <v/>
      </c>
      <c r="R553" s="15"/>
      <c r="S553" s="15"/>
      <c r="T553" s="15"/>
      <c r="U553" s="4"/>
      <c r="V553" s="4"/>
      <c r="W553" s="4"/>
      <c r="X553" s="4"/>
    </row>
    <row r="554" spans="8:24" ht="14.25" customHeight="1" x14ac:dyDescent="0.2">
      <c r="H554" s="19" t="s">
        <v>1979</v>
      </c>
      <c r="J554" s="110" t="str">
        <f t="shared" si="16"/>
        <v/>
      </c>
      <c r="L554" s="110" t="str">
        <f t="shared" si="17"/>
        <v/>
      </c>
      <c r="R554" s="15"/>
      <c r="S554" s="15"/>
      <c r="T554" s="15"/>
      <c r="U554" s="4"/>
      <c r="V554" s="4"/>
      <c r="W554" s="4"/>
      <c r="X554" s="4"/>
    </row>
    <row r="555" spans="8:24" ht="14.25" customHeight="1" x14ac:dyDescent="0.2">
      <c r="H555" s="19" t="s">
        <v>1979</v>
      </c>
      <c r="J555" s="110" t="str">
        <f t="shared" si="16"/>
        <v/>
      </c>
      <c r="L555" s="110" t="str">
        <f t="shared" si="17"/>
        <v/>
      </c>
      <c r="R555" s="15"/>
      <c r="S555" s="15"/>
      <c r="T555" s="15"/>
      <c r="U555" s="4"/>
      <c r="V555" s="4"/>
      <c r="W555" s="4"/>
      <c r="X555" s="4"/>
    </row>
    <row r="556" spans="8:24" ht="14.25" customHeight="1" x14ac:dyDescent="0.2">
      <c r="H556" s="19" t="s">
        <v>1979</v>
      </c>
      <c r="J556" s="110" t="str">
        <f t="shared" si="16"/>
        <v/>
      </c>
      <c r="L556" s="110" t="str">
        <f t="shared" si="17"/>
        <v/>
      </c>
      <c r="R556" s="15"/>
      <c r="S556" s="15"/>
      <c r="T556" s="15"/>
      <c r="U556" s="4"/>
      <c r="V556" s="4"/>
      <c r="W556" s="4"/>
      <c r="X556" s="4"/>
    </row>
    <row r="557" spans="8:24" ht="14.25" customHeight="1" x14ac:dyDescent="0.2">
      <c r="H557" s="19" t="s">
        <v>1979</v>
      </c>
      <c r="J557" s="110" t="str">
        <f t="shared" si="16"/>
        <v/>
      </c>
      <c r="L557" s="110" t="str">
        <f t="shared" si="17"/>
        <v/>
      </c>
      <c r="R557" s="15"/>
      <c r="S557" s="15"/>
      <c r="T557" s="15"/>
      <c r="U557" s="4"/>
      <c r="V557" s="4"/>
      <c r="W557" s="4"/>
      <c r="X557" s="4"/>
    </row>
    <row r="558" spans="8:24" ht="14.25" customHeight="1" x14ac:dyDescent="0.2">
      <c r="H558" s="19" t="s">
        <v>1979</v>
      </c>
      <c r="J558" s="110" t="str">
        <f t="shared" si="16"/>
        <v/>
      </c>
      <c r="L558" s="110" t="str">
        <f t="shared" si="17"/>
        <v/>
      </c>
      <c r="R558" s="15"/>
      <c r="S558" s="15"/>
      <c r="T558" s="15"/>
      <c r="U558" s="4"/>
      <c r="V558" s="4"/>
      <c r="W558" s="4"/>
      <c r="X558" s="4"/>
    </row>
    <row r="559" spans="8:24" ht="14.25" customHeight="1" x14ac:dyDescent="0.2">
      <c r="H559" s="19" t="s">
        <v>1979</v>
      </c>
      <c r="J559" s="110" t="str">
        <f t="shared" si="16"/>
        <v/>
      </c>
      <c r="L559" s="110" t="str">
        <f t="shared" si="17"/>
        <v/>
      </c>
      <c r="R559" s="15"/>
      <c r="S559" s="15"/>
      <c r="T559" s="15"/>
      <c r="U559" s="4"/>
      <c r="V559" s="4"/>
      <c r="W559" s="4"/>
      <c r="X559" s="4"/>
    </row>
    <row r="560" spans="8:24" ht="14.25" customHeight="1" x14ac:dyDescent="0.2">
      <c r="H560" s="19" t="s">
        <v>1979</v>
      </c>
      <c r="J560" s="110" t="str">
        <f t="shared" si="16"/>
        <v/>
      </c>
      <c r="L560" s="110" t="str">
        <f t="shared" si="17"/>
        <v/>
      </c>
      <c r="R560" s="15"/>
      <c r="S560" s="15"/>
      <c r="T560" s="15"/>
      <c r="U560" s="4"/>
      <c r="V560" s="4"/>
      <c r="W560" s="4"/>
      <c r="X560" s="4"/>
    </row>
    <row r="561" spans="8:24" ht="14.25" customHeight="1" x14ac:dyDescent="0.2">
      <c r="H561" s="19" t="s">
        <v>1979</v>
      </c>
      <c r="J561" s="110" t="str">
        <f t="shared" si="16"/>
        <v/>
      </c>
      <c r="L561" s="110" t="str">
        <f t="shared" si="17"/>
        <v/>
      </c>
      <c r="R561" s="15"/>
      <c r="S561" s="15"/>
      <c r="T561" s="15"/>
      <c r="U561" s="4"/>
      <c r="V561" s="4"/>
      <c r="W561" s="4"/>
      <c r="X561" s="4"/>
    </row>
    <row r="562" spans="8:24" ht="14.25" customHeight="1" x14ac:dyDescent="0.2">
      <c r="H562" s="19" t="s">
        <v>1979</v>
      </c>
      <c r="J562" s="110" t="str">
        <f t="shared" si="16"/>
        <v/>
      </c>
      <c r="L562" s="110" t="str">
        <f t="shared" si="17"/>
        <v/>
      </c>
      <c r="R562" s="15"/>
      <c r="S562" s="15"/>
      <c r="T562" s="15"/>
      <c r="U562" s="4"/>
      <c r="V562" s="4"/>
      <c r="W562" s="4"/>
      <c r="X562" s="4"/>
    </row>
    <row r="563" spans="8:24" ht="14.25" customHeight="1" x14ac:dyDescent="0.2">
      <c r="H563" s="19" t="s">
        <v>1979</v>
      </c>
      <c r="J563" s="110" t="str">
        <f t="shared" si="16"/>
        <v/>
      </c>
      <c r="L563" s="110" t="str">
        <f t="shared" si="17"/>
        <v/>
      </c>
      <c r="R563" s="15"/>
      <c r="S563" s="15"/>
      <c r="T563" s="15"/>
      <c r="U563" s="4"/>
      <c r="V563" s="4"/>
      <c r="W563" s="4"/>
      <c r="X563" s="4"/>
    </row>
    <row r="564" spans="8:24" ht="14.25" customHeight="1" x14ac:dyDescent="0.2">
      <c r="H564" s="19" t="s">
        <v>1979</v>
      </c>
      <c r="J564" s="110" t="str">
        <f t="shared" si="16"/>
        <v/>
      </c>
      <c r="L564" s="110" t="str">
        <f t="shared" si="17"/>
        <v/>
      </c>
      <c r="R564" s="15"/>
      <c r="S564" s="15"/>
      <c r="T564" s="15"/>
      <c r="U564" s="4"/>
      <c r="V564" s="4"/>
      <c r="W564" s="4"/>
      <c r="X564" s="4"/>
    </row>
    <row r="565" spans="8:24" ht="14.25" customHeight="1" x14ac:dyDescent="0.2">
      <c r="H565" s="19" t="s">
        <v>1979</v>
      </c>
      <c r="J565" s="110" t="str">
        <f t="shared" si="16"/>
        <v/>
      </c>
      <c r="L565" s="110" t="str">
        <f t="shared" si="17"/>
        <v/>
      </c>
      <c r="R565" s="15"/>
      <c r="S565" s="15"/>
      <c r="T565" s="15"/>
      <c r="U565" s="4"/>
      <c r="V565" s="4"/>
      <c r="W565" s="4"/>
      <c r="X565" s="4"/>
    </row>
    <row r="566" spans="8:24" ht="14.25" customHeight="1" x14ac:dyDescent="0.2">
      <c r="H566" s="19" t="s">
        <v>1979</v>
      </c>
      <c r="J566" s="110" t="str">
        <f t="shared" si="16"/>
        <v/>
      </c>
      <c r="L566" s="110" t="str">
        <f t="shared" si="17"/>
        <v/>
      </c>
      <c r="R566" s="15"/>
      <c r="S566" s="15"/>
      <c r="T566" s="15"/>
      <c r="U566" s="4"/>
      <c r="V566" s="4"/>
      <c r="W566" s="4"/>
      <c r="X566" s="4"/>
    </row>
    <row r="567" spans="8:24" ht="14.25" customHeight="1" x14ac:dyDescent="0.2">
      <c r="H567" s="19" t="s">
        <v>1979</v>
      </c>
      <c r="J567" s="110" t="str">
        <f t="shared" si="16"/>
        <v/>
      </c>
      <c r="L567" s="110" t="str">
        <f t="shared" si="17"/>
        <v/>
      </c>
      <c r="R567" s="16"/>
      <c r="S567" s="16"/>
      <c r="T567" s="16"/>
      <c r="U567" s="4"/>
      <c r="V567" s="4"/>
      <c r="W567" s="4"/>
      <c r="X567" s="4"/>
    </row>
    <row r="568" spans="8:24" ht="14.25" customHeight="1" x14ac:dyDescent="0.2">
      <c r="H568" s="19" t="s">
        <v>1979</v>
      </c>
      <c r="J568" s="110" t="str">
        <f t="shared" si="16"/>
        <v/>
      </c>
      <c r="L568" s="110" t="str">
        <f t="shared" si="17"/>
        <v/>
      </c>
      <c r="R568" s="16"/>
      <c r="S568" s="16"/>
      <c r="T568" s="16"/>
      <c r="U568" s="4"/>
      <c r="V568" s="4"/>
      <c r="W568" s="4"/>
      <c r="X568" s="4"/>
    </row>
    <row r="569" spans="8:24" ht="14.25" customHeight="1" x14ac:dyDescent="0.2">
      <c r="H569" s="19" t="s">
        <v>1979</v>
      </c>
      <c r="J569" s="110" t="str">
        <f t="shared" si="16"/>
        <v/>
      </c>
      <c r="L569" s="110" t="str">
        <f t="shared" si="17"/>
        <v/>
      </c>
      <c r="R569" s="15"/>
      <c r="S569" s="15"/>
      <c r="T569" s="15"/>
      <c r="U569" s="4"/>
      <c r="V569" s="4"/>
      <c r="W569" s="4"/>
      <c r="X569" s="4"/>
    </row>
    <row r="570" spans="8:24" ht="14.25" customHeight="1" x14ac:dyDescent="0.2">
      <c r="H570" s="19" t="s">
        <v>1979</v>
      </c>
      <c r="J570" s="110" t="str">
        <f t="shared" si="16"/>
        <v/>
      </c>
      <c r="L570" s="110" t="str">
        <f t="shared" si="17"/>
        <v/>
      </c>
      <c r="R570" s="15"/>
      <c r="S570" s="15"/>
      <c r="T570" s="15"/>
      <c r="U570" s="4"/>
      <c r="V570" s="4"/>
      <c r="W570" s="4"/>
      <c r="X570" s="4"/>
    </row>
    <row r="571" spans="8:24" ht="14.25" customHeight="1" x14ac:dyDescent="0.2">
      <c r="H571" s="19" t="s">
        <v>1979</v>
      </c>
      <c r="J571" s="110" t="str">
        <f t="shared" si="16"/>
        <v/>
      </c>
      <c r="L571" s="110" t="str">
        <f t="shared" si="17"/>
        <v/>
      </c>
      <c r="R571" s="15"/>
      <c r="S571" s="15"/>
      <c r="T571" s="15"/>
      <c r="U571" s="4"/>
      <c r="V571" s="4"/>
      <c r="W571" s="4"/>
      <c r="X571" s="4"/>
    </row>
    <row r="572" spans="8:24" ht="14.25" customHeight="1" x14ac:dyDescent="0.2">
      <c r="H572" s="19" t="s">
        <v>1979</v>
      </c>
      <c r="J572" s="110" t="str">
        <f t="shared" si="16"/>
        <v/>
      </c>
      <c r="L572" s="110" t="str">
        <f t="shared" si="17"/>
        <v/>
      </c>
      <c r="R572" s="15"/>
      <c r="S572" s="15"/>
      <c r="T572" s="15"/>
      <c r="U572" s="4"/>
      <c r="V572" s="4"/>
      <c r="W572" s="4"/>
      <c r="X572" s="4"/>
    </row>
    <row r="573" spans="8:24" ht="14.25" customHeight="1" x14ac:dyDescent="0.2">
      <c r="H573" s="19" t="s">
        <v>1979</v>
      </c>
      <c r="J573" s="110" t="str">
        <f t="shared" si="16"/>
        <v/>
      </c>
      <c r="L573" s="110" t="str">
        <f t="shared" si="17"/>
        <v/>
      </c>
      <c r="R573" s="15"/>
      <c r="S573" s="15"/>
      <c r="T573" s="15"/>
      <c r="U573" s="4"/>
      <c r="V573" s="4"/>
      <c r="W573" s="4"/>
      <c r="X573" s="4"/>
    </row>
    <row r="574" spans="8:24" ht="14.25" customHeight="1" x14ac:dyDescent="0.2">
      <c r="H574" s="19" t="s">
        <v>1979</v>
      </c>
      <c r="J574" s="110" t="str">
        <f t="shared" si="16"/>
        <v/>
      </c>
      <c r="L574" s="110" t="str">
        <f t="shared" si="17"/>
        <v/>
      </c>
      <c r="R574" s="15"/>
      <c r="S574" s="15"/>
      <c r="T574" s="15"/>
      <c r="U574" s="4"/>
      <c r="V574" s="4"/>
      <c r="W574" s="4"/>
      <c r="X574" s="4"/>
    </row>
    <row r="575" spans="8:24" ht="14.25" customHeight="1" x14ac:dyDescent="0.2">
      <c r="H575" s="19" t="s">
        <v>1979</v>
      </c>
      <c r="J575" s="110" t="str">
        <f t="shared" si="16"/>
        <v/>
      </c>
      <c r="L575" s="110" t="str">
        <f t="shared" si="17"/>
        <v/>
      </c>
      <c r="R575" s="15"/>
      <c r="S575" s="15"/>
      <c r="T575" s="15"/>
      <c r="U575" s="4"/>
      <c r="V575" s="4"/>
      <c r="W575" s="4"/>
      <c r="X575" s="4"/>
    </row>
    <row r="576" spans="8:24" ht="14.25" customHeight="1" x14ac:dyDescent="0.2">
      <c r="H576" s="19" t="s">
        <v>1979</v>
      </c>
      <c r="J576" s="110" t="str">
        <f t="shared" si="16"/>
        <v/>
      </c>
      <c r="L576" s="110" t="str">
        <f t="shared" si="17"/>
        <v/>
      </c>
      <c r="R576" s="15"/>
      <c r="S576" s="15"/>
      <c r="T576" s="15"/>
      <c r="U576" s="4"/>
      <c r="V576" s="4"/>
      <c r="W576" s="4"/>
      <c r="X576" s="4"/>
    </row>
    <row r="577" spans="8:24" ht="14.25" customHeight="1" x14ac:dyDescent="0.2">
      <c r="H577" s="19" t="s">
        <v>1979</v>
      </c>
      <c r="J577" s="110" t="str">
        <f t="shared" si="16"/>
        <v/>
      </c>
      <c r="L577" s="110" t="str">
        <f t="shared" si="17"/>
        <v/>
      </c>
      <c r="R577" s="15"/>
      <c r="S577" s="15"/>
      <c r="T577" s="15"/>
      <c r="U577" s="4"/>
      <c r="V577" s="4"/>
      <c r="W577" s="4"/>
      <c r="X577" s="4"/>
    </row>
    <row r="578" spans="8:24" ht="14.25" customHeight="1" x14ac:dyDescent="0.2">
      <c r="H578" s="19" t="s">
        <v>1979</v>
      </c>
      <c r="J578" s="110" t="str">
        <f t="shared" si="16"/>
        <v/>
      </c>
      <c r="L578" s="110" t="str">
        <f t="shared" si="17"/>
        <v/>
      </c>
      <c r="R578" s="15"/>
      <c r="S578" s="15"/>
      <c r="T578" s="15"/>
      <c r="U578" s="4"/>
      <c r="V578" s="4"/>
      <c r="W578" s="4"/>
      <c r="X578" s="4"/>
    </row>
    <row r="579" spans="8:24" ht="14.25" customHeight="1" x14ac:dyDescent="0.2">
      <c r="H579" s="19" t="s">
        <v>1979</v>
      </c>
      <c r="J579" s="110" t="str">
        <f t="shared" ref="J579:J642" si="18">IF(K579="","", K579/PI())</f>
        <v/>
      </c>
      <c r="L579" s="110" t="str">
        <f t="shared" ref="L579:L642" si="19">IF(OR(P579="", N579="", O579=""), "", TAN(P579*PI()/180)*N579 +O579)</f>
        <v/>
      </c>
      <c r="R579" s="15"/>
      <c r="S579" s="15"/>
      <c r="T579" s="15"/>
      <c r="U579" s="4"/>
      <c r="V579" s="4"/>
      <c r="W579" s="4"/>
      <c r="X579" s="4"/>
    </row>
    <row r="580" spans="8:24" ht="14.25" customHeight="1" x14ac:dyDescent="0.2">
      <c r="H580" s="19" t="s">
        <v>1979</v>
      </c>
      <c r="J580" s="110" t="str">
        <f t="shared" si="18"/>
        <v/>
      </c>
      <c r="L580" s="110" t="str">
        <f t="shared" si="19"/>
        <v/>
      </c>
      <c r="R580" s="15"/>
      <c r="S580" s="15"/>
      <c r="T580" s="15"/>
      <c r="U580" s="4"/>
      <c r="V580" s="4"/>
      <c r="W580" s="4"/>
      <c r="X580" s="4"/>
    </row>
    <row r="581" spans="8:24" ht="14.25" customHeight="1" x14ac:dyDescent="0.2">
      <c r="H581" s="19" t="s">
        <v>1979</v>
      </c>
      <c r="J581" s="110" t="str">
        <f t="shared" si="18"/>
        <v/>
      </c>
      <c r="L581" s="110" t="str">
        <f t="shared" si="19"/>
        <v/>
      </c>
      <c r="R581" s="15"/>
      <c r="S581" s="15"/>
      <c r="T581" s="15"/>
      <c r="U581" s="4"/>
      <c r="V581" s="4"/>
      <c r="W581" s="4"/>
      <c r="X581" s="4"/>
    </row>
    <row r="582" spans="8:24" ht="14.25" customHeight="1" x14ac:dyDescent="0.2">
      <c r="H582" s="19" t="s">
        <v>1979</v>
      </c>
      <c r="J582" s="110" t="str">
        <f t="shared" si="18"/>
        <v/>
      </c>
      <c r="L582" s="110" t="str">
        <f t="shared" si="19"/>
        <v/>
      </c>
      <c r="R582" s="15"/>
      <c r="S582" s="15"/>
      <c r="T582" s="15"/>
      <c r="U582" s="4"/>
      <c r="V582" s="4"/>
      <c r="W582" s="4"/>
      <c r="X582" s="4"/>
    </row>
    <row r="583" spans="8:24" ht="14.25" customHeight="1" x14ac:dyDescent="0.2">
      <c r="H583" s="19" t="s">
        <v>1979</v>
      </c>
      <c r="J583" s="110" t="str">
        <f t="shared" si="18"/>
        <v/>
      </c>
      <c r="L583" s="110" t="str">
        <f t="shared" si="19"/>
        <v/>
      </c>
      <c r="R583" s="15"/>
      <c r="S583" s="15"/>
      <c r="T583" s="15"/>
      <c r="U583" s="4"/>
      <c r="V583" s="4"/>
      <c r="W583" s="4"/>
      <c r="X583" s="4"/>
    </row>
    <row r="584" spans="8:24" ht="14.25" customHeight="1" x14ac:dyDescent="0.2">
      <c r="H584" s="19" t="s">
        <v>1979</v>
      </c>
      <c r="J584" s="110" t="str">
        <f t="shared" si="18"/>
        <v/>
      </c>
      <c r="L584" s="110" t="str">
        <f t="shared" si="19"/>
        <v/>
      </c>
      <c r="R584" s="15"/>
      <c r="S584" s="15"/>
      <c r="T584" s="15"/>
      <c r="U584" s="4"/>
      <c r="V584" s="4"/>
      <c r="W584" s="4"/>
      <c r="X584" s="4"/>
    </row>
    <row r="585" spans="8:24" ht="14.25" customHeight="1" x14ac:dyDescent="0.2">
      <c r="H585" s="19" t="s">
        <v>1979</v>
      </c>
      <c r="J585" s="110" t="str">
        <f t="shared" si="18"/>
        <v/>
      </c>
      <c r="L585" s="110" t="str">
        <f t="shared" si="19"/>
        <v/>
      </c>
      <c r="R585" s="15"/>
      <c r="S585" s="15"/>
      <c r="T585" s="15"/>
      <c r="U585" s="4"/>
      <c r="V585" s="4"/>
      <c r="W585" s="4"/>
      <c r="X585" s="4"/>
    </row>
    <row r="586" spans="8:24" ht="14.25" customHeight="1" x14ac:dyDescent="0.2">
      <c r="H586" s="19" t="s">
        <v>1979</v>
      </c>
      <c r="J586" s="110" t="str">
        <f t="shared" si="18"/>
        <v/>
      </c>
      <c r="L586" s="110" t="str">
        <f t="shared" si="19"/>
        <v/>
      </c>
      <c r="R586" s="15"/>
      <c r="S586" s="15"/>
      <c r="T586" s="15"/>
      <c r="U586" s="4"/>
      <c r="V586" s="4"/>
      <c r="W586" s="4"/>
      <c r="X586" s="4"/>
    </row>
    <row r="587" spans="8:24" ht="14.25" customHeight="1" x14ac:dyDescent="0.2">
      <c r="H587" s="19" t="s">
        <v>1979</v>
      </c>
      <c r="J587" s="110" t="str">
        <f t="shared" si="18"/>
        <v/>
      </c>
      <c r="L587" s="110" t="str">
        <f t="shared" si="19"/>
        <v/>
      </c>
      <c r="R587" s="15"/>
      <c r="S587" s="15"/>
      <c r="T587" s="15"/>
      <c r="U587" s="4"/>
      <c r="V587" s="4"/>
      <c r="W587" s="4"/>
      <c r="X587" s="4"/>
    </row>
    <row r="588" spans="8:24" ht="14.25" customHeight="1" x14ac:dyDescent="0.2">
      <c r="H588" s="19" t="s">
        <v>1979</v>
      </c>
      <c r="J588" s="110" t="str">
        <f t="shared" si="18"/>
        <v/>
      </c>
      <c r="L588" s="110" t="str">
        <f t="shared" si="19"/>
        <v/>
      </c>
      <c r="R588" s="15"/>
      <c r="S588" s="15"/>
      <c r="T588" s="15"/>
      <c r="U588" s="4"/>
      <c r="V588" s="4"/>
      <c r="W588" s="4"/>
      <c r="X588" s="4"/>
    </row>
    <row r="589" spans="8:24" ht="14.25" customHeight="1" x14ac:dyDescent="0.2">
      <c r="H589" s="19" t="s">
        <v>1979</v>
      </c>
      <c r="J589" s="110" t="str">
        <f t="shared" si="18"/>
        <v/>
      </c>
      <c r="L589" s="110" t="str">
        <f t="shared" si="19"/>
        <v/>
      </c>
      <c r="R589" s="15"/>
      <c r="S589" s="15"/>
      <c r="T589" s="15"/>
      <c r="U589" s="4"/>
      <c r="V589" s="4"/>
      <c r="W589" s="4"/>
      <c r="X589" s="4"/>
    </row>
    <row r="590" spans="8:24" ht="14.25" customHeight="1" x14ac:dyDescent="0.2">
      <c r="H590" s="19" t="s">
        <v>1979</v>
      </c>
      <c r="J590" s="110" t="str">
        <f t="shared" si="18"/>
        <v/>
      </c>
      <c r="L590" s="110" t="str">
        <f t="shared" si="19"/>
        <v/>
      </c>
      <c r="R590" s="15"/>
      <c r="S590" s="15"/>
      <c r="T590" s="15"/>
      <c r="U590" s="4"/>
      <c r="V590" s="4"/>
      <c r="W590" s="4"/>
      <c r="X590" s="4"/>
    </row>
    <row r="591" spans="8:24" ht="14.25" customHeight="1" x14ac:dyDescent="0.2">
      <c r="H591" s="19" t="s">
        <v>1979</v>
      </c>
      <c r="J591" s="110" t="str">
        <f t="shared" si="18"/>
        <v/>
      </c>
      <c r="L591" s="110" t="str">
        <f t="shared" si="19"/>
        <v/>
      </c>
      <c r="R591" s="15"/>
      <c r="S591" s="15"/>
      <c r="T591" s="15"/>
      <c r="U591" s="4"/>
      <c r="V591" s="4"/>
      <c r="W591" s="4"/>
      <c r="X591" s="4"/>
    </row>
    <row r="592" spans="8:24" ht="14.25" customHeight="1" x14ac:dyDescent="0.2">
      <c r="H592" s="19" t="s">
        <v>1979</v>
      </c>
      <c r="J592" s="110" t="str">
        <f t="shared" si="18"/>
        <v/>
      </c>
      <c r="L592" s="110" t="str">
        <f t="shared" si="19"/>
        <v/>
      </c>
      <c r="R592" s="15"/>
      <c r="S592" s="15"/>
      <c r="T592" s="15"/>
      <c r="U592" s="4"/>
      <c r="V592" s="4"/>
      <c r="W592" s="4"/>
      <c r="X592" s="4"/>
    </row>
    <row r="593" spans="8:24" ht="14.25" customHeight="1" x14ac:dyDescent="0.2">
      <c r="H593" s="19" t="s">
        <v>1979</v>
      </c>
      <c r="J593" s="110" t="str">
        <f t="shared" si="18"/>
        <v/>
      </c>
      <c r="L593" s="110" t="str">
        <f t="shared" si="19"/>
        <v/>
      </c>
      <c r="R593" s="15"/>
      <c r="S593" s="15"/>
      <c r="T593" s="15"/>
      <c r="U593" s="4"/>
      <c r="V593" s="4"/>
      <c r="W593" s="4"/>
      <c r="X593" s="4"/>
    </row>
    <row r="594" spans="8:24" ht="14.25" customHeight="1" x14ac:dyDescent="0.2">
      <c r="H594" s="19" t="s">
        <v>1979</v>
      </c>
      <c r="J594" s="110" t="str">
        <f t="shared" si="18"/>
        <v/>
      </c>
      <c r="L594" s="110" t="str">
        <f t="shared" si="19"/>
        <v/>
      </c>
      <c r="R594" s="15"/>
      <c r="S594" s="15"/>
      <c r="T594" s="15"/>
      <c r="U594" s="4"/>
      <c r="V594" s="4"/>
      <c r="W594" s="4"/>
      <c r="X594" s="4"/>
    </row>
    <row r="595" spans="8:24" ht="14.25" customHeight="1" x14ac:dyDescent="0.2">
      <c r="H595" s="19" t="s">
        <v>1979</v>
      </c>
      <c r="J595" s="110" t="str">
        <f t="shared" si="18"/>
        <v/>
      </c>
      <c r="L595" s="110" t="str">
        <f t="shared" si="19"/>
        <v/>
      </c>
      <c r="R595" s="15"/>
      <c r="S595" s="15"/>
      <c r="T595" s="15"/>
      <c r="U595" s="4"/>
      <c r="V595" s="4"/>
      <c r="W595" s="4"/>
      <c r="X595" s="4"/>
    </row>
    <row r="596" spans="8:24" ht="14.25" customHeight="1" x14ac:dyDescent="0.2">
      <c r="H596" s="19" t="s">
        <v>1979</v>
      </c>
      <c r="J596" s="110" t="str">
        <f t="shared" si="18"/>
        <v/>
      </c>
      <c r="L596" s="110" t="str">
        <f t="shared" si="19"/>
        <v/>
      </c>
      <c r="R596" s="15"/>
      <c r="S596" s="15"/>
      <c r="T596" s="15"/>
      <c r="U596" s="4"/>
      <c r="V596" s="4"/>
      <c r="W596" s="4"/>
      <c r="X596" s="4"/>
    </row>
    <row r="597" spans="8:24" ht="14.25" customHeight="1" x14ac:dyDescent="0.2">
      <c r="H597" s="19" t="s">
        <v>1979</v>
      </c>
      <c r="J597" s="110" t="str">
        <f t="shared" si="18"/>
        <v/>
      </c>
      <c r="L597" s="110" t="str">
        <f t="shared" si="19"/>
        <v/>
      </c>
      <c r="R597" s="15"/>
      <c r="S597" s="15"/>
      <c r="T597" s="15"/>
      <c r="U597" s="4"/>
      <c r="V597" s="4"/>
      <c r="W597" s="4"/>
      <c r="X597" s="4"/>
    </row>
    <row r="598" spans="8:24" ht="14.25" customHeight="1" x14ac:dyDescent="0.2">
      <c r="H598" s="19" t="s">
        <v>1979</v>
      </c>
      <c r="J598" s="110" t="str">
        <f t="shared" si="18"/>
        <v/>
      </c>
      <c r="L598" s="110" t="str">
        <f t="shared" si="19"/>
        <v/>
      </c>
      <c r="R598" s="15"/>
      <c r="S598" s="15"/>
      <c r="T598" s="15"/>
      <c r="U598" s="4"/>
      <c r="V598" s="4"/>
      <c r="W598" s="4"/>
      <c r="X598" s="4"/>
    </row>
    <row r="599" spans="8:24" ht="14.25" customHeight="1" x14ac:dyDescent="0.2">
      <c r="H599" s="19" t="s">
        <v>1979</v>
      </c>
      <c r="J599" s="110" t="str">
        <f t="shared" si="18"/>
        <v/>
      </c>
      <c r="L599" s="110" t="str">
        <f t="shared" si="19"/>
        <v/>
      </c>
      <c r="R599" s="15"/>
      <c r="S599" s="15"/>
      <c r="T599" s="15"/>
      <c r="U599" s="4"/>
      <c r="V599" s="4"/>
      <c r="W599" s="4"/>
      <c r="X599" s="4"/>
    </row>
    <row r="600" spans="8:24" ht="14.25" customHeight="1" x14ac:dyDescent="0.2">
      <c r="H600" s="19" t="s">
        <v>1979</v>
      </c>
      <c r="J600" s="110" t="str">
        <f t="shared" si="18"/>
        <v/>
      </c>
      <c r="L600" s="110" t="str">
        <f t="shared" si="19"/>
        <v/>
      </c>
      <c r="R600" s="15"/>
      <c r="S600" s="15"/>
      <c r="T600" s="15"/>
      <c r="U600" s="4"/>
      <c r="V600" s="4"/>
      <c r="W600" s="4"/>
      <c r="X600" s="4"/>
    </row>
    <row r="601" spans="8:24" ht="14.25" customHeight="1" x14ac:dyDescent="0.2">
      <c r="H601" s="19" t="s">
        <v>1979</v>
      </c>
      <c r="J601" s="110" t="str">
        <f t="shared" si="18"/>
        <v/>
      </c>
      <c r="L601" s="110" t="str">
        <f t="shared" si="19"/>
        <v/>
      </c>
      <c r="R601" s="15"/>
      <c r="S601" s="15"/>
      <c r="T601" s="15"/>
      <c r="U601" s="4"/>
      <c r="V601" s="4"/>
      <c r="W601" s="4"/>
      <c r="X601" s="4"/>
    </row>
    <row r="602" spans="8:24" ht="14.25" customHeight="1" x14ac:dyDescent="0.2">
      <c r="H602" s="19" t="s">
        <v>1979</v>
      </c>
      <c r="J602" s="110" t="str">
        <f t="shared" si="18"/>
        <v/>
      </c>
      <c r="L602" s="110" t="str">
        <f t="shared" si="19"/>
        <v/>
      </c>
      <c r="R602" s="15"/>
      <c r="S602" s="15"/>
      <c r="T602" s="15"/>
      <c r="U602" s="4"/>
      <c r="V602" s="4"/>
      <c r="W602" s="4"/>
      <c r="X602" s="4"/>
    </row>
    <row r="603" spans="8:24" ht="14.25" customHeight="1" x14ac:dyDescent="0.2">
      <c r="H603" s="19" t="s">
        <v>1979</v>
      </c>
      <c r="J603" s="110" t="str">
        <f t="shared" si="18"/>
        <v/>
      </c>
      <c r="L603" s="110" t="str">
        <f t="shared" si="19"/>
        <v/>
      </c>
      <c r="R603" s="15"/>
      <c r="S603" s="15"/>
      <c r="T603" s="15"/>
      <c r="U603" s="4"/>
      <c r="V603" s="4"/>
      <c r="W603" s="4"/>
      <c r="X603" s="4"/>
    </row>
    <row r="604" spans="8:24" ht="14.25" customHeight="1" x14ac:dyDescent="0.2">
      <c r="H604" s="19" t="s">
        <v>1979</v>
      </c>
      <c r="J604" s="110" t="str">
        <f t="shared" si="18"/>
        <v/>
      </c>
      <c r="L604" s="110" t="str">
        <f t="shared" si="19"/>
        <v/>
      </c>
      <c r="R604" s="15"/>
      <c r="S604" s="15"/>
      <c r="T604" s="15"/>
      <c r="U604" s="4"/>
      <c r="V604" s="4"/>
      <c r="W604" s="4"/>
      <c r="X604" s="4"/>
    </row>
    <row r="605" spans="8:24" ht="14.25" customHeight="1" x14ac:dyDescent="0.2">
      <c r="H605" s="19" t="s">
        <v>1979</v>
      </c>
      <c r="J605" s="110" t="str">
        <f t="shared" si="18"/>
        <v/>
      </c>
      <c r="L605" s="110" t="str">
        <f t="shared" si="19"/>
        <v/>
      </c>
      <c r="R605" s="16"/>
      <c r="S605" s="16"/>
      <c r="T605" s="16"/>
      <c r="U605" s="4"/>
      <c r="V605" s="4"/>
      <c r="W605" s="4"/>
      <c r="X605" s="4"/>
    </row>
    <row r="606" spans="8:24" ht="14.25" customHeight="1" x14ac:dyDescent="0.2">
      <c r="H606" s="19" t="s">
        <v>1979</v>
      </c>
      <c r="J606" s="110" t="str">
        <f t="shared" si="18"/>
        <v/>
      </c>
      <c r="L606" s="110" t="str">
        <f t="shared" si="19"/>
        <v/>
      </c>
      <c r="R606" s="15"/>
      <c r="S606" s="15"/>
      <c r="T606" s="15"/>
      <c r="U606" s="4"/>
      <c r="V606" s="4"/>
      <c r="W606" s="4"/>
      <c r="X606" s="4"/>
    </row>
    <row r="607" spans="8:24" ht="14.25" customHeight="1" x14ac:dyDescent="0.2">
      <c r="H607" s="19" t="s">
        <v>1979</v>
      </c>
      <c r="J607" s="110" t="str">
        <f t="shared" si="18"/>
        <v/>
      </c>
      <c r="L607" s="110" t="str">
        <f t="shared" si="19"/>
        <v/>
      </c>
      <c r="R607" s="15"/>
      <c r="S607" s="15"/>
      <c r="T607" s="15"/>
      <c r="U607" s="4"/>
      <c r="V607" s="4"/>
      <c r="W607" s="4"/>
      <c r="X607" s="4"/>
    </row>
    <row r="608" spans="8:24" ht="14.25" customHeight="1" x14ac:dyDescent="0.2">
      <c r="H608" s="19" t="s">
        <v>1979</v>
      </c>
      <c r="J608" s="110" t="str">
        <f t="shared" si="18"/>
        <v/>
      </c>
      <c r="L608" s="110" t="str">
        <f t="shared" si="19"/>
        <v/>
      </c>
      <c r="R608" s="15"/>
      <c r="S608" s="15"/>
      <c r="T608" s="15"/>
      <c r="U608" s="4"/>
      <c r="V608" s="4"/>
      <c r="W608" s="4"/>
      <c r="X608" s="4"/>
    </row>
    <row r="609" spans="8:24" ht="14.25" customHeight="1" x14ac:dyDescent="0.2">
      <c r="H609" s="19" t="s">
        <v>1979</v>
      </c>
      <c r="J609" s="110" t="str">
        <f t="shared" si="18"/>
        <v/>
      </c>
      <c r="L609" s="110" t="str">
        <f t="shared" si="19"/>
        <v/>
      </c>
      <c r="R609" s="15"/>
      <c r="S609" s="15"/>
      <c r="T609" s="15"/>
      <c r="U609" s="4"/>
      <c r="V609" s="4"/>
      <c r="W609" s="4"/>
      <c r="X609" s="4"/>
    </row>
    <row r="610" spans="8:24" ht="14.25" customHeight="1" x14ac:dyDescent="0.2">
      <c r="H610" s="19" t="s">
        <v>1979</v>
      </c>
      <c r="J610" s="110" t="str">
        <f t="shared" si="18"/>
        <v/>
      </c>
      <c r="L610" s="110" t="str">
        <f t="shared" si="19"/>
        <v/>
      </c>
      <c r="R610" s="15"/>
      <c r="S610" s="15"/>
      <c r="T610" s="15"/>
      <c r="U610" s="4"/>
      <c r="V610" s="4"/>
      <c r="W610" s="4"/>
      <c r="X610" s="4"/>
    </row>
    <row r="611" spans="8:24" ht="14.25" customHeight="1" x14ac:dyDescent="0.2">
      <c r="H611" s="19" t="s">
        <v>1979</v>
      </c>
      <c r="J611" s="110" t="str">
        <f t="shared" si="18"/>
        <v/>
      </c>
      <c r="L611" s="110" t="str">
        <f t="shared" si="19"/>
        <v/>
      </c>
      <c r="R611" s="15"/>
      <c r="S611" s="15"/>
      <c r="T611" s="15"/>
      <c r="U611" s="4"/>
      <c r="V611" s="4"/>
      <c r="W611" s="4"/>
      <c r="X611" s="4"/>
    </row>
    <row r="612" spans="8:24" ht="14.25" customHeight="1" x14ac:dyDescent="0.2">
      <c r="H612" s="19" t="s">
        <v>1979</v>
      </c>
      <c r="J612" s="110" t="str">
        <f t="shared" si="18"/>
        <v/>
      </c>
      <c r="L612" s="110" t="str">
        <f t="shared" si="19"/>
        <v/>
      </c>
      <c r="R612" s="16"/>
      <c r="S612" s="16"/>
      <c r="T612" s="16"/>
      <c r="U612" s="4"/>
      <c r="V612" s="4"/>
      <c r="W612" s="4"/>
      <c r="X612" s="4"/>
    </row>
    <row r="613" spans="8:24" ht="14.25" customHeight="1" x14ac:dyDescent="0.2">
      <c r="H613" s="19" t="s">
        <v>1979</v>
      </c>
      <c r="J613" s="110" t="str">
        <f t="shared" si="18"/>
        <v/>
      </c>
      <c r="L613" s="110" t="str">
        <f t="shared" si="19"/>
        <v/>
      </c>
      <c r="R613" s="15"/>
      <c r="S613" s="15"/>
      <c r="T613" s="15"/>
      <c r="U613" s="4"/>
      <c r="V613" s="4"/>
      <c r="W613" s="4"/>
      <c r="X613" s="4"/>
    </row>
    <row r="614" spans="8:24" ht="14.25" customHeight="1" x14ac:dyDescent="0.2">
      <c r="H614" s="19" t="s">
        <v>1979</v>
      </c>
      <c r="J614" s="110" t="str">
        <f t="shared" si="18"/>
        <v/>
      </c>
      <c r="L614" s="110" t="str">
        <f t="shared" si="19"/>
        <v/>
      </c>
      <c r="R614" s="15"/>
      <c r="S614" s="15"/>
      <c r="T614" s="15"/>
      <c r="U614" s="4"/>
      <c r="V614" s="4"/>
      <c r="W614" s="4"/>
      <c r="X614" s="4"/>
    </row>
    <row r="615" spans="8:24" ht="14.25" customHeight="1" x14ac:dyDescent="0.2">
      <c r="H615" s="19" t="s">
        <v>1979</v>
      </c>
      <c r="J615" s="110" t="str">
        <f t="shared" si="18"/>
        <v/>
      </c>
      <c r="L615" s="110" t="str">
        <f t="shared" si="19"/>
        <v/>
      </c>
      <c r="R615" s="15"/>
      <c r="S615" s="15"/>
      <c r="T615" s="15"/>
      <c r="U615" s="4"/>
      <c r="V615" s="4"/>
      <c r="W615" s="4"/>
      <c r="X615" s="4"/>
    </row>
    <row r="616" spans="8:24" ht="14.25" customHeight="1" x14ac:dyDescent="0.2">
      <c r="H616" s="19" t="s">
        <v>1979</v>
      </c>
      <c r="J616" s="110" t="str">
        <f t="shared" si="18"/>
        <v/>
      </c>
      <c r="L616" s="110" t="str">
        <f t="shared" si="19"/>
        <v/>
      </c>
      <c r="R616" s="15"/>
      <c r="S616" s="15"/>
      <c r="T616" s="15"/>
      <c r="U616" s="4"/>
      <c r="V616" s="4"/>
      <c r="W616" s="4"/>
      <c r="X616" s="4"/>
    </row>
    <row r="617" spans="8:24" ht="14.25" customHeight="1" x14ac:dyDescent="0.2">
      <c r="H617" s="19" t="s">
        <v>1979</v>
      </c>
      <c r="J617" s="110" t="str">
        <f t="shared" si="18"/>
        <v/>
      </c>
      <c r="L617" s="110" t="str">
        <f t="shared" si="19"/>
        <v/>
      </c>
      <c r="R617" s="15"/>
      <c r="S617" s="15"/>
      <c r="T617" s="15"/>
      <c r="U617" s="4"/>
      <c r="V617" s="4"/>
      <c r="W617" s="4"/>
      <c r="X617" s="4"/>
    </row>
    <row r="618" spans="8:24" ht="14.25" customHeight="1" x14ac:dyDescent="0.2">
      <c r="H618" s="19" t="s">
        <v>1979</v>
      </c>
      <c r="J618" s="110" t="str">
        <f t="shared" si="18"/>
        <v/>
      </c>
      <c r="L618" s="110" t="str">
        <f t="shared" si="19"/>
        <v/>
      </c>
      <c r="R618" s="15"/>
      <c r="S618" s="15"/>
      <c r="T618" s="15"/>
      <c r="U618" s="4"/>
      <c r="V618" s="4"/>
      <c r="W618" s="4"/>
      <c r="X618" s="4"/>
    </row>
    <row r="619" spans="8:24" ht="14.25" customHeight="1" x14ac:dyDescent="0.2">
      <c r="H619" s="19" t="s">
        <v>1979</v>
      </c>
      <c r="J619" s="110" t="str">
        <f t="shared" si="18"/>
        <v/>
      </c>
      <c r="L619" s="110" t="str">
        <f t="shared" si="19"/>
        <v/>
      </c>
      <c r="R619" s="15"/>
      <c r="S619" s="15"/>
      <c r="T619" s="15"/>
      <c r="U619" s="4"/>
      <c r="V619" s="4"/>
      <c r="W619" s="4"/>
      <c r="X619" s="4"/>
    </row>
    <row r="620" spans="8:24" ht="14.25" customHeight="1" x14ac:dyDescent="0.2">
      <c r="H620" s="19" t="s">
        <v>1979</v>
      </c>
      <c r="J620" s="110" t="str">
        <f t="shared" si="18"/>
        <v/>
      </c>
      <c r="L620" s="110" t="str">
        <f t="shared" si="19"/>
        <v/>
      </c>
      <c r="R620" s="15"/>
      <c r="S620" s="15"/>
      <c r="T620" s="15"/>
      <c r="U620" s="4"/>
      <c r="V620" s="4"/>
      <c r="W620" s="4"/>
      <c r="X620" s="4"/>
    </row>
    <row r="621" spans="8:24" ht="14.25" customHeight="1" x14ac:dyDescent="0.2">
      <c r="H621" s="19" t="s">
        <v>1979</v>
      </c>
      <c r="J621" s="110" t="str">
        <f t="shared" si="18"/>
        <v/>
      </c>
      <c r="L621" s="110" t="str">
        <f t="shared" si="19"/>
        <v/>
      </c>
      <c r="R621" s="15"/>
      <c r="S621" s="15"/>
      <c r="T621" s="15"/>
      <c r="U621" s="4"/>
      <c r="V621" s="4"/>
      <c r="W621" s="4"/>
      <c r="X621" s="4"/>
    </row>
    <row r="622" spans="8:24" ht="14.25" customHeight="1" x14ac:dyDescent="0.2">
      <c r="H622" s="19" t="s">
        <v>1979</v>
      </c>
      <c r="J622" s="110" t="str">
        <f t="shared" si="18"/>
        <v/>
      </c>
      <c r="L622" s="110" t="str">
        <f t="shared" si="19"/>
        <v/>
      </c>
      <c r="R622" s="15"/>
      <c r="S622" s="15"/>
      <c r="T622" s="15"/>
      <c r="U622" s="4"/>
      <c r="V622" s="4"/>
      <c r="W622" s="4"/>
      <c r="X622" s="4"/>
    </row>
    <row r="623" spans="8:24" ht="14.25" customHeight="1" x14ac:dyDescent="0.2">
      <c r="H623" s="19" t="s">
        <v>1979</v>
      </c>
      <c r="J623" s="110" t="str">
        <f t="shared" si="18"/>
        <v/>
      </c>
      <c r="L623" s="110" t="str">
        <f t="shared" si="19"/>
        <v/>
      </c>
      <c r="R623" s="15"/>
      <c r="S623" s="15"/>
      <c r="T623" s="15"/>
      <c r="U623" s="4"/>
      <c r="V623" s="4"/>
      <c r="W623" s="4"/>
      <c r="X623" s="4"/>
    </row>
    <row r="624" spans="8:24" ht="14.25" customHeight="1" x14ac:dyDescent="0.2">
      <c r="H624" s="19" t="s">
        <v>1979</v>
      </c>
      <c r="J624" s="110" t="str">
        <f t="shared" si="18"/>
        <v/>
      </c>
      <c r="L624" s="110" t="str">
        <f t="shared" si="19"/>
        <v/>
      </c>
      <c r="R624" s="15"/>
      <c r="S624" s="15"/>
      <c r="T624" s="15"/>
      <c r="U624" s="4"/>
      <c r="V624" s="4"/>
      <c r="W624" s="4"/>
      <c r="X624" s="4"/>
    </row>
    <row r="625" spans="8:24" ht="14.25" customHeight="1" x14ac:dyDescent="0.2">
      <c r="H625" s="19" t="s">
        <v>1979</v>
      </c>
      <c r="J625" s="110" t="str">
        <f t="shared" si="18"/>
        <v/>
      </c>
      <c r="L625" s="110" t="str">
        <f t="shared" si="19"/>
        <v/>
      </c>
      <c r="R625" s="15"/>
      <c r="S625" s="15"/>
      <c r="T625" s="15"/>
      <c r="U625" s="4"/>
      <c r="V625" s="4"/>
      <c r="W625" s="4"/>
      <c r="X625" s="4"/>
    </row>
    <row r="626" spans="8:24" ht="14.25" customHeight="1" x14ac:dyDescent="0.2">
      <c r="H626" s="19" t="s">
        <v>1979</v>
      </c>
      <c r="J626" s="110" t="str">
        <f t="shared" si="18"/>
        <v/>
      </c>
      <c r="L626" s="110" t="str">
        <f t="shared" si="19"/>
        <v/>
      </c>
      <c r="R626" s="15"/>
      <c r="S626" s="15"/>
      <c r="T626" s="15"/>
      <c r="U626" s="4"/>
      <c r="V626" s="4"/>
      <c r="W626" s="4"/>
      <c r="X626" s="4"/>
    </row>
    <row r="627" spans="8:24" ht="14.25" customHeight="1" x14ac:dyDescent="0.2">
      <c r="H627" s="19" t="s">
        <v>1979</v>
      </c>
      <c r="J627" s="110" t="str">
        <f t="shared" si="18"/>
        <v/>
      </c>
      <c r="L627" s="110" t="str">
        <f t="shared" si="19"/>
        <v/>
      </c>
      <c r="R627" s="15"/>
      <c r="S627" s="15"/>
      <c r="T627" s="15"/>
      <c r="U627" s="4"/>
      <c r="V627" s="4"/>
      <c r="W627" s="4"/>
      <c r="X627" s="4"/>
    </row>
    <row r="628" spans="8:24" ht="14.25" customHeight="1" x14ac:dyDescent="0.2">
      <c r="H628" s="19" t="s">
        <v>1979</v>
      </c>
      <c r="J628" s="110" t="str">
        <f t="shared" si="18"/>
        <v/>
      </c>
      <c r="L628" s="110" t="str">
        <f t="shared" si="19"/>
        <v/>
      </c>
      <c r="R628" s="15"/>
      <c r="S628" s="15"/>
      <c r="T628" s="15"/>
      <c r="U628" s="4"/>
      <c r="V628" s="4"/>
      <c r="W628" s="4"/>
      <c r="X628" s="4"/>
    </row>
    <row r="629" spans="8:24" ht="14.25" customHeight="1" x14ac:dyDescent="0.2">
      <c r="H629" s="19" t="s">
        <v>1979</v>
      </c>
      <c r="J629" s="110" t="str">
        <f t="shared" si="18"/>
        <v/>
      </c>
      <c r="L629" s="110" t="str">
        <f t="shared" si="19"/>
        <v/>
      </c>
      <c r="R629" s="15"/>
      <c r="S629" s="15"/>
      <c r="T629" s="15"/>
      <c r="U629" s="4"/>
      <c r="V629" s="4"/>
      <c r="W629" s="4"/>
      <c r="X629" s="4"/>
    </row>
    <row r="630" spans="8:24" ht="14.25" customHeight="1" x14ac:dyDescent="0.2">
      <c r="H630" s="19" t="s">
        <v>1979</v>
      </c>
      <c r="J630" s="110" t="str">
        <f t="shared" si="18"/>
        <v/>
      </c>
      <c r="L630" s="110" t="str">
        <f t="shared" si="19"/>
        <v/>
      </c>
      <c r="R630" s="15"/>
      <c r="S630" s="15"/>
      <c r="T630" s="15"/>
      <c r="U630" s="4"/>
      <c r="V630" s="4"/>
      <c r="W630" s="4"/>
      <c r="X630" s="4"/>
    </row>
    <row r="631" spans="8:24" ht="14.25" customHeight="1" x14ac:dyDescent="0.2">
      <c r="H631" s="19" t="s">
        <v>1979</v>
      </c>
      <c r="J631" s="110" t="str">
        <f t="shared" si="18"/>
        <v/>
      </c>
      <c r="L631" s="110" t="str">
        <f t="shared" si="19"/>
        <v/>
      </c>
      <c r="R631" s="15"/>
      <c r="S631" s="15"/>
      <c r="T631" s="15"/>
      <c r="U631" s="4"/>
      <c r="V631" s="4"/>
      <c r="W631" s="4"/>
      <c r="X631" s="4"/>
    </row>
    <row r="632" spans="8:24" ht="14.25" customHeight="1" x14ac:dyDescent="0.2">
      <c r="H632" s="19" t="s">
        <v>1979</v>
      </c>
      <c r="J632" s="110" t="str">
        <f t="shared" si="18"/>
        <v/>
      </c>
      <c r="L632" s="110" t="str">
        <f t="shared" si="19"/>
        <v/>
      </c>
      <c r="R632" s="15"/>
      <c r="S632" s="15"/>
      <c r="T632" s="15"/>
      <c r="U632" s="4"/>
      <c r="V632" s="4"/>
      <c r="W632" s="4"/>
      <c r="X632" s="4"/>
    </row>
    <row r="633" spans="8:24" ht="14.25" customHeight="1" x14ac:dyDescent="0.2">
      <c r="H633" s="19" t="s">
        <v>1979</v>
      </c>
      <c r="J633" s="110" t="str">
        <f t="shared" si="18"/>
        <v/>
      </c>
      <c r="L633" s="110" t="str">
        <f t="shared" si="19"/>
        <v/>
      </c>
      <c r="R633" s="15"/>
      <c r="S633" s="15"/>
      <c r="T633" s="15"/>
      <c r="U633" s="4"/>
      <c r="V633" s="4"/>
      <c r="W633" s="4"/>
      <c r="X633" s="4"/>
    </row>
    <row r="634" spans="8:24" ht="14.25" customHeight="1" x14ac:dyDescent="0.2">
      <c r="H634" s="19" t="s">
        <v>1979</v>
      </c>
      <c r="J634" s="110" t="str">
        <f t="shared" si="18"/>
        <v/>
      </c>
      <c r="L634" s="110" t="str">
        <f t="shared" si="19"/>
        <v/>
      </c>
      <c r="R634" s="15"/>
      <c r="S634" s="15"/>
      <c r="T634" s="15"/>
      <c r="U634" s="4"/>
      <c r="V634" s="4"/>
      <c r="W634" s="4"/>
      <c r="X634" s="4"/>
    </row>
    <row r="635" spans="8:24" ht="14.25" customHeight="1" x14ac:dyDescent="0.2">
      <c r="H635" s="19" t="s">
        <v>1979</v>
      </c>
      <c r="J635" s="110" t="str">
        <f t="shared" si="18"/>
        <v/>
      </c>
      <c r="L635" s="110" t="str">
        <f t="shared" si="19"/>
        <v/>
      </c>
      <c r="R635" s="15"/>
      <c r="S635" s="15"/>
      <c r="T635" s="15"/>
      <c r="U635" s="4"/>
      <c r="V635" s="4"/>
      <c r="W635" s="4"/>
      <c r="X635" s="4"/>
    </row>
    <row r="636" spans="8:24" ht="14.25" customHeight="1" x14ac:dyDescent="0.2">
      <c r="H636" s="19" t="s">
        <v>1979</v>
      </c>
      <c r="J636" s="110" t="str">
        <f t="shared" si="18"/>
        <v/>
      </c>
      <c r="L636" s="110" t="str">
        <f t="shared" si="19"/>
        <v/>
      </c>
      <c r="R636" s="15"/>
      <c r="S636" s="15"/>
      <c r="T636" s="15"/>
      <c r="U636" s="4"/>
      <c r="V636" s="4"/>
      <c r="W636" s="4"/>
      <c r="X636" s="4"/>
    </row>
    <row r="637" spans="8:24" ht="14.25" customHeight="1" x14ac:dyDescent="0.2">
      <c r="H637" s="19" t="s">
        <v>1979</v>
      </c>
      <c r="J637" s="110" t="str">
        <f t="shared" si="18"/>
        <v/>
      </c>
      <c r="L637" s="110" t="str">
        <f t="shared" si="19"/>
        <v/>
      </c>
      <c r="R637" s="15"/>
      <c r="S637" s="15"/>
      <c r="T637" s="15"/>
      <c r="U637" s="4"/>
      <c r="V637" s="4"/>
      <c r="W637" s="4"/>
      <c r="X637" s="4"/>
    </row>
    <row r="638" spans="8:24" ht="14.25" customHeight="1" x14ac:dyDescent="0.2">
      <c r="H638" s="19" t="s">
        <v>1979</v>
      </c>
      <c r="J638" s="110" t="str">
        <f t="shared" si="18"/>
        <v/>
      </c>
      <c r="L638" s="110" t="str">
        <f t="shared" si="19"/>
        <v/>
      </c>
      <c r="R638" s="15"/>
      <c r="S638" s="15"/>
      <c r="T638" s="15"/>
      <c r="U638" s="4"/>
      <c r="V638" s="4"/>
      <c r="W638" s="4"/>
      <c r="X638" s="4"/>
    </row>
    <row r="639" spans="8:24" ht="14.25" customHeight="1" x14ac:dyDescent="0.2">
      <c r="H639" s="19" t="s">
        <v>1979</v>
      </c>
      <c r="J639" s="110" t="str">
        <f t="shared" si="18"/>
        <v/>
      </c>
      <c r="L639" s="110" t="str">
        <f t="shared" si="19"/>
        <v/>
      </c>
      <c r="R639" s="15"/>
      <c r="S639" s="15"/>
      <c r="T639" s="15"/>
      <c r="U639" s="4"/>
      <c r="V639" s="4"/>
      <c r="W639" s="4"/>
      <c r="X639" s="4"/>
    </row>
    <row r="640" spans="8:24" ht="14.25" customHeight="1" x14ac:dyDescent="0.2">
      <c r="H640" s="19" t="s">
        <v>1979</v>
      </c>
      <c r="J640" s="110" t="str">
        <f t="shared" si="18"/>
        <v/>
      </c>
      <c r="L640" s="110" t="str">
        <f t="shared" si="19"/>
        <v/>
      </c>
      <c r="R640" s="15"/>
      <c r="S640" s="15"/>
      <c r="T640" s="15"/>
      <c r="U640" s="4"/>
      <c r="V640" s="4"/>
      <c r="W640" s="4"/>
      <c r="X640" s="4"/>
    </row>
    <row r="641" spans="8:24" ht="14.25" customHeight="1" x14ac:dyDescent="0.2">
      <c r="H641" s="19" t="s">
        <v>1979</v>
      </c>
      <c r="J641" s="110" t="str">
        <f t="shared" si="18"/>
        <v/>
      </c>
      <c r="L641" s="110" t="str">
        <f t="shared" si="19"/>
        <v/>
      </c>
      <c r="R641" s="15"/>
      <c r="S641" s="15"/>
      <c r="T641" s="15"/>
      <c r="U641" s="4"/>
      <c r="V641" s="4"/>
      <c r="W641" s="4"/>
      <c r="X641" s="4"/>
    </row>
    <row r="642" spans="8:24" ht="14.25" customHeight="1" x14ac:dyDescent="0.2">
      <c r="H642" s="19" t="s">
        <v>1979</v>
      </c>
      <c r="J642" s="110" t="str">
        <f t="shared" si="18"/>
        <v/>
      </c>
      <c r="L642" s="110" t="str">
        <f t="shared" si="19"/>
        <v/>
      </c>
      <c r="R642" s="15"/>
      <c r="S642" s="15"/>
      <c r="T642" s="15"/>
      <c r="U642" s="4"/>
      <c r="V642" s="4"/>
      <c r="W642" s="4"/>
      <c r="X642" s="4"/>
    </row>
    <row r="643" spans="8:24" ht="14.25" customHeight="1" x14ac:dyDescent="0.2">
      <c r="H643" s="19" t="s">
        <v>1979</v>
      </c>
      <c r="J643" s="110" t="str">
        <f t="shared" ref="J643:J706" si="20">IF(K643="","", K643/PI())</f>
        <v/>
      </c>
      <c r="L643" s="110" t="str">
        <f t="shared" ref="L643:L706" si="21">IF(OR(P643="", N643="", O643=""), "", TAN(P643*PI()/180)*N643 +O643)</f>
        <v/>
      </c>
      <c r="R643" s="15"/>
      <c r="S643" s="15"/>
      <c r="T643" s="15"/>
      <c r="U643" s="4"/>
      <c r="V643" s="4"/>
      <c r="W643" s="4"/>
      <c r="X643" s="4"/>
    </row>
    <row r="644" spans="8:24" ht="14.25" customHeight="1" x14ac:dyDescent="0.2">
      <c r="H644" s="19" t="s">
        <v>1979</v>
      </c>
      <c r="J644" s="110" t="str">
        <f t="shared" si="20"/>
        <v/>
      </c>
      <c r="L644" s="110" t="str">
        <f t="shared" si="21"/>
        <v/>
      </c>
      <c r="R644" s="15"/>
      <c r="S644" s="15"/>
      <c r="T644" s="15"/>
      <c r="U644" s="4"/>
      <c r="V644" s="4"/>
      <c r="W644" s="4"/>
      <c r="X644" s="4"/>
    </row>
    <row r="645" spans="8:24" ht="14.25" customHeight="1" x14ac:dyDescent="0.2">
      <c r="H645" s="19" t="s">
        <v>1979</v>
      </c>
      <c r="J645" s="110" t="str">
        <f t="shared" si="20"/>
        <v/>
      </c>
      <c r="L645" s="110" t="str">
        <f t="shared" si="21"/>
        <v/>
      </c>
      <c r="R645" s="15"/>
      <c r="S645" s="15"/>
      <c r="T645" s="15"/>
      <c r="U645" s="4"/>
      <c r="V645" s="4"/>
      <c r="W645" s="4"/>
      <c r="X645" s="4"/>
    </row>
    <row r="646" spans="8:24" ht="14.25" customHeight="1" x14ac:dyDescent="0.2">
      <c r="H646" s="19" t="s">
        <v>1979</v>
      </c>
      <c r="J646" s="110" t="str">
        <f t="shared" si="20"/>
        <v/>
      </c>
      <c r="L646" s="110" t="str">
        <f t="shared" si="21"/>
        <v/>
      </c>
      <c r="R646" s="15"/>
      <c r="S646" s="15"/>
      <c r="T646" s="15"/>
      <c r="U646" s="4"/>
      <c r="V646" s="4"/>
      <c r="W646" s="4"/>
      <c r="X646" s="4"/>
    </row>
    <row r="647" spans="8:24" ht="14.25" customHeight="1" x14ac:dyDescent="0.2">
      <c r="H647" s="19" t="s">
        <v>1979</v>
      </c>
      <c r="J647" s="110" t="str">
        <f t="shared" si="20"/>
        <v/>
      </c>
      <c r="L647" s="110" t="str">
        <f t="shared" si="21"/>
        <v/>
      </c>
      <c r="R647" s="15"/>
      <c r="S647" s="15"/>
      <c r="T647" s="15"/>
      <c r="U647" s="4"/>
      <c r="V647" s="4"/>
      <c r="W647" s="4"/>
      <c r="X647" s="4"/>
    </row>
    <row r="648" spans="8:24" ht="14.25" customHeight="1" x14ac:dyDescent="0.2">
      <c r="H648" s="19" t="s">
        <v>1979</v>
      </c>
      <c r="J648" s="110" t="str">
        <f t="shared" si="20"/>
        <v/>
      </c>
      <c r="L648" s="110" t="str">
        <f t="shared" si="21"/>
        <v/>
      </c>
      <c r="R648" s="15"/>
      <c r="S648" s="15"/>
      <c r="T648" s="15"/>
      <c r="U648" s="4"/>
      <c r="V648" s="4"/>
      <c r="W648" s="4"/>
      <c r="X648" s="4"/>
    </row>
    <row r="649" spans="8:24" ht="14.25" customHeight="1" x14ac:dyDescent="0.2">
      <c r="H649" s="19" t="s">
        <v>1979</v>
      </c>
      <c r="J649" s="110" t="str">
        <f t="shared" si="20"/>
        <v/>
      </c>
      <c r="L649" s="110" t="str">
        <f t="shared" si="21"/>
        <v/>
      </c>
      <c r="R649" s="15"/>
      <c r="S649" s="15"/>
      <c r="T649" s="15"/>
      <c r="U649" s="4"/>
      <c r="V649" s="4"/>
      <c r="W649" s="4"/>
      <c r="X649" s="4"/>
    </row>
    <row r="650" spans="8:24" ht="14.25" customHeight="1" x14ac:dyDescent="0.2">
      <c r="H650" s="19" t="s">
        <v>1979</v>
      </c>
      <c r="J650" s="110" t="str">
        <f t="shared" si="20"/>
        <v/>
      </c>
      <c r="L650" s="110" t="str">
        <f t="shared" si="21"/>
        <v/>
      </c>
      <c r="R650" s="15"/>
      <c r="S650" s="15"/>
      <c r="T650" s="15"/>
      <c r="U650" s="4"/>
      <c r="V650" s="4"/>
      <c r="W650" s="4"/>
      <c r="X650" s="4"/>
    </row>
    <row r="651" spans="8:24" ht="14.25" customHeight="1" x14ac:dyDescent="0.2">
      <c r="H651" s="19" t="s">
        <v>1979</v>
      </c>
      <c r="J651" s="110" t="str">
        <f t="shared" si="20"/>
        <v/>
      </c>
      <c r="L651" s="110" t="str">
        <f t="shared" si="21"/>
        <v/>
      </c>
      <c r="R651" s="4"/>
      <c r="S651" s="4"/>
      <c r="T651" s="4"/>
      <c r="U651" s="4"/>
      <c r="V651" s="4"/>
      <c r="W651" s="4"/>
      <c r="X651" s="4"/>
    </row>
    <row r="652" spans="8:24" ht="14.25" customHeight="1" x14ac:dyDescent="0.2">
      <c r="H652" s="19" t="s">
        <v>1979</v>
      </c>
      <c r="J652" s="110" t="str">
        <f t="shared" si="20"/>
        <v/>
      </c>
      <c r="L652" s="110" t="str">
        <f t="shared" si="21"/>
        <v/>
      </c>
      <c r="R652" s="4"/>
      <c r="S652" s="4"/>
      <c r="T652" s="4"/>
      <c r="U652" s="4"/>
      <c r="V652" s="4"/>
      <c r="W652" s="4"/>
      <c r="X652" s="4"/>
    </row>
    <row r="653" spans="8:24" ht="14.25" customHeight="1" x14ac:dyDescent="0.2">
      <c r="H653" s="19" t="s">
        <v>1979</v>
      </c>
      <c r="J653" s="110" t="str">
        <f t="shared" si="20"/>
        <v/>
      </c>
      <c r="L653" s="110" t="str">
        <f t="shared" si="21"/>
        <v/>
      </c>
      <c r="R653" s="4"/>
      <c r="S653" s="4"/>
      <c r="T653" s="4"/>
      <c r="U653" s="4"/>
      <c r="V653" s="4"/>
      <c r="W653" s="4"/>
      <c r="X653" s="4"/>
    </row>
    <row r="654" spans="8:24" ht="14.25" customHeight="1" x14ac:dyDescent="0.2">
      <c r="H654" s="19" t="s">
        <v>1979</v>
      </c>
      <c r="J654" s="110" t="str">
        <f t="shared" si="20"/>
        <v/>
      </c>
      <c r="L654" s="110" t="str">
        <f t="shared" si="21"/>
        <v/>
      </c>
      <c r="R654" s="4"/>
      <c r="S654" s="4"/>
      <c r="T654" s="4"/>
      <c r="U654" s="4"/>
      <c r="V654" s="4"/>
      <c r="W654" s="4"/>
      <c r="X654" s="4"/>
    </row>
    <row r="655" spans="8:24" ht="14.25" customHeight="1" x14ac:dyDescent="0.2">
      <c r="H655" s="19" t="s">
        <v>1979</v>
      </c>
      <c r="J655" s="110" t="str">
        <f t="shared" si="20"/>
        <v/>
      </c>
      <c r="L655" s="110" t="str">
        <f t="shared" si="21"/>
        <v/>
      </c>
      <c r="R655" s="4"/>
      <c r="S655" s="4"/>
      <c r="T655" s="4"/>
      <c r="U655" s="4"/>
      <c r="V655" s="4"/>
      <c r="W655" s="4"/>
      <c r="X655" s="4"/>
    </row>
    <row r="656" spans="8:24" ht="14.25" customHeight="1" x14ac:dyDescent="0.2">
      <c r="H656" s="19" t="s">
        <v>1979</v>
      </c>
      <c r="J656" s="110" t="str">
        <f t="shared" si="20"/>
        <v/>
      </c>
      <c r="L656" s="110" t="str">
        <f t="shared" si="21"/>
        <v/>
      </c>
      <c r="R656" s="4"/>
      <c r="S656" s="4"/>
      <c r="T656" s="4"/>
      <c r="U656" s="4"/>
      <c r="V656" s="4"/>
      <c r="W656" s="4"/>
      <c r="X656" s="4"/>
    </row>
    <row r="657" spans="8:24" ht="14.25" customHeight="1" x14ac:dyDescent="0.2">
      <c r="H657" s="19" t="s">
        <v>1979</v>
      </c>
      <c r="J657" s="110" t="str">
        <f t="shared" si="20"/>
        <v/>
      </c>
      <c r="L657" s="110" t="str">
        <f t="shared" si="21"/>
        <v/>
      </c>
      <c r="R657" s="4"/>
      <c r="S657" s="4"/>
      <c r="T657" s="4"/>
      <c r="U657" s="4"/>
      <c r="V657" s="4"/>
      <c r="W657" s="4"/>
      <c r="X657" s="4"/>
    </row>
    <row r="658" spans="8:24" ht="14.25" customHeight="1" x14ac:dyDescent="0.2">
      <c r="H658" s="19" t="s">
        <v>1979</v>
      </c>
      <c r="J658" s="110" t="str">
        <f t="shared" si="20"/>
        <v/>
      </c>
      <c r="L658" s="110" t="str">
        <f t="shared" si="21"/>
        <v/>
      </c>
      <c r="R658" s="4"/>
      <c r="S658" s="4"/>
      <c r="T658" s="4"/>
      <c r="U658" s="4"/>
      <c r="V658" s="4"/>
      <c r="W658" s="4"/>
      <c r="X658" s="4"/>
    </row>
    <row r="659" spans="8:24" ht="14.25" customHeight="1" x14ac:dyDescent="0.2">
      <c r="H659" s="19" t="s">
        <v>1979</v>
      </c>
      <c r="J659" s="110" t="str">
        <f t="shared" si="20"/>
        <v/>
      </c>
      <c r="L659" s="110" t="str">
        <f t="shared" si="21"/>
        <v/>
      </c>
      <c r="R659" s="4"/>
      <c r="S659" s="4"/>
      <c r="T659" s="4"/>
      <c r="U659" s="4"/>
      <c r="V659" s="4"/>
      <c r="W659" s="4"/>
      <c r="X659" s="4"/>
    </row>
    <row r="660" spans="8:24" ht="14.25" customHeight="1" x14ac:dyDescent="0.2">
      <c r="H660" s="19" t="s">
        <v>1979</v>
      </c>
      <c r="J660" s="110" t="str">
        <f t="shared" si="20"/>
        <v/>
      </c>
      <c r="L660" s="110" t="str">
        <f t="shared" si="21"/>
        <v/>
      </c>
      <c r="R660" s="4"/>
      <c r="S660" s="4"/>
      <c r="T660" s="4"/>
      <c r="U660" s="4"/>
      <c r="V660" s="4"/>
      <c r="W660" s="4"/>
      <c r="X660" s="4"/>
    </row>
    <row r="661" spans="8:24" ht="14.25" customHeight="1" x14ac:dyDescent="0.2">
      <c r="H661" s="19" t="s">
        <v>1979</v>
      </c>
      <c r="J661" s="110" t="str">
        <f t="shared" si="20"/>
        <v/>
      </c>
      <c r="L661" s="110" t="str">
        <f t="shared" si="21"/>
        <v/>
      </c>
      <c r="R661" s="4"/>
      <c r="S661" s="4"/>
      <c r="T661" s="4"/>
      <c r="U661" s="4"/>
      <c r="V661" s="4"/>
      <c r="W661" s="4"/>
      <c r="X661" s="4"/>
    </row>
    <row r="662" spans="8:24" ht="14.25" customHeight="1" x14ac:dyDescent="0.2">
      <c r="H662" s="19" t="s">
        <v>1979</v>
      </c>
      <c r="J662" s="110" t="str">
        <f t="shared" si="20"/>
        <v/>
      </c>
      <c r="L662" s="110" t="str">
        <f t="shared" si="21"/>
        <v/>
      </c>
      <c r="R662" s="4"/>
      <c r="S662" s="4"/>
      <c r="T662" s="4"/>
      <c r="U662" s="4"/>
      <c r="V662" s="4"/>
      <c r="W662" s="4"/>
      <c r="X662" s="4"/>
    </row>
    <row r="663" spans="8:24" ht="14.25" customHeight="1" x14ac:dyDescent="0.2">
      <c r="H663" s="19" t="s">
        <v>1979</v>
      </c>
      <c r="J663" s="110" t="str">
        <f t="shared" si="20"/>
        <v/>
      </c>
      <c r="L663" s="110" t="str">
        <f t="shared" si="21"/>
        <v/>
      </c>
      <c r="R663" s="4"/>
      <c r="S663" s="4"/>
      <c r="T663" s="4"/>
      <c r="U663" s="4"/>
      <c r="V663" s="4"/>
      <c r="W663" s="4"/>
      <c r="X663" s="4"/>
    </row>
    <row r="664" spans="8:24" ht="14.25" customHeight="1" x14ac:dyDescent="0.2">
      <c r="H664" s="19" t="s">
        <v>1979</v>
      </c>
      <c r="J664" s="110" t="str">
        <f t="shared" si="20"/>
        <v/>
      </c>
      <c r="L664" s="110" t="str">
        <f t="shared" si="21"/>
        <v/>
      </c>
      <c r="R664" s="4"/>
      <c r="S664" s="4"/>
      <c r="T664" s="4"/>
      <c r="U664" s="4"/>
      <c r="V664" s="4"/>
      <c r="W664" s="4"/>
      <c r="X664" s="4"/>
    </row>
    <row r="665" spans="8:24" ht="14.25" customHeight="1" x14ac:dyDescent="0.2">
      <c r="H665" s="19" t="s">
        <v>1979</v>
      </c>
      <c r="J665" s="110" t="str">
        <f t="shared" si="20"/>
        <v/>
      </c>
      <c r="L665" s="110" t="str">
        <f t="shared" si="21"/>
        <v/>
      </c>
      <c r="R665" s="4"/>
      <c r="S665" s="4"/>
      <c r="T665" s="4"/>
      <c r="U665" s="4"/>
      <c r="V665" s="4"/>
      <c r="W665" s="4"/>
      <c r="X665" s="4"/>
    </row>
    <row r="666" spans="8:24" ht="14.25" customHeight="1" x14ac:dyDescent="0.2">
      <c r="H666" s="19" t="s">
        <v>1979</v>
      </c>
      <c r="J666" s="110" t="str">
        <f t="shared" si="20"/>
        <v/>
      </c>
      <c r="L666" s="110" t="str">
        <f t="shared" si="21"/>
        <v/>
      </c>
      <c r="R666" s="4"/>
      <c r="S666" s="4"/>
      <c r="T666" s="4"/>
      <c r="U666" s="4"/>
      <c r="V666" s="4"/>
      <c r="W666" s="4"/>
      <c r="X666" s="4"/>
    </row>
    <row r="667" spans="8:24" ht="14.25" customHeight="1" x14ac:dyDescent="0.2">
      <c r="H667" s="19" t="s">
        <v>1979</v>
      </c>
      <c r="J667" s="110" t="str">
        <f t="shared" si="20"/>
        <v/>
      </c>
      <c r="L667" s="110" t="str">
        <f t="shared" si="21"/>
        <v/>
      </c>
      <c r="R667" s="4"/>
      <c r="S667" s="4"/>
      <c r="T667" s="4"/>
      <c r="U667" s="4"/>
      <c r="V667" s="4"/>
      <c r="W667" s="4"/>
      <c r="X667" s="4"/>
    </row>
    <row r="668" spans="8:24" ht="14.25" customHeight="1" x14ac:dyDescent="0.2">
      <c r="H668" s="19" t="s">
        <v>1979</v>
      </c>
      <c r="J668" s="110" t="str">
        <f t="shared" si="20"/>
        <v/>
      </c>
      <c r="L668" s="110" t="str">
        <f t="shared" si="21"/>
        <v/>
      </c>
      <c r="R668" s="4"/>
      <c r="S668" s="4"/>
      <c r="T668" s="4"/>
      <c r="U668" s="4"/>
      <c r="V668" s="4"/>
      <c r="W668" s="4"/>
      <c r="X668" s="4"/>
    </row>
    <row r="669" spans="8:24" ht="14.25" customHeight="1" x14ac:dyDescent="0.2">
      <c r="H669" s="19" t="s">
        <v>1979</v>
      </c>
      <c r="J669" s="110" t="str">
        <f t="shared" si="20"/>
        <v/>
      </c>
      <c r="L669" s="110" t="str">
        <f t="shared" si="21"/>
        <v/>
      </c>
      <c r="R669" s="4"/>
      <c r="S669" s="4"/>
      <c r="T669" s="4"/>
      <c r="U669" s="4"/>
      <c r="V669" s="4"/>
      <c r="W669" s="4"/>
      <c r="X669" s="4"/>
    </row>
    <row r="670" spans="8:24" ht="14.25" customHeight="1" x14ac:dyDescent="0.2">
      <c r="H670" s="19" t="s">
        <v>1979</v>
      </c>
      <c r="J670" s="110" t="str">
        <f t="shared" si="20"/>
        <v/>
      </c>
      <c r="L670" s="110" t="str">
        <f t="shared" si="21"/>
        <v/>
      </c>
      <c r="R670" s="4"/>
      <c r="S670" s="4"/>
      <c r="T670" s="4"/>
      <c r="U670" s="4"/>
      <c r="V670" s="4"/>
      <c r="W670" s="4"/>
      <c r="X670" s="4"/>
    </row>
    <row r="671" spans="8:24" ht="14.25" customHeight="1" x14ac:dyDescent="0.2">
      <c r="H671" s="19" t="s">
        <v>1979</v>
      </c>
      <c r="J671" s="110" t="str">
        <f t="shared" si="20"/>
        <v/>
      </c>
      <c r="L671" s="110" t="str">
        <f t="shared" si="21"/>
        <v/>
      </c>
      <c r="R671" s="4"/>
      <c r="S671" s="4"/>
      <c r="T671" s="4"/>
      <c r="U671" s="4"/>
      <c r="V671" s="4"/>
      <c r="W671" s="4"/>
      <c r="X671" s="4"/>
    </row>
    <row r="672" spans="8:24" ht="14.25" customHeight="1" x14ac:dyDescent="0.2">
      <c r="H672" s="19" t="s">
        <v>1979</v>
      </c>
      <c r="J672" s="110" t="str">
        <f t="shared" si="20"/>
        <v/>
      </c>
      <c r="L672" s="110" t="str">
        <f t="shared" si="21"/>
        <v/>
      </c>
      <c r="R672" s="4"/>
      <c r="S672" s="4"/>
      <c r="T672" s="4"/>
      <c r="U672" s="4"/>
      <c r="V672" s="4"/>
      <c r="W672" s="4"/>
      <c r="X672" s="4"/>
    </row>
    <row r="673" spans="8:24" ht="14.25" customHeight="1" x14ac:dyDescent="0.2">
      <c r="H673" s="19" t="s">
        <v>1979</v>
      </c>
      <c r="J673" s="110" t="str">
        <f t="shared" si="20"/>
        <v/>
      </c>
      <c r="L673" s="110" t="str">
        <f t="shared" si="21"/>
        <v/>
      </c>
      <c r="R673" s="4"/>
      <c r="S673" s="4"/>
      <c r="T673" s="4"/>
      <c r="U673" s="4"/>
      <c r="V673" s="4"/>
      <c r="W673" s="4"/>
      <c r="X673" s="4"/>
    </row>
    <row r="674" spans="8:24" ht="14.25" customHeight="1" x14ac:dyDescent="0.2">
      <c r="H674" s="19" t="s">
        <v>1979</v>
      </c>
      <c r="J674" s="110" t="str">
        <f t="shared" si="20"/>
        <v/>
      </c>
      <c r="L674" s="110" t="str">
        <f t="shared" si="21"/>
        <v/>
      </c>
      <c r="R674" s="4"/>
      <c r="S674" s="4"/>
      <c r="T674" s="4"/>
      <c r="U674" s="4"/>
      <c r="V674" s="4"/>
      <c r="W674" s="4"/>
      <c r="X674" s="4"/>
    </row>
    <row r="675" spans="8:24" ht="14.25" customHeight="1" x14ac:dyDescent="0.2">
      <c r="H675" s="19" t="s">
        <v>1979</v>
      </c>
      <c r="J675" s="110" t="str">
        <f t="shared" si="20"/>
        <v/>
      </c>
      <c r="L675" s="110" t="str">
        <f t="shared" si="21"/>
        <v/>
      </c>
      <c r="R675" s="4"/>
      <c r="S675" s="4"/>
      <c r="T675" s="4"/>
      <c r="U675" s="4"/>
      <c r="V675" s="4"/>
      <c r="W675" s="4"/>
      <c r="X675" s="4"/>
    </row>
    <row r="676" spans="8:24" ht="14.25" customHeight="1" x14ac:dyDescent="0.2">
      <c r="H676" s="19" t="s">
        <v>1979</v>
      </c>
      <c r="J676" s="110" t="str">
        <f t="shared" si="20"/>
        <v/>
      </c>
      <c r="L676" s="110" t="str">
        <f t="shared" si="21"/>
        <v/>
      </c>
      <c r="R676" s="4"/>
      <c r="S676" s="4"/>
      <c r="T676" s="4"/>
      <c r="U676" s="4"/>
      <c r="V676" s="4"/>
      <c r="W676" s="4"/>
      <c r="X676" s="4"/>
    </row>
    <row r="677" spans="8:24" ht="14.25" customHeight="1" x14ac:dyDescent="0.2">
      <c r="H677" s="19" t="s">
        <v>1979</v>
      </c>
      <c r="J677" s="110" t="str">
        <f t="shared" si="20"/>
        <v/>
      </c>
      <c r="L677" s="110" t="str">
        <f t="shared" si="21"/>
        <v/>
      </c>
      <c r="R677" s="4"/>
      <c r="S677" s="4"/>
      <c r="T677" s="4"/>
      <c r="U677" s="4"/>
      <c r="V677" s="4"/>
      <c r="W677" s="4"/>
      <c r="X677" s="4"/>
    </row>
    <row r="678" spans="8:24" ht="14.25" customHeight="1" x14ac:dyDescent="0.2">
      <c r="H678" s="19" t="s">
        <v>1979</v>
      </c>
      <c r="J678" s="110" t="str">
        <f t="shared" si="20"/>
        <v/>
      </c>
      <c r="L678" s="110" t="str">
        <f t="shared" si="21"/>
        <v/>
      </c>
      <c r="R678" s="4"/>
      <c r="S678" s="4"/>
      <c r="T678" s="4"/>
      <c r="U678" s="4"/>
      <c r="V678" s="4"/>
      <c r="W678" s="4"/>
      <c r="X678" s="4"/>
    </row>
    <row r="679" spans="8:24" ht="14.25" customHeight="1" x14ac:dyDescent="0.2">
      <c r="H679" s="19" t="s">
        <v>1979</v>
      </c>
      <c r="J679" s="110" t="str">
        <f t="shared" si="20"/>
        <v/>
      </c>
      <c r="L679" s="110" t="str">
        <f t="shared" si="21"/>
        <v/>
      </c>
      <c r="R679" s="4"/>
      <c r="S679" s="4"/>
      <c r="T679" s="4"/>
      <c r="U679" s="4"/>
      <c r="V679" s="4"/>
      <c r="W679" s="4"/>
      <c r="X679" s="4"/>
    </row>
    <row r="680" spans="8:24" ht="14.25" customHeight="1" x14ac:dyDescent="0.2">
      <c r="H680" s="19" t="s">
        <v>1979</v>
      </c>
      <c r="J680" s="110" t="str">
        <f t="shared" si="20"/>
        <v/>
      </c>
      <c r="L680" s="110" t="str">
        <f t="shared" si="21"/>
        <v/>
      </c>
      <c r="R680" s="4"/>
      <c r="S680" s="4"/>
      <c r="T680" s="4"/>
      <c r="U680" s="4"/>
      <c r="V680" s="4"/>
      <c r="W680" s="4"/>
      <c r="X680" s="4"/>
    </row>
    <row r="681" spans="8:24" ht="14.25" customHeight="1" x14ac:dyDescent="0.2">
      <c r="H681" s="19" t="s">
        <v>1979</v>
      </c>
      <c r="J681" s="110" t="str">
        <f t="shared" si="20"/>
        <v/>
      </c>
      <c r="L681" s="110" t="str">
        <f t="shared" si="21"/>
        <v/>
      </c>
      <c r="R681" s="4"/>
      <c r="S681" s="4"/>
      <c r="T681" s="4"/>
      <c r="U681" s="4"/>
      <c r="V681" s="4"/>
      <c r="W681" s="4"/>
      <c r="X681" s="4"/>
    </row>
    <row r="682" spans="8:24" ht="14.25" customHeight="1" x14ac:dyDescent="0.2">
      <c r="H682" s="19" t="s">
        <v>1979</v>
      </c>
      <c r="J682" s="110" t="str">
        <f t="shared" si="20"/>
        <v/>
      </c>
      <c r="L682" s="110" t="str">
        <f t="shared" si="21"/>
        <v/>
      </c>
      <c r="R682" s="4"/>
      <c r="S682" s="4"/>
      <c r="T682" s="4"/>
      <c r="U682" s="4"/>
      <c r="V682" s="4"/>
      <c r="W682" s="4"/>
      <c r="X682" s="4"/>
    </row>
    <row r="683" spans="8:24" ht="14.25" customHeight="1" x14ac:dyDescent="0.2">
      <c r="H683" s="19" t="s">
        <v>1979</v>
      </c>
      <c r="J683" s="110" t="str">
        <f t="shared" si="20"/>
        <v/>
      </c>
      <c r="L683" s="110" t="str">
        <f t="shared" si="21"/>
        <v/>
      </c>
      <c r="R683" s="4"/>
      <c r="S683" s="4"/>
      <c r="T683" s="4"/>
      <c r="U683" s="4"/>
      <c r="V683" s="4"/>
      <c r="W683" s="4"/>
      <c r="X683" s="4"/>
    </row>
    <row r="684" spans="8:24" ht="14.25" customHeight="1" x14ac:dyDescent="0.2">
      <c r="H684" s="19" t="s">
        <v>1979</v>
      </c>
      <c r="J684" s="110" t="str">
        <f t="shared" si="20"/>
        <v/>
      </c>
      <c r="L684" s="110" t="str">
        <f t="shared" si="21"/>
        <v/>
      </c>
      <c r="R684" s="4"/>
      <c r="S684" s="4"/>
      <c r="T684" s="4"/>
      <c r="U684" s="4"/>
      <c r="V684" s="4"/>
      <c r="W684" s="4"/>
      <c r="X684" s="4"/>
    </row>
    <row r="685" spans="8:24" ht="14.25" customHeight="1" x14ac:dyDescent="0.2">
      <c r="H685" s="19" t="s">
        <v>1979</v>
      </c>
      <c r="J685" s="110" t="str">
        <f t="shared" si="20"/>
        <v/>
      </c>
      <c r="L685" s="110" t="str">
        <f t="shared" si="21"/>
        <v/>
      </c>
      <c r="R685" s="4"/>
      <c r="S685" s="4"/>
      <c r="T685" s="4"/>
      <c r="U685" s="4"/>
      <c r="V685" s="4"/>
      <c r="W685" s="4"/>
      <c r="X685" s="4"/>
    </row>
    <row r="686" spans="8:24" ht="14.25" customHeight="1" x14ac:dyDescent="0.2">
      <c r="H686" s="19" t="s">
        <v>1979</v>
      </c>
      <c r="J686" s="110" t="str">
        <f t="shared" si="20"/>
        <v/>
      </c>
      <c r="L686" s="110" t="str">
        <f t="shared" si="21"/>
        <v/>
      </c>
      <c r="R686" s="4"/>
      <c r="S686" s="4"/>
      <c r="T686" s="4"/>
      <c r="U686" s="4"/>
      <c r="V686" s="4"/>
      <c r="W686" s="4"/>
      <c r="X686" s="4"/>
    </row>
    <row r="687" spans="8:24" ht="14.25" customHeight="1" x14ac:dyDescent="0.2">
      <c r="H687" s="19" t="s">
        <v>1979</v>
      </c>
      <c r="J687" s="110" t="str">
        <f t="shared" si="20"/>
        <v/>
      </c>
      <c r="L687" s="110" t="str">
        <f t="shared" si="21"/>
        <v/>
      </c>
      <c r="R687" s="4"/>
      <c r="S687" s="4"/>
      <c r="T687" s="4"/>
      <c r="U687" s="4"/>
      <c r="V687" s="4"/>
      <c r="W687" s="4"/>
      <c r="X687" s="4"/>
    </row>
    <row r="688" spans="8:24" ht="14.25" customHeight="1" x14ac:dyDescent="0.2">
      <c r="H688" s="19" t="s">
        <v>1979</v>
      </c>
      <c r="J688" s="110" t="str">
        <f t="shared" si="20"/>
        <v/>
      </c>
      <c r="L688" s="110" t="str">
        <f t="shared" si="21"/>
        <v/>
      </c>
      <c r="R688" s="4"/>
      <c r="S688" s="4"/>
      <c r="T688" s="4"/>
      <c r="U688" s="4"/>
      <c r="V688" s="4"/>
      <c r="W688" s="4"/>
      <c r="X688" s="4"/>
    </row>
    <row r="689" spans="8:24" ht="14.25" customHeight="1" x14ac:dyDescent="0.2">
      <c r="H689" s="19" t="s">
        <v>1979</v>
      </c>
      <c r="J689" s="110" t="str">
        <f t="shared" si="20"/>
        <v/>
      </c>
      <c r="L689" s="110" t="str">
        <f t="shared" si="21"/>
        <v/>
      </c>
      <c r="R689" s="4"/>
      <c r="S689" s="4"/>
      <c r="T689" s="4"/>
      <c r="U689" s="4"/>
      <c r="V689" s="4"/>
      <c r="W689" s="4"/>
      <c r="X689" s="4"/>
    </row>
    <row r="690" spans="8:24" ht="14.25" customHeight="1" x14ac:dyDescent="0.2">
      <c r="H690" s="19" t="s">
        <v>1979</v>
      </c>
      <c r="J690" s="110" t="str">
        <f t="shared" si="20"/>
        <v/>
      </c>
      <c r="L690" s="110" t="str">
        <f t="shared" si="21"/>
        <v/>
      </c>
      <c r="R690" s="4"/>
      <c r="S690" s="4"/>
      <c r="T690" s="4"/>
      <c r="U690" s="4"/>
      <c r="V690" s="4"/>
      <c r="W690" s="4"/>
      <c r="X690" s="4"/>
    </row>
    <row r="691" spans="8:24" ht="14.25" customHeight="1" x14ac:dyDescent="0.2">
      <c r="H691" s="19" t="s">
        <v>1979</v>
      </c>
      <c r="J691" s="110" t="str">
        <f t="shared" si="20"/>
        <v/>
      </c>
      <c r="L691" s="110" t="str">
        <f t="shared" si="21"/>
        <v/>
      </c>
      <c r="R691" s="4"/>
      <c r="S691" s="4"/>
      <c r="T691" s="4"/>
      <c r="U691" s="4"/>
      <c r="V691" s="4"/>
      <c r="W691" s="4"/>
      <c r="X691" s="4"/>
    </row>
    <row r="692" spans="8:24" ht="14.25" customHeight="1" x14ac:dyDescent="0.2">
      <c r="H692" s="19" t="s">
        <v>1979</v>
      </c>
      <c r="J692" s="110" t="str">
        <f t="shared" si="20"/>
        <v/>
      </c>
      <c r="L692" s="110" t="str">
        <f t="shared" si="21"/>
        <v/>
      </c>
      <c r="R692" s="4"/>
      <c r="S692" s="4"/>
      <c r="T692" s="4"/>
      <c r="U692" s="4"/>
      <c r="V692" s="4"/>
      <c r="W692" s="4"/>
      <c r="X692" s="4"/>
    </row>
    <row r="693" spans="8:24" ht="14.25" customHeight="1" x14ac:dyDescent="0.2">
      <c r="H693" s="19" t="s">
        <v>1979</v>
      </c>
      <c r="J693" s="110" t="str">
        <f t="shared" si="20"/>
        <v/>
      </c>
      <c r="L693" s="110" t="str">
        <f t="shared" si="21"/>
        <v/>
      </c>
      <c r="R693" s="4"/>
      <c r="S693" s="4"/>
      <c r="T693" s="4"/>
      <c r="U693" s="4"/>
      <c r="V693" s="4"/>
      <c r="W693" s="4"/>
      <c r="X693" s="4"/>
    </row>
    <row r="694" spans="8:24" ht="14.25" customHeight="1" x14ac:dyDescent="0.2">
      <c r="H694" s="19" t="s">
        <v>1979</v>
      </c>
      <c r="J694" s="110" t="str">
        <f t="shared" si="20"/>
        <v/>
      </c>
      <c r="L694" s="110" t="str">
        <f t="shared" si="21"/>
        <v/>
      </c>
      <c r="R694" s="4"/>
      <c r="S694" s="4"/>
      <c r="T694" s="4"/>
      <c r="U694" s="4"/>
      <c r="V694" s="4"/>
      <c r="W694" s="4"/>
      <c r="X694" s="4"/>
    </row>
    <row r="695" spans="8:24" ht="14.25" customHeight="1" x14ac:dyDescent="0.2">
      <c r="H695" s="19" t="s">
        <v>1979</v>
      </c>
      <c r="J695" s="110" t="str">
        <f t="shared" si="20"/>
        <v/>
      </c>
      <c r="L695" s="110" t="str">
        <f t="shared" si="21"/>
        <v/>
      </c>
      <c r="R695" s="4"/>
      <c r="S695" s="4"/>
      <c r="T695" s="4"/>
      <c r="U695" s="4"/>
      <c r="V695" s="4"/>
      <c r="W695" s="4"/>
      <c r="X695" s="4"/>
    </row>
    <row r="696" spans="8:24" ht="14.25" customHeight="1" x14ac:dyDescent="0.2">
      <c r="H696" s="19" t="s">
        <v>1979</v>
      </c>
      <c r="J696" s="110" t="str">
        <f t="shared" si="20"/>
        <v/>
      </c>
      <c r="L696" s="110" t="str">
        <f t="shared" si="21"/>
        <v/>
      </c>
      <c r="R696" s="4"/>
      <c r="S696" s="4"/>
      <c r="T696" s="4"/>
      <c r="U696" s="4"/>
      <c r="V696" s="4"/>
      <c r="W696" s="4"/>
      <c r="X696" s="4"/>
    </row>
    <row r="697" spans="8:24" ht="14.25" customHeight="1" x14ac:dyDescent="0.2">
      <c r="H697" s="19" t="s">
        <v>1979</v>
      </c>
      <c r="J697" s="110" t="str">
        <f t="shared" si="20"/>
        <v/>
      </c>
      <c r="L697" s="110" t="str">
        <f t="shared" si="21"/>
        <v/>
      </c>
      <c r="R697" s="4"/>
      <c r="S697" s="4"/>
      <c r="T697" s="4"/>
      <c r="U697" s="4"/>
      <c r="V697" s="4"/>
      <c r="W697" s="4"/>
      <c r="X697" s="4"/>
    </row>
    <row r="698" spans="8:24" ht="14.25" customHeight="1" x14ac:dyDescent="0.2">
      <c r="H698" s="19" t="s">
        <v>1979</v>
      </c>
      <c r="J698" s="110" t="str">
        <f t="shared" si="20"/>
        <v/>
      </c>
      <c r="L698" s="110" t="str">
        <f t="shared" si="21"/>
        <v/>
      </c>
      <c r="R698" s="4"/>
      <c r="S698" s="4"/>
      <c r="T698" s="4"/>
      <c r="U698" s="4"/>
      <c r="V698" s="4"/>
      <c r="W698" s="4"/>
      <c r="X698" s="4"/>
    </row>
    <row r="699" spans="8:24" ht="14.25" customHeight="1" x14ac:dyDescent="0.2">
      <c r="H699" s="19" t="s">
        <v>1979</v>
      </c>
      <c r="J699" s="110" t="str">
        <f t="shared" si="20"/>
        <v/>
      </c>
      <c r="L699" s="110" t="str">
        <f t="shared" si="21"/>
        <v/>
      </c>
      <c r="R699" s="4"/>
      <c r="S699" s="4"/>
      <c r="T699" s="4"/>
      <c r="U699" s="4"/>
      <c r="V699" s="4"/>
      <c r="W699" s="4"/>
      <c r="X699" s="4"/>
    </row>
    <row r="700" spans="8:24" ht="14.25" customHeight="1" x14ac:dyDescent="0.2">
      <c r="H700" s="19" t="s">
        <v>1979</v>
      </c>
      <c r="J700" s="110" t="str">
        <f t="shared" si="20"/>
        <v/>
      </c>
      <c r="L700" s="110" t="str">
        <f t="shared" si="21"/>
        <v/>
      </c>
      <c r="R700" s="4"/>
      <c r="S700" s="4"/>
      <c r="T700" s="4"/>
      <c r="U700" s="4"/>
      <c r="V700" s="4"/>
      <c r="W700" s="4"/>
      <c r="X700" s="4"/>
    </row>
    <row r="701" spans="8:24" ht="14.25" customHeight="1" x14ac:dyDescent="0.2">
      <c r="H701" s="19" t="s">
        <v>1979</v>
      </c>
      <c r="J701" s="110" t="str">
        <f t="shared" si="20"/>
        <v/>
      </c>
      <c r="L701" s="110" t="str">
        <f t="shared" si="21"/>
        <v/>
      </c>
      <c r="R701" s="4"/>
      <c r="S701" s="4"/>
      <c r="T701" s="4"/>
      <c r="U701" s="4"/>
      <c r="V701" s="4"/>
      <c r="W701" s="4"/>
      <c r="X701" s="4"/>
    </row>
    <row r="702" spans="8:24" ht="14.25" customHeight="1" x14ac:dyDescent="0.2">
      <c r="H702" s="19" t="s">
        <v>1979</v>
      </c>
      <c r="J702" s="110" t="str">
        <f t="shared" si="20"/>
        <v/>
      </c>
      <c r="L702" s="110" t="str">
        <f t="shared" si="21"/>
        <v/>
      </c>
      <c r="R702" s="4"/>
      <c r="S702" s="4"/>
      <c r="T702" s="4"/>
      <c r="U702" s="4"/>
      <c r="V702" s="4"/>
      <c r="W702" s="4"/>
      <c r="X702" s="4"/>
    </row>
    <row r="703" spans="8:24" ht="14.25" customHeight="1" x14ac:dyDescent="0.2">
      <c r="H703" s="19" t="s">
        <v>1979</v>
      </c>
      <c r="J703" s="110" t="str">
        <f t="shared" si="20"/>
        <v/>
      </c>
      <c r="L703" s="110" t="str">
        <f t="shared" si="21"/>
        <v/>
      </c>
      <c r="R703" s="4"/>
      <c r="S703" s="4"/>
      <c r="T703" s="4"/>
      <c r="U703" s="4"/>
      <c r="V703" s="4"/>
      <c r="W703" s="4"/>
      <c r="X703" s="4"/>
    </row>
    <row r="704" spans="8:24" ht="14.25" customHeight="1" x14ac:dyDescent="0.2">
      <c r="H704" s="19" t="s">
        <v>1979</v>
      </c>
      <c r="J704" s="110" t="str">
        <f t="shared" si="20"/>
        <v/>
      </c>
      <c r="L704" s="110" t="str">
        <f t="shared" si="21"/>
        <v/>
      </c>
      <c r="R704" s="4"/>
      <c r="S704" s="4"/>
      <c r="T704" s="4"/>
      <c r="U704" s="4"/>
      <c r="V704" s="4"/>
      <c r="W704" s="4"/>
      <c r="X704" s="4"/>
    </row>
    <row r="705" spans="8:24" ht="14.25" customHeight="1" x14ac:dyDescent="0.2">
      <c r="H705" s="19" t="s">
        <v>1979</v>
      </c>
      <c r="J705" s="110" t="str">
        <f t="shared" si="20"/>
        <v/>
      </c>
      <c r="L705" s="110" t="str">
        <f t="shared" si="21"/>
        <v/>
      </c>
      <c r="R705" s="4"/>
      <c r="S705" s="4"/>
      <c r="T705" s="4"/>
      <c r="U705" s="4"/>
      <c r="V705" s="4"/>
      <c r="W705" s="4"/>
      <c r="X705" s="4"/>
    </row>
    <row r="706" spans="8:24" ht="14.25" customHeight="1" x14ac:dyDescent="0.2">
      <c r="H706" s="19" t="s">
        <v>1979</v>
      </c>
      <c r="J706" s="110" t="str">
        <f t="shared" si="20"/>
        <v/>
      </c>
      <c r="L706" s="110" t="str">
        <f t="shared" si="21"/>
        <v/>
      </c>
      <c r="R706" s="4"/>
      <c r="S706" s="4"/>
      <c r="T706" s="4"/>
      <c r="U706" s="4"/>
      <c r="V706" s="4"/>
      <c r="W706" s="4"/>
      <c r="X706" s="4"/>
    </row>
    <row r="707" spans="8:24" ht="14.25" customHeight="1" x14ac:dyDescent="0.2">
      <c r="H707" s="19" t="s">
        <v>1979</v>
      </c>
      <c r="J707" s="110" t="str">
        <f t="shared" ref="J707:J770" si="22">IF(K707="","", K707/PI())</f>
        <v/>
      </c>
      <c r="L707" s="110" t="str">
        <f t="shared" ref="L707:L770" si="23">IF(OR(P707="", N707="", O707=""), "", TAN(P707*PI()/180)*N707 +O707)</f>
        <v/>
      </c>
      <c r="R707" s="4"/>
      <c r="S707" s="4"/>
      <c r="T707" s="4"/>
      <c r="U707" s="4"/>
      <c r="V707" s="4"/>
      <c r="W707" s="4"/>
      <c r="X707" s="4"/>
    </row>
    <row r="708" spans="8:24" ht="14.25" customHeight="1" x14ac:dyDescent="0.2">
      <c r="H708" s="19" t="s">
        <v>1979</v>
      </c>
      <c r="J708" s="110" t="str">
        <f t="shared" si="22"/>
        <v/>
      </c>
      <c r="L708" s="110" t="str">
        <f t="shared" si="23"/>
        <v/>
      </c>
      <c r="R708" s="4"/>
      <c r="S708" s="4"/>
      <c r="T708" s="4"/>
      <c r="U708" s="4"/>
      <c r="V708" s="4"/>
      <c r="W708" s="4"/>
      <c r="X708" s="4"/>
    </row>
    <row r="709" spans="8:24" ht="14.25" customHeight="1" x14ac:dyDescent="0.2">
      <c r="H709" s="19" t="s">
        <v>1979</v>
      </c>
      <c r="J709" s="110" t="str">
        <f t="shared" si="22"/>
        <v/>
      </c>
      <c r="L709" s="110" t="str">
        <f t="shared" si="23"/>
        <v/>
      </c>
      <c r="R709" s="4"/>
      <c r="S709" s="4"/>
      <c r="T709" s="4"/>
      <c r="U709" s="4"/>
      <c r="V709" s="4"/>
      <c r="W709" s="4"/>
      <c r="X709" s="4"/>
    </row>
    <row r="710" spans="8:24" ht="14.25" customHeight="1" x14ac:dyDescent="0.2">
      <c r="H710" s="19" t="s">
        <v>1979</v>
      </c>
      <c r="J710" s="110" t="str">
        <f t="shared" si="22"/>
        <v/>
      </c>
      <c r="L710" s="110" t="str">
        <f t="shared" si="23"/>
        <v/>
      </c>
      <c r="R710" s="4"/>
      <c r="S710" s="4"/>
      <c r="T710" s="4"/>
      <c r="U710" s="4"/>
      <c r="V710" s="4"/>
      <c r="W710" s="4"/>
      <c r="X710" s="4"/>
    </row>
    <row r="711" spans="8:24" ht="14.25" customHeight="1" x14ac:dyDescent="0.2">
      <c r="H711" s="19" t="s">
        <v>1979</v>
      </c>
      <c r="J711" s="110" t="str">
        <f t="shared" si="22"/>
        <v/>
      </c>
      <c r="L711" s="110" t="str">
        <f t="shared" si="23"/>
        <v/>
      </c>
      <c r="R711" s="4"/>
      <c r="S711" s="4"/>
      <c r="T711" s="4"/>
      <c r="U711" s="4"/>
      <c r="V711" s="4"/>
      <c r="W711" s="4"/>
      <c r="X711" s="4"/>
    </row>
    <row r="712" spans="8:24" ht="14.25" customHeight="1" x14ac:dyDescent="0.2">
      <c r="H712" s="19" t="s">
        <v>1979</v>
      </c>
      <c r="J712" s="110" t="str">
        <f t="shared" si="22"/>
        <v/>
      </c>
      <c r="L712" s="110" t="str">
        <f t="shared" si="23"/>
        <v/>
      </c>
    </row>
    <row r="713" spans="8:24" ht="14.25" customHeight="1" x14ac:dyDescent="0.2">
      <c r="H713" s="19" t="s">
        <v>1979</v>
      </c>
      <c r="J713" s="110" t="str">
        <f t="shared" si="22"/>
        <v/>
      </c>
      <c r="L713" s="110" t="str">
        <f t="shared" si="23"/>
        <v/>
      </c>
    </row>
    <row r="714" spans="8:24" ht="14.25" customHeight="1" x14ac:dyDescent="0.2">
      <c r="H714" s="19" t="s">
        <v>1979</v>
      </c>
      <c r="J714" s="110" t="str">
        <f t="shared" si="22"/>
        <v/>
      </c>
      <c r="L714" s="110" t="str">
        <f t="shared" si="23"/>
        <v/>
      </c>
    </row>
    <row r="715" spans="8:24" ht="14.25" customHeight="1" x14ac:dyDescent="0.2">
      <c r="H715" s="19" t="s">
        <v>1979</v>
      </c>
      <c r="J715" s="110" t="str">
        <f t="shared" si="22"/>
        <v/>
      </c>
      <c r="L715" s="110" t="str">
        <f t="shared" si="23"/>
        <v/>
      </c>
    </row>
    <row r="716" spans="8:24" ht="14.25" customHeight="1" x14ac:dyDescent="0.2">
      <c r="H716" s="19" t="s">
        <v>1979</v>
      </c>
      <c r="J716" s="110" t="str">
        <f t="shared" si="22"/>
        <v/>
      </c>
      <c r="L716" s="110" t="str">
        <f t="shared" si="23"/>
        <v/>
      </c>
    </row>
    <row r="717" spans="8:24" ht="14.25" customHeight="1" x14ac:dyDescent="0.2">
      <c r="H717" s="19" t="s">
        <v>1979</v>
      </c>
      <c r="J717" s="110" t="str">
        <f t="shared" si="22"/>
        <v/>
      </c>
      <c r="L717" s="110" t="str">
        <f t="shared" si="23"/>
        <v/>
      </c>
    </row>
    <row r="718" spans="8:24" ht="14.25" customHeight="1" x14ac:dyDescent="0.2">
      <c r="H718" s="19" t="s">
        <v>1979</v>
      </c>
      <c r="J718" s="110" t="str">
        <f t="shared" si="22"/>
        <v/>
      </c>
      <c r="L718" s="110" t="str">
        <f t="shared" si="23"/>
        <v/>
      </c>
    </row>
    <row r="719" spans="8:24" ht="14.25" customHeight="1" x14ac:dyDescent="0.2">
      <c r="H719" s="19" t="s">
        <v>1979</v>
      </c>
      <c r="J719" s="110" t="str">
        <f t="shared" si="22"/>
        <v/>
      </c>
      <c r="L719" s="110" t="str">
        <f t="shared" si="23"/>
        <v/>
      </c>
    </row>
    <row r="720" spans="8:24" ht="14.25" customHeight="1" x14ac:dyDescent="0.2">
      <c r="H720" s="19" t="s">
        <v>1979</v>
      </c>
      <c r="J720" s="110" t="str">
        <f t="shared" si="22"/>
        <v/>
      </c>
      <c r="L720" s="110" t="str">
        <f t="shared" si="23"/>
        <v/>
      </c>
    </row>
    <row r="721" spans="8:12" ht="14.25" customHeight="1" x14ac:dyDescent="0.2">
      <c r="H721" s="19" t="s">
        <v>1979</v>
      </c>
      <c r="J721" s="110" t="str">
        <f t="shared" si="22"/>
        <v/>
      </c>
      <c r="L721" s="110" t="str">
        <f t="shared" si="23"/>
        <v/>
      </c>
    </row>
    <row r="722" spans="8:12" ht="14.25" customHeight="1" x14ac:dyDescent="0.2">
      <c r="H722" s="19" t="s">
        <v>1979</v>
      </c>
      <c r="J722" s="110" t="str">
        <f t="shared" si="22"/>
        <v/>
      </c>
      <c r="L722" s="110" t="str">
        <f t="shared" si="23"/>
        <v/>
      </c>
    </row>
    <row r="723" spans="8:12" ht="14.25" customHeight="1" x14ac:dyDescent="0.2">
      <c r="H723" s="19" t="s">
        <v>1979</v>
      </c>
      <c r="J723" s="110" t="str">
        <f t="shared" si="22"/>
        <v/>
      </c>
      <c r="L723" s="110" t="str">
        <f t="shared" si="23"/>
        <v/>
      </c>
    </row>
    <row r="724" spans="8:12" ht="14.25" customHeight="1" x14ac:dyDescent="0.2">
      <c r="H724" s="19" t="s">
        <v>1979</v>
      </c>
      <c r="J724" s="110" t="str">
        <f t="shared" si="22"/>
        <v/>
      </c>
      <c r="L724" s="110" t="str">
        <f t="shared" si="23"/>
        <v/>
      </c>
    </row>
    <row r="725" spans="8:12" ht="14.25" customHeight="1" x14ac:dyDescent="0.2">
      <c r="H725" s="19" t="s">
        <v>1979</v>
      </c>
      <c r="J725" s="110" t="str">
        <f t="shared" si="22"/>
        <v/>
      </c>
      <c r="L725" s="110" t="str">
        <f t="shared" si="23"/>
        <v/>
      </c>
    </row>
    <row r="726" spans="8:12" ht="14.25" customHeight="1" x14ac:dyDescent="0.2">
      <c r="H726" s="19" t="s">
        <v>1979</v>
      </c>
      <c r="J726" s="110" t="str">
        <f t="shared" si="22"/>
        <v/>
      </c>
      <c r="L726" s="110" t="str">
        <f t="shared" si="23"/>
        <v/>
      </c>
    </row>
    <row r="727" spans="8:12" ht="14.25" customHeight="1" x14ac:dyDescent="0.2">
      <c r="H727" s="19" t="s">
        <v>1979</v>
      </c>
      <c r="J727" s="110" t="str">
        <f t="shared" si="22"/>
        <v/>
      </c>
      <c r="L727" s="110" t="str">
        <f t="shared" si="23"/>
        <v/>
      </c>
    </row>
    <row r="728" spans="8:12" ht="14.25" customHeight="1" x14ac:dyDescent="0.2">
      <c r="H728" s="19" t="s">
        <v>1979</v>
      </c>
      <c r="J728" s="110" t="str">
        <f t="shared" si="22"/>
        <v/>
      </c>
      <c r="L728" s="110" t="str">
        <f t="shared" si="23"/>
        <v/>
      </c>
    </row>
    <row r="729" spans="8:12" ht="14.25" customHeight="1" x14ac:dyDescent="0.2">
      <c r="H729" s="19" t="s">
        <v>1979</v>
      </c>
      <c r="J729" s="110" t="str">
        <f t="shared" si="22"/>
        <v/>
      </c>
      <c r="L729" s="110" t="str">
        <f t="shared" si="23"/>
        <v/>
      </c>
    </row>
    <row r="730" spans="8:12" ht="14.25" customHeight="1" x14ac:dyDescent="0.2">
      <c r="H730" s="19" t="s">
        <v>1979</v>
      </c>
      <c r="J730" s="110" t="str">
        <f t="shared" si="22"/>
        <v/>
      </c>
      <c r="L730" s="110" t="str">
        <f t="shared" si="23"/>
        <v/>
      </c>
    </row>
    <row r="731" spans="8:12" ht="14.25" customHeight="1" x14ac:dyDescent="0.2">
      <c r="H731" s="19" t="s">
        <v>1979</v>
      </c>
      <c r="J731" s="110" t="str">
        <f t="shared" si="22"/>
        <v/>
      </c>
      <c r="L731" s="110" t="str">
        <f t="shared" si="23"/>
        <v/>
      </c>
    </row>
    <row r="732" spans="8:12" ht="14.25" customHeight="1" x14ac:dyDescent="0.2">
      <c r="H732" s="19" t="s">
        <v>1979</v>
      </c>
      <c r="J732" s="110" t="str">
        <f t="shared" si="22"/>
        <v/>
      </c>
      <c r="L732" s="110" t="str">
        <f t="shared" si="23"/>
        <v/>
      </c>
    </row>
    <row r="733" spans="8:12" ht="14.25" customHeight="1" x14ac:dyDescent="0.2">
      <c r="H733" s="19" t="s">
        <v>1979</v>
      </c>
      <c r="J733" s="110" t="str">
        <f t="shared" si="22"/>
        <v/>
      </c>
      <c r="L733" s="110" t="str">
        <f t="shared" si="23"/>
        <v/>
      </c>
    </row>
    <row r="734" spans="8:12" ht="14.25" customHeight="1" x14ac:dyDescent="0.2">
      <c r="H734" s="19" t="s">
        <v>1979</v>
      </c>
      <c r="J734" s="110" t="str">
        <f t="shared" si="22"/>
        <v/>
      </c>
      <c r="L734" s="110" t="str">
        <f t="shared" si="23"/>
        <v/>
      </c>
    </row>
    <row r="735" spans="8:12" ht="14.25" customHeight="1" x14ac:dyDescent="0.2">
      <c r="H735" s="19" t="s">
        <v>1979</v>
      </c>
      <c r="J735" s="110" t="str">
        <f t="shared" si="22"/>
        <v/>
      </c>
      <c r="L735" s="110" t="str">
        <f t="shared" si="23"/>
        <v/>
      </c>
    </row>
    <row r="736" spans="8:12" ht="14.25" customHeight="1" x14ac:dyDescent="0.2">
      <c r="H736" s="19" t="s">
        <v>1979</v>
      </c>
      <c r="J736" s="110" t="str">
        <f t="shared" si="22"/>
        <v/>
      </c>
      <c r="L736" s="110" t="str">
        <f t="shared" si="23"/>
        <v/>
      </c>
    </row>
    <row r="737" spans="8:12" ht="14.25" customHeight="1" x14ac:dyDescent="0.2">
      <c r="H737" s="19" t="s">
        <v>1979</v>
      </c>
      <c r="J737" s="110" t="str">
        <f t="shared" si="22"/>
        <v/>
      </c>
      <c r="L737" s="110" t="str">
        <f t="shared" si="23"/>
        <v/>
      </c>
    </row>
    <row r="738" spans="8:12" ht="14.25" customHeight="1" x14ac:dyDescent="0.2">
      <c r="H738" s="19" t="s">
        <v>1979</v>
      </c>
      <c r="J738" s="110" t="str">
        <f t="shared" si="22"/>
        <v/>
      </c>
      <c r="L738" s="110" t="str">
        <f t="shared" si="23"/>
        <v/>
      </c>
    </row>
    <row r="739" spans="8:12" ht="14.25" customHeight="1" x14ac:dyDescent="0.2">
      <c r="H739" s="19" t="s">
        <v>1979</v>
      </c>
      <c r="J739" s="110" t="str">
        <f t="shared" si="22"/>
        <v/>
      </c>
      <c r="L739" s="110" t="str">
        <f t="shared" si="23"/>
        <v/>
      </c>
    </row>
    <row r="740" spans="8:12" ht="14.25" customHeight="1" x14ac:dyDescent="0.2">
      <c r="H740" s="19" t="s">
        <v>1979</v>
      </c>
      <c r="J740" s="110" t="str">
        <f t="shared" si="22"/>
        <v/>
      </c>
      <c r="L740" s="110" t="str">
        <f t="shared" si="23"/>
        <v/>
      </c>
    </row>
    <row r="741" spans="8:12" ht="14.25" customHeight="1" x14ac:dyDescent="0.2">
      <c r="H741" s="19" t="s">
        <v>1979</v>
      </c>
      <c r="J741" s="110" t="str">
        <f t="shared" si="22"/>
        <v/>
      </c>
      <c r="L741" s="110" t="str">
        <f t="shared" si="23"/>
        <v/>
      </c>
    </row>
    <row r="742" spans="8:12" ht="14.25" customHeight="1" x14ac:dyDescent="0.2">
      <c r="H742" s="19" t="s">
        <v>1979</v>
      </c>
      <c r="J742" s="110" t="str">
        <f t="shared" si="22"/>
        <v/>
      </c>
      <c r="L742" s="110" t="str">
        <f t="shared" si="23"/>
        <v/>
      </c>
    </row>
    <row r="743" spans="8:12" ht="14.25" customHeight="1" x14ac:dyDescent="0.2">
      <c r="H743" s="19" t="s">
        <v>1979</v>
      </c>
      <c r="J743" s="110" t="str">
        <f t="shared" si="22"/>
        <v/>
      </c>
      <c r="L743" s="110" t="str">
        <f t="shared" si="23"/>
        <v/>
      </c>
    </row>
    <row r="744" spans="8:12" ht="14.25" customHeight="1" x14ac:dyDescent="0.2">
      <c r="H744" s="19" t="s">
        <v>1979</v>
      </c>
      <c r="J744" s="110" t="str">
        <f t="shared" si="22"/>
        <v/>
      </c>
      <c r="L744" s="110" t="str">
        <f t="shared" si="23"/>
        <v/>
      </c>
    </row>
    <row r="745" spans="8:12" ht="14.25" customHeight="1" x14ac:dyDescent="0.2">
      <c r="H745" s="19" t="s">
        <v>1979</v>
      </c>
      <c r="J745" s="110" t="str">
        <f t="shared" si="22"/>
        <v/>
      </c>
      <c r="L745" s="110" t="str">
        <f t="shared" si="23"/>
        <v/>
      </c>
    </row>
    <row r="746" spans="8:12" ht="14.25" customHeight="1" x14ac:dyDescent="0.2">
      <c r="H746" s="19" t="s">
        <v>1979</v>
      </c>
      <c r="J746" s="110" t="str">
        <f t="shared" si="22"/>
        <v/>
      </c>
      <c r="L746" s="110" t="str">
        <f t="shared" si="23"/>
        <v/>
      </c>
    </row>
    <row r="747" spans="8:12" ht="14.25" customHeight="1" x14ac:dyDescent="0.2">
      <c r="H747" s="19" t="s">
        <v>1979</v>
      </c>
      <c r="J747" s="110" t="str">
        <f t="shared" si="22"/>
        <v/>
      </c>
      <c r="L747" s="110" t="str">
        <f t="shared" si="23"/>
        <v/>
      </c>
    </row>
    <row r="748" spans="8:12" ht="14.25" customHeight="1" x14ac:dyDescent="0.2">
      <c r="H748" s="19" t="s">
        <v>1979</v>
      </c>
      <c r="J748" s="110" t="str">
        <f t="shared" si="22"/>
        <v/>
      </c>
      <c r="L748" s="110" t="str">
        <f t="shared" si="23"/>
        <v/>
      </c>
    </row>
    <row r="749" spans="8:12" ht="14.25" customHeight="1" x14ac:dyDescent="0.2">
      <c r="H749" s="19" t="s">
        <v>1979</v>
      </c>
      <c r="J749" s="110" t="str">
        <f t="shared" si="22"/>
        <v/>
      </c>
      <c r="L749" s="110" t="str">
        <f t="shared" si="23"/>
        <v/>
      </c>
    </row>
    <row r="750" spans="8:12" ht="14.25" customHeight="1" x14ac:dyDescent="0.2">
      <c r="H750" s="19" t="s">
        <v>1979</v>
      </c>
      <c r="J750" s="110" t="str">
        <f t="shared" si="22"/>
        <v/>
      </c>
      <c r="L750" s="110" t="str">
        <f t="shared" si="23"/>
        <v/>
      </c>
    </row>
    <row r="751" spans="8:12" ht="14.25" customHeight="1" x14ac:dyDescent="0.2">
      <c r="H751" s="19" t="s">
        <v>1979</v>
      </c>
      <c r="J751" s="110" t="str">
        <f t="shared" si="22"/>
        <v/>
      </c>
      <c r="L751" s="110" t="str">
        <f t="shared" si="23"/>
        <v/>
      </c>
    </row>
    <row r="752" spans="8:12" ht="14.25" customHeight="1" x14ac:dyDescent="0.2">
      <c r="H752" s="19" t="s">
        <v>1979</v>
      </c>
      <c r="J752" s="110" t="str">
        <f t="shared" si="22"/>
        <v/>
      </c>
      <c r="L752" s="110" t="str">
        <f t="shared" si="23"/>
        <v/>
      </c>
    </row>
    <row r="753" spans="8:12" ht="14.25" customHeight="1" x14ac:dyDescent="0.2">
      <c r="H753" s="19" t="s">
        <v>1979</v>
      </c>
      <c r="J753" s="110" t="str">
        <f t="shared" si="22"/>
        <v/>
      </c>
      <c r="L753" s="110" t="str">
        <f t="shared" si="23"/>
        <v/>
      </c>
    </row>
    <row r="754" spans="8:12" ht="14.25" customHeight="1" x14ac:dyDescent="0.2">
      <c r="H754" s="19" t="s">
        <v>1979</v>
      </c>
      <c r="J754" s="110" t="str">
        <f t="shared" si="22"/>
        <v/>
      </c>
      <c r="L754" s="110" t="str">
        <f t="shared" si="23"/>
        <v/>
      </c>
    </row>
    <row r="755" spans="8:12" ht="14.25" customHeight="1" x14ac:dyDescent="0.2">
      <c r="H755" s="19" t="s">
        <v>1979</v>
      </c>
      <c r="J755" s="110" t="str">
        <f t="shared" si="22"/>
        <v/>
      </c>
      <c r="L755" s="110" t="str">
        <f t="shared" si="23"/>
        <v/>
      </c>
    </row>
    <row r="756" spans="8:12" ht="14.25" customHeight="1" x14ac:dyDescent="0.2">
      <c r="H756" s="19" t="s">
        <v>1979</v>
      </c>
      <c r="J756" s="110" t="str">
        <f t="shared" si="22"/>
        <v/>
      </c>
      <c r="L756" s="110" t="str">
        <f t="shared" si="23"/>
        <v/>
      </c>
    </row>
    <row r="757" spans="8:12" ht="14.25" customHeight="1" x14ac:dyDescent="0.2">
      <c r="H757" s="19" t="s">
        <v>1979</v>
      </c>
      <c r="J757" s="110" t="str">
        <f t="shared" si="22"/>
        <v/>
      </c>
      <c r="L757" s="110" t="str">
        <f t="shared" si="23"/>
        <v/>
      </c>
    </row>
    <row r="758" spans="8:12" ht="14.25" customHeight="1" x14ac:dyDescent="0.2">
      <c r="H758" s="19" t="s">
        <v>1979</v>
      </c>
      <c r="J758" s="110" t="str">
        <f t="shared" si="22"/>
        <v/>
      </c>
      <c r="L758" s="110" t="str">
        <f t="shared" si="23"/>
        <v/>
      </c>
    </row>
    <row r="759" spans="8:12" ht="14.25" customHeight="1" x14ac:dyDescent="0.2">
      <c r="H759" s="19" t="s">
        <v>1979</v>
      </c>
      <c r="J759" s="110" t="str">
        <f t="shared" si="22"/>
        <v/>
      </c>
      <c r="L759" s="110" t="str">
        <f t="shared" si="23"/>
        <v/>
      </c>
    </row>
    <row r="760" spans="8:12" ht="14.25" customHeight="1" x14ac:dyDescent="0.2">
      <c r="H760" s="19" t="s">
        <v>1979</v>
      </c>
      <c r="J760" s="110" t="str">
        <f t="shared" si="22"/>
        <v/>
      </c>
      <c r="L760" s="110" t="str">
        <f t="shared" si="23"/>
        <v/>
      </c>
    </row>
    <row r="761" spans="8:12" ht="14.25" customHeight="1" x14ac:dyDescent="0.2">
      <c r="H761" s="19" t="s">
        <v>1979</v>
      </c>
      <c r="J761" s="110" t="str">
        <f t="shared" si="22"/>
        <v/>
      </c>
      <c r="L761" s="110" t="str">
        <f t="shared" si="23"/>
        <v/>
      </c>
    </row>
    <row r="762" spans="8:12" ht="14.25" customHeight="1" x14ac:dyDescent="0.2">
      <c r="H762" s="19" t="s">
        <v>1979</v>
      </c>
      <c r="J762" s="110" t="str">
        <f t="shared" si="22"/>
        <v/>
      </c>
      <c r="L762" s="110" t="str">
        <f t="shared" si="23"/>
        <v/>
      </c>
    </row>
    <row r="763" spans="8:12" ht="14.25" customHeight="1" x14ac:dyDescent="0.2">
      <c r="H763" s="19" t="s">
        <v>1979</v>
      </c>
      <c r="J763" s="110" t="str">
        <f t="shared" si="22"/>
        <v/>
      </c>
      <c r="L763" s="110" t="str">
        <f t="shared" si="23"/>
        <v/>
      </c>
    </row>
    <row r="764" spans="8:12" ht="14.25" customHeight="1" x14ac:dyDescent="0.2">
      <c r="H764" s="19" t="s">
        <v>1979</v>
      </c>
      <c r="J764" s="110" t="str">
        <f t="shared" si="22"/>
        <v/>
      </c>
      <c r="L764" s="110" t="str">
        <f t="shared" si="23"/>
        <v/>
      </c>
    </row>
    <row r="765" spans="8:12" ht="14.25" customHeight="1" x14ac:dyDescent="0.2">
      <c r="H765" s="19" t="s">
        <v>1979</v>
      </c>
      <c r="J765" s="110" t="str">
        <f t="shared" si="22"/>
        <v/>
      </c>
      <c r="L765" s="110" t="str">
        <f t="shared" si="23"/>
        <v/>
      </c>
    </row>
    <row r="766" spans="8:12" ht="14.25" customHeight="1" x14ac:dyDescent="0.2">
      <c r="H766" s="19" t="s">
        <v>1979</v>
      </c>
      <c r="J766" s="110" t="str">
        <f t="shared" si="22"/>
        <v/>
      </c>
      <c r="L766" s="110" t="str">
        <f t="shared" si="23"/>
        <v/>
      </c>
    </row>
    <row r="767" spans="8:12" ht="14.25" customHeight="1" x14ac:dyDescent="0.2">
      <c r="H767" s="19" t="s">
        <v>1979</v>
      </c>
      <c r="J767" s="110" t="str">
        <f t="shared" si="22"/>
        <v/>
      </c>
      <c r="L767" s="110" t="str">
        <f t="shared" si="23"/>
        <v/>
      </c>
    </row>
    <row r="768" spans="8:12" ht="14.25" customHeight="1" x14ac:dyDescent="0.2">
      <c r="H768" s="19" t="s">
        <v>1979</v>
      </c>
      <c r="J768" s="110" t="str">
        <f t="shared" si="22"/>
        <v/>
      </c>
      <c r="L768" s="110" t="str">
        <f t="shared" si="23"/>
        <v/>
      </c>
    </row>
    <row r="769" spans="8:12" ht="14.25" customHeight="1" x14ac:dyDescent="0.2">
      <c r="H769" s="19" t="s">
        <v>1979</v>
      </c>
      <c r="J769" s="110" t="str">
        <f t="shared" si="22"/>
        <v/>
      </c>
      <c r="L769" s="110" t="str">
        <f t="shared" si="23"/>
        <v/>
      </c>
    </row>
    <row r="770" spans="8:12" ht="14.25" customHeight="1" x14ac:dyDescent="0.2">
      <c r="H770" s="19" t="s">
        <v>1979</v>
      </c>
      <c r="J770" s="110" t="str">
        <f t="shared" si="22"/>
        <v/>
      </c>
      <c r="L770" s="110" t="str">
        <f t="shared" si="23"/>
        <v/>
      </c>
    </row>
    <row r="771" spans="8:12" ht="14.25" customHeight="1" x14ac:dyDescent="0.2">
      <c r="H771" s="19" t="s">
        <v>1979</v>
      </c>
      <c r="J771" s="110" t="str">
        <f t="shared" ref="J771:J834" si="24">IF(K771="","", K771/PI())</f>
        <v/>
      </c>
      <c r="L771" s="110" t="str">
        <f t="shared" ref="L771:L834" si="25">IF(OR(P771="", N771="", O771=""), "", TAN(P771*PI()/180)*N771 +O771)</f>
        <v/>
      </c>
    </row>
    <row r="772" spans="8:12" ht="14.25" customHeight="1" x14ac:dyDescent="0.2">
      <c r="H772" s="19" t="s">
        <v>1979</v>
      </c>
      <c r="J772" s="110" t="str">
        <f t="shared" si="24"/>
        <v/>
      </c>
      <c r="L772" s="110" t="str">
        <f t="shared" si="25"/>
        <v/>
      </c>
    </row>
    <row r="773" spans="8:12" ht="14.25" customHeight="1" x14ac:dyDescent="0.2">
      <c r="H773" s="19" t="s">
        <v>1979</v>
      </c>
      <c r="J773" s="110" t="str">
        <f t="shared" si="24"/>
        <v/>
      </c>
      <c r="L773" s="110" t="str">
        <f t="shared" si="25"/>
        <v/>
      </c>
    </row>
    <row r="774" spans="8:12" ht="14.25" customHeight="1" x14ac:dyDescent="0.2">
      <c r="H774" s="19" t="s">
        <v>1979</v>
      </c>
      <c r="J774" s="110" t="str">
        <f t="shared" si="24"/>
        <v/>
      </c>
      <c r="L774" s="110" t="str">
        <f t="shared" si="25"/>
        <v/>
      </c>
    </row>
    <row r="775" spans="8:12" ht="14.25" customHeight="1" x14ac:dyDescent="0.2">
      <c r="H775" s="19" t="s">
        <v>1979</v>
      </c>
      <c r="J775" s="110" t="str">
        <f t="shared" si="24"/>
        <v/>
      </c>
      <c r="L775" s="110" t="str">
        <f t="shared" si="25"/>
        <v/>
      </c>
    </row>
    <row r="776" spans="8:12" ht="14.25" customHeight="1" x14ac:dyDescent="0.2">
      <c r="H776" s="19" t="s">
        <v>1979</v>
      </c>
      <c r="J776" s="110" t="str">
        <f t="shared" si="24"/>
        <v/>
      </c>
      <c r="L776" s="110" t="str">
        <f t="shared" si="25"/>
        <v/>
      </c>
    </row>
    <row r="777" spans="8:12" ht="14.25" customHeight="1" x14ac:dyDescent="0.2">
      <c r="H777" s="19" t="s">
        <v>1979</v>
      </c>
      <c r="J777" s="110" t="str">
        <f t="shared" si="24"/>
        <v/>
      </c>
      <c r="L777" s="110" t="str">
        <f t="shared" si="25"/>
        <v/>
      </c>
    </row>
    <row r="778" spans="8:12" ht="14.25" customHeight="1" x14ac:dyDescent="0.2">
      <c r="H778" s="19" t="s">
        <v>1979</v>
      </c>
      <c r="J778" s="110" t="str">
        <f t="shared" si="24"/>
        <v/>
      </c>
      <c r="L778" s="110" t="str">
        <f t="shared" si="25"/>
        <v/>
      </c>
    </row>
    <row r="779" spans="8:12" ht="14.25" customHeight="1" x14ac:dyDescent="0.2">
      <c r="H779" s="19" t="s">
        <v>1979</v>
      </c>
      <c r="J779" s="110" t="str">
        <f t="shared" si="24"/>
        <v/>
      </c>
      <c r="L779" s="110" t="str">
        <f t="shared" si="25"/>
        <v/>
      </c>
    </row>
    <row r="780" spans="8:12" ht="14.25" customHeight="1" x14ac:dyDescent="0.2">
      <c r="H780" s="19" t="s">
        <v>1979</v>
      </c>
      <c r="J780" s="110" t="str">
        <f t="shared" si="24"/>
        <v/>
      </c>
      <c r="L780" s="110" t="str">
        <f t="shared" si="25"/>
        <v/>
      </c>
    </row>
    <row r="781" spans="8:12" ht="14.25" customHeight="1" x14ac:dyDescent="0.2">
      <c r="H781" s="19" t="s">
        <v>1979</v>
      </c>
      <c r="J781" s="110" t="str">
        <f t="shared" si="24"/>
        <v/>
      </c>
      <c r="L781" s="110" t="str">
        <f t="shared" si="25"/>
        <v/>
      </c>
    </row>
    <row r="782" spans="8:12" ht="14.25" customHeight="1" x14ac:dyDescent="0.2">
      <c r="H782" s="19" t="s">
        <v>1979</v>
      </c>
      <c r="J782" s="110" t="str">
        <f t="shared" si="24"/>
        <v/>
      </c>
      <c r="L782" s="110" t="str">
        <f t="shared" si="25"/>
        <v/>
      </c>
    </row>
    <row r="783" spans="8:12" ht="14.25" customHeight="1" x14ac:dyDescent="0.2">
      <c r="H783" s="19" t="s">
        <v>1979</v>
      </c>
      <c r="J783" s="110" t="str">
        <f t="shared" si="24"/>
        <v/>
      </c>
      <c r="L783" s="110" t="str">
        <f t="shared" si="25"/>
        <v/>
      </c>
    </row>
    <row r="784" spans="8:12" ht="14.25" customHeight="1" x14ac:dyDescent="0.2">
      <c r="H784" s="19" t="s">
        <v>1979</v>
      </c>
      <c r="J784" s="110" t="str">
        <f t="shared" si="24"/>
        <v/>
      </c>
      <c r="L784" s="110" t="str">
        <f t="shared" si="25"/>
        <v/>
      </c>
    </row>
    <row r="785" spans="8:12" ht="14.25" customHeight="1" x14ac:dyDescent="0.2">
      <c r="H785" s="19" t="s">
        <v>1979</v>
      </c>
      <c r="J785" s="110" t="str">
        <f t="shared" si="24"/>
        <v/>
      </c>
      <c r="L785" s="110" t="str">
        <f t="shared" si="25"/>
        <v/>
      </c>
    </row>
    <row r="786" spans="8:12" ht="14.25" customHeight="1" x14ac:dyDescent="0.2">
      <c r="H786" s="19" t="s">
        <v>1979</v>
      </c>
      <c r="J786" s="110" t="str">
        <f t="shared" si="24"/>
        <v/>
      </c>
      <c r="L786" s="110" t="str">
        <f t="shared" si="25"/>
        <v/>
      </c>
    </row>
    <row r="787" spans="8:12" ht="14.25" customHeight="1" x14ac:dyDescent="0.2">
      <c r="H787" s="19" t="s">
        <v>1979</v>
      </c>
      <c r="J787" s="110" t="str">
        <f t="shared" si="24"/>
        <v/>
      </c>
      <c r="L787" s="110" t="str">
        <f t="shared" si="25"/>
        <v/>
      </c>
    </row>
    <row r="788" spans="8:12" ht="14.25" customHeight="1" x14ac:dyDescent="0.2">
      <c r="H788" s="19" t="s">
        <v>1979</v>
      </c>
      <c r="J788" s="110" t="str">
        <f t="shared" si="24"/>
        <v/>
      </c>
      <c r="L788" s="110" t="str">
        <f t="shared" si="25"/>
        <v/>
      </c>
    </row>
    <row r="789" spans="8:12" ht="14.25" customHeight="1" x14ac:dyDescent="0.2">
      <c r="H789" s="19" t="s">
        <v>1979</v>
      </c>
      <c r="J789" s="110" t="str">
        <f t="shared" si="24"/>
        <v/>
      </c>
      <c r="L789" s="110" t="str">
        <f t="shared" si="25"/>
        <v/>
      </c>
    </row>
    <row r="790" spans="8:12" ht="14.25" customHeight="1" x14ac:dyDescent="0.2">
      <c r="H790" s="19" t="s">
        <v>1979</v>
      </c>
      <c r="J790" s="110" t="str">
        <f t="shared" si="24"/>
        <v/>
      </c>
      <c r="L790" s="110" t="str">
        <f t="shared" si="25"/>
        <v/>
      </c>
    </row>
    <row r="791" spans="8:12" ht="14.25" customHeight="1" x14ac:dyDescent="0.2">
      <c r="H791" s="19" t="s">
        <v>1979</v>
      </c>
      <c r="J791" s="110" t="str">
        <f t="shared" si="24"/>
        <v/>
      </c>
      <c r="L791" s="110" t="str">
        <f t="shared" si="25"/>
        <v/>
      </c>
    </row>
    <row r="792" spans="8:12" ht="14.25" customHeight="1" x14ac:dyDescent="0.2">
      <c r="H792" s="19" t="s">
        <v>1979</v>
      </c>
      <c r="J792" s="110" t="str">
        <f t="shared" si="24"/>
        <v/>
      </c>
      <c r="L792" s="110" t="str">
        <f t="shared" si="25"/>
        <v/>
      </c>
    </row>
    <row r="793" spans="8:12" ht="14.25" customHeight="1" x14ac:dyDescent="0.2">
      <c r="H793" s="19" t="s">
        <v>1979</v>
      </c>
      <c r="J793" s="110" t="str">
        <f t="shared" si="24"/>
        <v/>
      </c>
      <c r="L793" s="110" t="str">
        <f t="shared" si="25"/>
        <v/>
      </c>
    </row>
    <row r="794" spans="8:12" ht="14.25" customHeight="1" x14ac:dyDescent="0.2">
      <c r="H794" s="19" t="s">
        <v>1979</v>
      </c>
      <c r="J794" s="110" t="str">
        <f t="shared" si="24"/>
        <v/>
      </c>
      <c r="L794" s="110" t="str">
        <f t="shared" si="25"/>
        <v/>
      </c>
    </row>
    <row r="795" spans="8:12" ht="14.25" customHeight="1" x14ac:dyDescent="0.2">
      <c r="H795" s="19" t="s">
        <v>1979</v>
      </c>
      <c r="J795" s="110" t="str">
        <f t="shared" si="24"/>
        <v/>
      </c>
      <c r="L795" s="110" t="str">
        <f t="shared" si="25"/>
        <v/>
      </c>
    </row>
    <row r="796" spans="8:12" ht="14.25" customHeight="1" x14ac:dyDescent="0.2">
      <c r="H796" s="19" t="s">
        <v>1979</v>
      </c>
      <c r="J796" s="110" t="str">
        <f t="shared" si="24"/>
        <v/>
      </c>
      <c r="L796" s="110" t="str">
        <f t="shared" si="25"/>
        <v/>
      </c>
    </row>
    <row r="797" spans="8:12" ht="14.25" customHeight="1" x14ac:dyDescent="0.2">
      <c r="H797" s="19" t="s">
        <v>1979</v>
      </c>
      <c r="J797" s="110" t="str">
        <f t="shared" si="24"/>
        <v/>
      </c>
      <c r="L797" s="110" t="str">
        <f t="shared" si="25"/>
        <v/>
      </c>
    </row>
    <row r="798" spans="8:12" ht="14.25" customHeight="1" x14ac:dyDescent="0.2">
      <c r="H798" s="19" t="s">
        <v>1979</v>
      </c>
      <c r="J798" s="110" t="str">
        <f t="shared" si="24"/>
        <v/>
      </c>
      <c r="L798" s="110" t="str">
        <f t="shared" si="25"/>
        <v/>
      </c>
    </row>
    <row r="799" spans="8:12" ht="14.25" customHeight="1" x14ac:dyDescent="0.2">
      <c r="H799" s="19" t="s">
        <v>1979</v>
      </c>
      <c r="J799" s="110" t="str">
        <f t="shared" si="24"/>
        <v/>
      </c>
      <c r="L799" s="110" t="str">
        <f t="shared" si="25"/>
        <v/>
      </c>
    </row>
    <row r="800" spans="8:12" ht="14.25" customHeight="1" x14ac:dyDescent="0.2">
      <c r="H800" s="19" t="s">
        <v>1979</v>
      </c>
      <c r="J800" s="110" t="str">
        <f t="shared" si="24"/>
        <v/>
      </c>
      <c r="L800" s="110" t="str">
        <f t="shared" si="25"/>
        <v/>
      </c>
    </row>
    <row r="801" spans="8:12" ht="14.25" customHeight="1" x14ac:dyDescent="0.2">
      <c r="H801" s="19" t="s">
        <v>1979</v>
      </c>
      <c r="J801" s="110" t="str">
        <f t="shared" si="24"/>
        <v/>
      </c>
      <c r="L801" s="110" t="str">
        <f t="shared" si="25"/>
        <v/>
      </c>
    </row>
    <row r="802" spans="8:12" ht="14.25" customHeight="1" x14ac:dyDescent="0.2">
      <c r="H802" s="19" t="s">
        <v>1979</v>
      </c>
      <c r="J802" s="110" t="str">
        <f t="shared" si="24"/>
        <v/>
      </c>
      <c r="L802" s="110" t="str">
        <f t="shared" si="25"/>
        <v/>
      </c>
    </row>
    <row r="803" spans="8:12" ht="14.25" customHeight="1" x14ac:dyDescent="0.2">
      <c r="H803" s="19" t="s">
        <v>1979</v>
      </c>
      <c r="J803" s="110" t="str">
        <f t="shared" si="24"/>
        <v/>
      </c>
      <c r="L803" s="110" t="str">
        <f t="shared" si="25"/>
        <v/>
      </c>
    </row>
    <row r="804" spans="8:12" ht="14.25" customHeight="1" x14ac:dyDescent="0.2">
      <c r="H804" s="19" t="s">
        <v>1979</v>
      </c>
      <c r="J804" s="110" t="str">
        <f t="shared" si="24"/>
        <v/>
      </c>
      <c r="L804" s="110" t="str">
        <f t="shared" si="25"/>
        <v/>
      </c>
    </row>
    <row r="805" spans="8:12" ht="14.25" customHeight="1" x14ac:dyDescent="0.2">
      <c r="H805" s="19" t="s">
        <v>1979</v>
      </c>
      <c r="J805" s="110" t="str">
        <f t="shared" si="24"/>
        <v/>
      </c>
      <c r="L805" s="110" t="str">
        <f t="shared" si="25"/>
        <v/>
      </c>
    </row>
    <row r="806" spans="8:12" ht="14.25" customHeight="1" x14ac:dyDescent="0.2">
      <c r="H806" s="19" t="s">
        <v>1979</v>
      </c>
      <c r="J806" s="110" t="str">
        <f t="shared" si="24"/>
        <v/>
      </c>
      <c r="L806" s="110" t="str">
        <f t="shared" si="25"/>
        <v/>
      </c>
    </row>
    <row r="807" spans="8:12" ht="14.25" customHeight="1" x14ac:dyDescent="0.2">
      <c r="H807" s="19" t="s">
        <v>1979</v>
      </c>
      <c r="J807" s="110" t="str">
        <f t="shared" si="24"/>
        <v/>
      </c>
      <c r="L807" s="110" t="str">
        <f t="shared" si="25"/>
        <v/>
      </c>
    </row>
    <row r="808" spans="8:12" ht="14.25" customHeight="1" x14ac:dyDescent="0.2">
      <c r="H808" s="19" t="s">
        <v>1979</v>
      </c>
      <c r="J808" s="110" t="str">
        <f t="shared" si="24"/>
        <v/>
      </c>
      <c r="L808" s="110" t="str">
        <f t="shared" si="25"/>
        <v/>
      </c>
    </row>
    <row r="809" spans="8:12" ht="14.25" customHeight="1" x14ac:dyDescent="0.2">
      <c r="H809" s="19" t="s">
        <v>1979</v>
      </c>
      <c r="J809" s="110" t="str">
        <f t="shared" si="24"/>
        <v/>
      </c>
      <c r="L809" s="110" t="str">
        <f t="shared" si="25"/>
        <v/>
      </c>
    </row>
    <row r="810" spans="8:12" ht="14.25" customHeight="1" x14ac:dyDescent="0.2">
      <c r="H810" s="19" t="s">
        <v>1979</v>
      </c>
      <c r="J810" s="110" t="str">
        <f t="shared" si="24"/>
        <v/>
      </c>
      <c r="L810" s="110" t="str">
        <f t="shared" si="25"/>
        <v/>
      </c>
    </row>
    <row r="811" spans="8:12" ht="14.25" customHeight="1" x14ac:dyDescent="0.2">
      <c r="H811" s="19" t="s">
        <v>1979</v>
      </c>
      <c r="J811" s="110" t="str">
        <f t="shared" si="24"/>
        <v/>
      </c>
      <c r="L811" s="110" t="str">
        <f t="shared" si="25"/>
        <v/>
      </c>
    </row>
    <row r="812" spans="8:12" ht="14.25" customHeight="1" x14ac:dyDescent="0.2">
      <c r="H812" s="19" t="s">
        <v>1979</v>
      </c>
      <c r="J812" s="110" t="str">
        <f t="shared" si="24"/>
        <v/>
      </c>
      <c r="L812" s="110" t="str">
        <f t="shared" si="25"/>
        <v/>
      </c>
    </row>
    <row r="813" spans="8:12" ht="14.25" customHeight="1" x14ac:dyDescent="0.2">
      <c r="H813" s="19" t="s">
        <v>1979</v>
      </c>
      <c r="J813" s="110" t="str">
        <f t="shared" si="24"/>
        <v/>
      </c>
      <c r="L813" s="110" t="str">
        <f t="shared" si="25"/>
        <v/>
      </c>
    </row>
    <row r="814" spans="8:12" ht="14.25" customHeight="1" x14ac:dyDescent="0.2">
      <c r="H814" s="19" t="s">
        <v>1979</v>
      </c>
      <c r="J814" s="110" t="str">
        <f t="shared" si="24"/>
        <v/>
      </c>
      <c r="L814" s="110" t="str">
        <f t="shared" si="25"/>
        <v/>
      </c>
    </row>
    <row r="815" spans="8:12" ht="14.25" customHeight="1" x14ac:dyDescent="0.2">
      <c r="H815" s="19" t="s">
        <v>1979</v>
      </c>
      <c r="J815" s="110" t="str">
        <f t="shared" si="24"/>
        <v/>
      </c>
      <c r="L815" s="110" t="str">
        <f t="shared" si="25"/>
        <v/>
      </c>
    </row>
    <row r="816" spans="8:12" ht="14.25" customHeight="1" x14ac:dyDescent="0.2">
      <c r="H816" s="19" t="s">
        <v>1979</v>
      </c>
      <c r="J816" s="110" t="str">
        <f t="shared" si="24"/>
        <v/>
      </c>
      <c r="L816" s="110" t="str">
        <f t="shared" si="25"/>
        <v/>
      </c>
    </row>
    <row r="817" spans="8:12" ht="14.25" customHeight="1" x14ac:dyDescent="0.2">
      <c r="H817" s="19" t="s">
        <v>1979</v>
      </c>
      <c r="J817" s="110" t="str">
        <f t="shared" si="24"/>
        <v/>
      </c>
      <c r="L817" s="110" t="str">
        <f t="shared" si="25"/>
        <v/>
      </c>
    </row>
    <row r="818" spans="8:12" ht="14.25" customHeight="1" x14ac:dyDescent="0.2">
      <c r="H818" s="19" t="s">
        <v>1979</v>
      </c>
      <c r="J818" s="110" t="str">
        <f t="shared" si="24"/>
        <v/>
      </c>
      <c r="L818" s="110" t="str">
        <f t="shared" si="25"/>
        <v/>
      </c>
    </row>
    <row r="819" spans="8:12" ht="14.25" customHeight="1" x14ac:dyDescent="0.2">
      <c r="H819" s="19" t="s">
        <v>1979</v>
      </c>
      <c r="J819" s="110" t="str">
        <f t="shared" si="24"/>
        <v/>
      </c>
      <c r="L819" s="110" t="str">
        <f t="shared" si="25"/>
        <v/>
      </c>
    </row>
    <row r="820" spans="8:12" ht="14.25" customHeight="1" x14ac:dyDescent="0.2">
      <c r="H820" s="19" t="s">
        <v>1979</v>
      </c>
      <c r="J820" s="110" t="str">
        <f t="shared" si="24"/>
        <v/>
      </c>
      <c r="L820" s="110" t="str">
        <f t="shared" si="25"/>
        <v/>
      </c>
    </row>
    <row r="821" spans="8:12" ht="14.25" customHeight="1" x14ac:dyDescent="0.2">
      <c r="H821" s="19" t="s">
        <v>1979</v>
      </c>
      <c r="J821" s="110" t="str">
        <f t="shared" si="24"/>
        <v/>
      </c>
      <c r="L821" s="110" t="str">
        <f t="shared" si="25"/>
        <v/>
      </c>
    </row>
    <row r="822" spans="8:12" ht="14.25" customHeight="1" x14ac:dyDescent="0.2">
      <c r="H822" s="19" t="s">
        <v>1979</v>
      </c>
      <c r="J822" s="110" t="str">
        <f t="shared" si="24"/>
        <v/>
      </c>
      <c r="L822" s="110" t="str">
        <f t="shared" si="25"/>
        <v/>
      </c>
    </row>
    <row r="823" spans="8:12" ht="14.25" customHeight="1" x14ac:dyDescent="0.2">
      <c r="H823" s="19" t="s">
        <v>1979</v>
      </c>
      <c r="J823" s="110" t="str">
        <f t="shared" si="24"/>
        <v/>
      </c>
      <c r="L823" s="110" t="str">
        <f t="shared" si="25"/>
        <v/>
      </c>
    </row>
    <row r="824" spans="8:12" ht="14.25" customHeight="1" x14ac:dyDescent="0.2">
      <c r="H824" s="19" t="s">
        <v>1979</v>
      </c>
      <c r="J824" s="110" t="str">
        <f t="shared" si="24"/>
        <v/>
      </c>
      <c r="L824" s="110" t="str">
        <f t="shared" si="25"/>
        <v/>
      </c>
    </row>
    <row r="825" spans="8:12" ht="14.25" customHeight="1" x14ac:dyDescent="0.2">
      <c r="H825" s="19" t="s">
        <v>1979</v>
      </c>
      <c r="J825" s="110" t="str">
        <f t="shared" si="24"/>
        <v/>
      </c>
      <c r="L825" s="110" t="str">
        <f t="shared" si="25"/>
        <v/>
      </c>
    </row>
    <row r="826" spans="8:12" ht="14.25" customHeight="1" x14ac:dyDescent="0.2">
      <c r="H826" s="19" t="s">
        <v>1979</v>
      </c>
      <c r="J826" s="110" t="str">
        <f t="shared" si="24"/>
        <v/>
      </c>
      <c r="L826" s="110" t="str">
        <f t="shared" si="25"/>
        <v/>
      </c>
    </row>
    <row r="827" spans="8:12" ht="14.25" customHeight="1" x14ac:dyDescent="0.2">
      <c r="H827" s="19" t="s">
        <v>1979</v>
      </c>
      <c r="J827" s="110" t="str">
        <f t="shared" si="24"/>
        <v/>
      </c>
      <c r="L827" s="110" t="str">
        <f t="shared" si="25"/>
        <v/>
      </c>
    </row>
    <row r="828" spans="8:12" ht="14.25" customHeight="1" x14ac:dyDescent="0.2">
      <c r="H828" s="19" t="s">
        <v>1979</v>
      </c>
      <c r="J828" s="110" t="str">
        <f t="shared" si="24"/>
        <v/>
      </c>
      <c r="L828" s="110" t="str">
        <f t="shared" si="25"/>
        <v/>
      </c>
    </row>
    <row r="829" spans="8:12" ht="14.25" customHeight="1" x14ac:dyDescent="0.2">
      <c r="H829" s="19" t="s">
        <v>1979</v>
      </c>
      <c r="J829" s="110" t="str">
        <f t="shared" si="24"/>
        <v/>
      </c>
      <c r="L829" s="110" t="str">
        <f t="shared" si="25"/>
        <v/>
      </c>
    </row>
    <row r="830" spans="8:12" ht="14.25" customHeight="1" x14ac:dyDescent="0.2">
      <c r="H830" s="19" t="s">
        <v>1979</v>
      </c>
      <c r="J830" s="110" t="str">
        <f t="shared" si="24"/>
        <v/>
      </c>
      <c r="L830" s="110" t="str">
        <f t="shared" si="25"/>
        <v/>
      </c>
    </row>
    <row r="831" spans="8:12" ht="14.25" customHeight="1" x14ac:dyDescent="0.2">
      <c r="H831" s="19" t="s">
        <v>1979</v>
      </c>
      <c r="J831" s="110" t="str">
        <f t="shared" si="24"/>
        <v/>
      </c>
      <c r="L831" s="110" t="str">
        <f t="shared" si="25"/>
        <v/>
      </c>
    </row>
    <row r="832" spans="8:12" ht="14.25" customHeight="1" x14ac:dyDescent="0.2">
      <c r="H832" s="19" t="s">
        <v>1979</v>
      </c>
      <c r="J832" s="110" t="str">
        <f t="shared" si="24"/>
        <v/>
      </c>
      <c r="L832" s="110" t="str">
        <f t="shared" si="25"/>
        <v/>
      </c>
    </row>
    <row r="833" spans="8:12" ht="14.25" customHeight="1" x14ac:dyDescent="0.2">
      <c r="H833" s="19" t="s">
        <v>1979</v>
      </c>
      <c r="J833" s="110" t="str">
        <f t="shared" si="24"/>
        <v/>
      </c>
      <c r="L833" s="110" t="str">
        <f t="shared" si="25"/>
        <v/>
      </c>
    </row>
    <row r="834" spans="8:12" ht="14.25" customHeight="1" x14ac:dyDescent="0.2">
      <c r="H834" s="19" t="s">
        <v>1979</v>
      </c>
      <c r="J834" s="110" t="str">
        <f t="shared" si="24"/>
        <v/>
      </c>
      <c r="L834" s="110" t="str">
        <f t="shared" si="25"/>
        <v/>
      </c>
    </row>
    <row r="835" spans="8:12" ht="14.25" customHeight="1" x14ac:dyDescent="0.2">
      <c r="H835" s="19" t="s">
        <v>1979</v>
      </c>
      <c r="J835" s="110" t="str">
        <f t="shared" ref="J835:J898" si="26">IF(K835="","", K835/PI())</f>
        <v/>
      </c>
      <c r="L835" s="110" t="str">
        <f t="shared" ref="L835:L898" si="27">IF(OR(P835="", N835="", O835=""), "", TAN(P835*PI()/180)*N835 +O835)</f>
        <v/>
      </c>
    </row>
    <row r="836" spans="8:12" ht="14.25" customHeight="1" x14ac:dyDescent="0.2">
      <c r="H836" s="19" t="s">
        <v>1979</v>
      </c>
      <c r="J836" s="110" t="str">
        <f t="shared" si="26"/>
        <v/>
      </c>
      <c r="L836" s="110" t="str">
        <f t="shared" si="27"/>
        <v/>
      </c>
    </row>
    <row r="837" spans="8:12" ht="14.25" customHeight="1" x14ac:dyDescent="0.2">
      <c r="H837" s="19" t="s">
        <v>1979</v>
      </c>
      <c r="J837" s="110" t="str">
        <f t="shared" si="26"/>
        <v/>
      </c>
      <c r="L837" s="110" t="str">
        <f t="shared" si="27"/>
        <v/>
      </c>
    </row>
    <row r="838" spans="8:12" ht="14.25" customHeight="1" x14ac:dyDescent="0.2">
      <c r="H838" s="19" t="s">
        <v>1979</v>
      </c>
      <c r="J838" s="110" t="str">
        <f t="shared" si="26"/>
        <v/>
      </c>
      <c r="L838" s="110" t="str">
        <f t="shared" si="27"/>
        <v/>
      </c>
    </row>
    <row r="839" spans="8:12" ht="14.25" customHeight="1" x14ac:dyDescent="0.2">
      <c r="H839" s="19" t="s">
        <v>1979</v>
      </c>
      <c r="J839" s="110" t="str">
        <f t="shared" si="26"/>
        <v/>
      </c>
      <c r="L839" s="110" t="str">
        <f t="shared" si="27"/>
        <v/>
      </c>
    </row>
    <row r="840" spans="8:12" ht="14.25" customHeight="1" x14ac:dyDescent="0.2">
      <c r="H840" s="19" t="s">
        <v>1979</v>
      </c>
      <c r="J840" s="110" t="str">
        <f t="shared" si="26"/>
        <v/>
      </c>
      <c r="L840" s="110" t="str">
        <f t="shared" si="27"/>
        <v/>
      </c>
    </row>
    <row r="841" spans="8:12" ht="14.25" customHeight="1" x14ac:dyDescent="0.2">
      <c r="H841" s="19" t="s">
        <v>1979</v>
      </c>
      <c r="J841" s="110" t="str">
        <f t="shared" si="26"/>
        <v/>
      </c>
      <c r="L841" s="110" t="str">
        <f t="shared" si="27"/>
        <v/>
      </c>
    </row>
    <row r="842" spans="8:12" ht="14.25" customHeight="1" x14ac:dyDescent="0.2">
      <c r="H842" s="19" t="s">
        <v>1979</v>
      </c>
      <c r="J842" s="110" t="str">
        <f t="shared" si="26"/>
        <v/>
      </c>
      <c r="L842" s="110" t="str">
        <f t="shared" si="27"/>
        <v/>
      </c>
    </row>
    <row r="843" spans="8:12" ht="14.25" customHeight="1" x14ac:dyDescent="0.2">
      <c r="H843" s="19" t="s">
        <v>1979</v>
      </c>
      <c r="J843" s="110" t="str">
        <f t="shared" si="26"/>
        <v/>
      </c>
      <c r="L843" s="110" t="str">
        <f t="shared" si="27"/>
        <v/>
      </c>
    </row>
    <row r="844" spans="8:12" ht="14.25" customHeight="1" x14ac:dyDescent="0.2">
      <c r="H844" s="19" t="s">
        <v>1979</v>
      </c>
      <c r="J844" s="110" t="str">
        <f t="shared" si="26"/>
        <v/>
      </c>
      <c r="L844" s="110" t="str">
        <f t="shared" si="27"/>
        <v/>
      </c>
    </row>
    <row r="845" spans="8:12" ht="14.25" customHeight="1" x14ac:dyDescent="0.2">
      <c r="H845" s="19" t="s">
        <v>1979</v>
      </c>
      <c r="J845" s="110" t="str">
        <f t="shared" si="26"/>
        <v/>
      </c>
      <c r="L845" s="110" t="str">
        <f t="shared" si="27"/>
        <v/>
      </c>
    </row>
    <row r="846" spans="8:12" ht="14.25" customHeight="1" x14ac:dyDescent="0.2">
      <c r="H846" s="19" t="s">
        <v>1979</v>
      </c>
      <c r="J846" s="110" t="str">
        <f t="shared" si="26"/>
        <v/>
      </c>
      <c r="L846" s="110" t="str">
        <f t="shared" si="27"/>
        <v/>
      </c>
    </row>
    <row r="847" spans="8:12" ht="14.25" customHeight="1" x14ac:dyDescent="0.2">
      <c r="H847" s="19" t="s">
        <v>1979</v>
      </c>
      <c r="J847" s="110" t="str">
        <f t="shared" si="26"/>
        <v/>
      </c>
      <c r="L847" s="110" t="str">
        <f t="shared" si="27"/>
        <v/>
      </c>
    </row>
    <row r="848" spans="8:12" ht="14.25" customHeight="1" x14ac:dyDescent="0.2">
      <c r="H848" s="19" t="s">
        <v>1979</v>
      </c>
      <c r="J848" s="110" t="str">
        <f t="shared" si="26"/>
        <v/>
      </c>
      <c r="L848" s="110" t="str">
        <f t="shared" si="27"/>
        <v/>
      </c>
    </row>
    <row r="849" spans="8:12" ht="14.25" customHeight="1" x14ac:dyDescent="0.2">
      <c r="H849" s="19" t="s">
        <v>1979</v>
      </c>
      <c r="J849" s="110" t="str">
        <f t="shared" si="26"/>
        <v/>
      </c>
      <c r="L849" s="110" t="str">
        <f t="shared" si="27"/>
        <v/>
      </c>
    </row>
    <row r="850" spans="8:12" ht="14.25" customHeight="1" x14ac:dyDescent="0.2">
      <c r="H850" s="19" t="s">
        <v>1979</v>
      </c>
      <c r="J850" s="110" t="str">
        <f t="shared" si="26"/>
        <v/>
      </c>
      <c r="L850" s="110" t="str">
        <f t="shared" si="27"/>
        <v/>
      </c>
    </row>
    <row r="851" spans="8:12" ht="14.25" customHeight="1" x14ac:dyDescent="0.2">
      <c r="H851" s="19" t="s">
        <v>1979</v>
      </c>
      <c r="J851" s="110" t="str">
        <f t="shared" si="26"/>
        <v/>
      </c>
      <c r="L851" s="110" t="str">
        <f t="shared" si="27"/>
        <v/>
      </c>
    </row>
    <row r="852" spans="8:12" ht="14.25" customHeight="1" x14ac:dyDescent="0.2">
      <c r="H852" s="19" t="s">
        <v>1979</v>
      </c>
      <c r="J852" s="110" t="str">
        <f t="shared" si="26"/>
        <v/>
      </c>
      <c r="L852" s="110" t="str">
        <f t="shared" si="27"/>
        <v/>
      </c>
    </row>
    <row r="853" spans="8:12" ht="14.25" customHeight="1" x14ac:dyDescent="0.2">
      <c r="H853" s="19" t="s">
        <v>1979</v>
      </c>
      <c r="J853" s="110" t="str">
        <f t="shared" si="26"/>
        <v/>
      </c>
      <c r="L853" s="110" t="str">
        <f t="shared" si="27"/>
        <v/>
      </c>
    </row>
    <row r="854" spans="8:12" ht="14.25" customHeight="1" x14ac:dyDescent="0.2">
      <c r="H854" s="19" t="s">
        <v>1979</v>
      </c>
      <c r="J854" s="110" t="str">
        <f t="shared" si="26"/>
        <v/>
      </c>
      <c r="L854" s="110" t="str">
        <f t="shared" si="27"/>
        <v/>
      </c>
    </row>
    <row r="855" spans="8:12" ht="14.25" customHeight="1" x14ac:dyDescent="0.2">
      <c r="H855" s="19" t="s">
        <v>1979</v>
      </c>
      <c r="J855" s="110" t="str">
        <f t="shared" si="26"/>
        <v/>
      </c>
      <c r="L855" s="110" t="str">
        <f t="shared" si="27"/>
        <v/>
      </c>
    </row>
    <row r="856" spans="8:12" ht="14.25" customHeight="1" x14ac:dyDescent="0.2">
      <c r="H856" s="19" t="s">
        <v>1979</v>
      </c>
      <c r="J856" s="110" t="str">
        <f t="shared" si="26"/>
        <v/>
      </c>
      <c r="L856" s="110" t="str">
        <f t="shared" si="27"/>
        <v/>
      </c>
    </row>
    <row r="857" spans="8:12" ht="14.25" customHeight="1" x14ac:dyDescent="0.2">
      <c r="H857" s="19" t="s">
        <v>1979</v>
      </c>
      <c r="J857" s="110" t="str">
        <f t="shared" si="26"/>
        <v/>
      </c>
      <c r="L857" s="110" t="str">
        <f t="shared" si="27"/>
        <v/>
      </c>
    </row>
    <row r="858" spans="8:12" ht="14.25" customHeight="1" x14ac:dyDescent="0.2">
      <c r="H858" s="19" t="s">
        <v>1979</v>
      </c>
      <c r="J858" s="110" t="str">
        <f t="shared" si="26"/>
        <v/>
      </c>
      <c r="L858" s="110" t="str">
        <f t="shared" si="27"/>
        <v/>
      </c>
    </row>
    <row r="859" spans="8:12" ht="14.25" customHeight="1" x14ac:dyDescent="0.2">
      <c r="H859" s="19" t="s">
        <v>1979</v>
      </c>
      <c r="J859" s="110" t="str">
        <f t="shared" si="26"/>
        <v/>
      </c>
      <c r="L859" s="110" t="str">
        <f t="shared" si="27"/>
        <v/>
      </c>
    </row>
    <row r="860" spans="8:12" ht="14.25" customHeight="1" x14ac:dyDescent="0.2">
      <c r="H860" s="19" t="s">
        <v>1979</v>
      </c>
      <c r="J860" s="110" t="str">
        <f t="shared" si="26"/>
        <v/>
      </c>
      <c r="L860" s="110" t="str">
        <f t="shared" si="27"/>
        <v/>
      </c>
    </row>
    <row r="861" spans="8:12" ht="14.25" customHeight="1" x14ac:dyDescent="0.2">
      <c r="H861" s="19" t="s">
        <v>1979</v>
      </c>
      <c r="J861" s="110" t="str">
        <f t="shared" si="26"/>
        <v/>
      </c>
      <c r="L861" s="110" t="str">
        <f t="shared" si="27"/>
        <v/>
      </c>
    </row>
    <row r="862" spans="8:12" ht="14.25" customHeight="1" x14ac:dyDescent="0.2">
      <c r="H862" s="19" t="s">
        <v>1979</v>
      </c>
      <c r="J862" s="110" t="str">
        <f t="shared" si="26"/>
        <v/>
      </c>
      <c r="L862" s="110" t="str">
        <f t="shared" si="27"/>
        <v/>
      </c>
    </row>
    <row r="863" spans="8:12" ht="14.25" customHeight="1" x14ac:dyDescent="0.2">
      <c r="H863" s="19" t="s">
        <v>1979</v>
      </c>
      <c r="J863" s="110" t="str">
        <f t="shared" si="26"/>
        <v/>
      </c>
      <c r="L863" s="110" t="str">
        <f t="shared" si="27"/>
        <v/>
      </c>
    </row>
    <row r="864" spans="8:12" ht="14.25" customHeight="1" x14ac:dyDescent="0.2">
      <c r="H864" s="19" t="s">
        <v>1979</v>
      </c>
      <c r="J864" s="110" t="str">
        <f t="shared" si="26"/>
        <v/>
      </c>
      <c r="L864" s="110" t="str">
        <f t="shared" si="27"/>
        <v/>
      </c>
    </row>
    <row r="865" spans="8:12" ht="14.25" customHeight="1" x14ac:dyDescent="0.2">
      <c r="H865" s="19" t="s">
        <v>1979</v>
      </c>
      <c r="J865" s="110" t="str">
        <f t="shared" si="26"/>
        <v/>
      </c>
      <c r="L865" s="110" t="str">
        <f t="shared" si="27"/>
        <v/>
      </c>
    </row>
    <row r="866" spans="8:12" ht="14.25" customHeight="1" x14ac:dyDescent="0.2">
      <c r="H866" s="19" t="s">
        <v>1979</v>
      </c>
      <c r="J866" s="110" t="str">
        <f t="shared" si="26"/>
        <v/>
      </c>
      <c r="L866" s="110" t="str">
        <f t="shared" si="27"/>
        <v/>
      </c>
    </row>
    <row r="867" spans="8:12" ht="14.25" customHeight="1" x14ac:dyDescent="0.2">
      <c r="H867" s="19" t="s">
        <v>1979</v>
      </c>
      <c r="J867" s="110" t="str">
        <f t="shared" si="26"/>
        <v/>
      </c>
      <c r="L867" s="110" t="str">
        <f t="shared" si="27"/>
        <v/>
      </c>
    </row>
    <row r="868" spans="8:12" ht="14.25" customHeight="1" x14ac:dyDescent="0.2">
      <c r="H868" s="19" t="s">
        <v>1979</v>
      </c>
      <c r="J868" s="110" t="str">
        <f t="shared" si="26"/>
        <v/>
      </c>
      <c r="L868" s="110" t="str">
        <f t="shared" si="27"/>
        <v/>
      </c>
    </row>
    <row r="869" spans="8:12" ht="14.25" customHeight="1" x14ac:dyDescent="0.2">
      <c r="H869" s="19" t="s">
        <v>1979</v>
      </c>
      <c r="J869" s="110" t="str">
        <f t="shared" si="26"/>
        <v/>
      </c>
      <c r="L869" s="110" t="str">
        <f t="shared" si="27"/>
        <v/>
      </c>
    </row>
    <row r="870" spans="8:12" ht="14.25" customHeight="1" x14ac:dyDescent="0.2">
      <c r="H870" s="19" t="s">
        <v>1979</v>
      </c>
      <c r="J870" s="110" t="str">
        <f t="shared" si="26"/>
        <v/>
      </c>
      <c r="L870" s="110" t="str">
        <f t="shared" si="27"/>
        <v/>
      </c>
    </row>
    <row r="871" spans="8:12" ht="14.25" customHeight="1" x14ac:dyDescent="0.2">
      <c r="H871" s="19" t="s">
        <v>1979</v>
      </c>
      <c r="J871" s="110" t="str">
        <f t="shared" si="26"/>
        <v/>
      </c>
      <c r="L871" s="110" t="str">
        <f t="shared" si="27"/>
        <v/>
      </c>
    </row>
    <row r="872" spans="8:12" ht="14.25" customHeight="1" x14ac:dyDescent="0.2">
      <c r="H872" s="19" t="s">
        <v>1979</v>
      </c>
      <c r="J872" s="110" t="str">
        <f t="shared" si="26"/>
        <v/>
      </c>
      <c r="L872" s="110" t="str">
        <f t="shared" si="27"/>
        <v/>
      </c>
    </row>
    <row r="873" spans="8:12" ht="14.25" customHeight="1" x14ac:dyDescent="0.2">
      <c r="H873" s="19" t="s">
        <v>1979</v>
      </c>
      <c r="J873" s="110" t="str">
        <f t="shared" si="26"/>
        <v/>
      </c>
      <c r="L873" s="110" t="str">
        <f t="shared" si="27"/>
        <v/>
      </c>
    </row>
    <row r="874" spans="8:12" ht="14.25" customHeight="1" x14ac:dyDescent="0.2">
      <c r="H874" s="19" t="s">
        <v>1979</v>
      </c>
      <c r="J874" s="110" t="str">
        <f t="shared" si="26"/>
        <v/>
      </c>
      <c r="L874" s="110" t="str">
        <f t="shared" si="27"/>
        <v/>
      </c>
    </row>
    <row r="875" spans="8:12" ht="14.25" customHeight="1" x14ac:dyDescent="0.2">
      <c r="H875" s="19" t="s">
        <v>1979</v>
      </c>
      <c r="J875" s="110" t="str">
        <f t="shared" si="26"/>
        <v/>
      </c>
      <c r="L875" s="110" t="str">
        <f t="shared" si="27"/>
        <v/>
      </c>
    </row>
    <row r="876" spans="8:12" ht="14.25" customHeight="1" x14ac:dyDescent="0.2">
      <c r="H876" s="19" t="s">
        <v>1979</v>
      </c>
      <c r="J876" s="110" t="str">
        <f t="shared" si="26"/>
        <v/>
      </c>
      <c r="L876" s="110" t="str">
        <f t="shared" si="27"/>
        <v/>
      </c>
    </row>
    <row r="877" spans="8:12" ht="14.25" customHeight="1" x14ac:dyDescent="0.2">
      <c r="H877" s="19" t="s">
        <v>1979</v>
      </c>
      <c r="J877" s="110" t="str">
        <f t="shared" si="26"/>
        <v/>
      </c>
      <c r="L877" s="110" t="str">
        <f t="shared" si="27"/>
        <v/>
      </c>
    </row>
    <row r="878" spans="8:12" ht="14.25" customHeight="1" x14ac:dyDescent="0.2">
      <c r="H878" s="19" t="s">
        <v>1979</v>
      </c>
      <c r="J878" s="110" t="str">
        <f t="shared" si="26"/>
        <v/>
      </c>
      <c r="L878" s="110" t="str">
        <f t="shared" si="27"/>
        <v/>
      </c>
    </row>
    <row r="879" spans="8:12" ht="14.25" customHeight="1" x14ac:dyDescent="0.2">
      <c r="H879" s="19" t="s">
        <v>1979</v>
      </c>
      <c r="J879" s="110" t="str">
        <f t="shared" si="26"/>
        <v/>
      </c>
      <c r="L879" s="110" t="str">
        <f t="shared" si="27"/>
        <v/>
      </c>
    </row>
    <row r="880" spans="8:12" ht="14.25" customHeight="1" x14ac:dyDescent="0.2">
      <c r="H880" s="19" t="s">
        <v>1979</v>
      </c>
      <c r="J880" s="110" t="str">
        <f t="shared" si="26"/>
        <v/>
      </c>
      <c r="L880" s="110" t="str">
        <f t="shared" si="27"/>
        <v/>
      </c>
    </row>
    <row r="881" spans="8:12" ht="14.25" customHeight="1" x14ac:dyDescent="0.2">
      <c r="H881" s="19" t="s">
        <v>1979</v>
      </c>
      <c r="J881" s="110" t="str">
        <f t="shared" si="26"/>
        <v/>
      </c>
      <c r="L881" s="110" t="str">
        <f t="shared" si="27"/>
        <v/>
      </c>
    </row>
    <row r="882" spans="8:12" ht="14.25" customHeight="1" x14ac:dyDescent="0.2">
      <c r="H882" s="19" t="s">
        <v>1979</v>
      </c>
      <c r="J882" s="110" t="str">
        <f t="shared" si="26"/>
        <v/>
      </c>
      <c r="L882" s="110" t="str">
        <f t="shared" si="27"/>
        <v/>
      </c>
    </row>
    <row r="883" spans="8:12" ht="14.25" customHeight="1" x14ac:dyDescent="0.2">
      <c r="H883" s="19" t="s">
        <v>1979</v>
      </c>
      <c r="J883" s="110" t="str">
        <f t="shared" si="26"/>
        <v/>
      </c>
      <c r="L883" s="110" t="str">
        <f t="shared" si="27"/>
        <v/>
      </c>
    </row>
    <row r="884" spans="8:12" ht="14.25" customHeight="1" x14ac:dyDescent="0.2">
      <c r="H884" s="19" t="s">
        <v>1979</v>
      </c>
      <c r="J884" s="110" t="str">
        <f t="shared" si="26"/>
        <v/>
      </c>
      <c r="L884" s="110" t="str">
        <f t="shared" si="27"/>
        <v/>
      </c>
    </row>
    <row r="885" spans="8:12" ht="14.25" customHeight="1" x14ac:dyDescent="0.2">
      <c r="H885" s="19" t="s">
        <v>1979</v>
      </c>
      <c r="J885" s="110" t="str">
        <f t="shared" si="26"/>
        <v/>
      </c>
      <c r="L885" s="110" t="str">
        <f t="shared" si="27"/>
        <v/>
      </c>
    </row>
    <row r="886" spans="8:12" ht="14.25" customHeight="1" x14ac:dyDescent="0.2">
      <c r="H886" s="19" t="s">
        <v>1979</v>
      </c>
      <c r="J886" s="110" t="str">
        <f t="shared" si="26"/>
        <v/>
      </c>
      <c r="L886" s="110" t="str">
        <f t="shared" si="27"/>
        <v/>
      </c>
    </row>
    <row r="887" spans="8:12" ht="14.25" customHeight="1" x14ac:dyDescent="0.2">
      <c r="H887" s="19" t="s">
        <v>1979</v>
      </c>
      <c r="J887" s="110" t="str">
        <f t="shared" si="26"/>
        <v/>
      </c>
      <c r="L887" s="110" t="str">
        <f t="shared" si="27"/>
        <v/>
      </c>
    </row>
    <row r="888" spans="8:12" ht="14.25" customHeight="1" x14ac:dyDescent="0.2">
      <c r="H888" s="19" t="s">
        <v>1979</v>
      </c>
      <c r="J888" s="110" t="str">
        <f t="shared" si="26"/>
        <v/>
      </c>
      <c r="L888" s="110" t="str">
        <f t="shared" si="27"/>
        <v/>
      </c>
    </row>
    <row r="889" spans="8:12" ht="14.25" customHeight="1" x14ac:dyDescent="0.2">
      <c r="H889" s="19" t="s">
        <v>1979</v>
      </c>
      <c r="J889" s="110" t="str">
        <f t="shared" si="26"/>
        <v/>
      </c>
      <c r="L889" s="110" t="str">
        <f t="shared" si="27"/>
        <v/>
      </c>
    </row>
    <row r="890" spans="8:12" ht="14.25" customHeight="1" x14ac:dyDescent="0.2">
      <c r="H890" s="19" t="s">
        <v>1979</v>
      </c>
      <c r="J890" s="110" t="str">
        <f t="shared" si="26"/>
        <v/>
      </c>
      <c r="L890" s="110" t="str">
        <f t="shared" si="27"/>
        <v/>
      </c>
    </row>
    <row r="891" spans="8:12" ht="14.25" customHeight="1" x14ac:dyDescent="0.2">
      <c r="H891" s="19" t="s">
        <v>1979</v>
      </c>
      <c r="J891" s="110" t="str">
        <f t="shared" si="26"/>
        <v/>
      </c>
      <c r="L891" s="110" t="str">
        <f t="shared" si="27"/>
        <v/>
      </c>
    </row>
    <row r="892" spans="8:12" ht="14.25" customHeight="1" x14ac:dyDescent="0.2">
      <c r="H892" s="19" t="s">
        <v>1979</v>
      </c>
      <c r="J892" s="110" t="str">
        <f t="shared" si="26"/>
        <v/>
      </c>
      <c r="L892" s="110" t="str">
        <f t="shared" si="27"/>
        <v/>
      </c>
    </row>
    <row r="893" spans="8:12" ht="14.25" customHeight="1" x14ac:dyDescent="0.2">
      <c r="H893" s="19" t="s">
        <v>1979</v>
      </c>
      <c r="J893" s="110" t="str">
        <f t="shared" si="26"/>
        <v/>
      </c>
      <c r="L893" s="110" t="str">
        <f t="shared" si="27"/>
        <v/>
      </c>
    </row>
    <row r="894" spans="8:12" ht="14.25" customHeight="1" x14ac:dyDescent="0.2">
      <c r="H894" s="19" t="s">
        <v>1979</v>
      </c>
      <c r="J894" s="110" t="str">
        <f t="shared" si="26"/>
        <v/>
      </c>
      <c r="L894" s="110" t="str">
        <f t="shared" si="27"/>
        <v/>
      </c>
    </row>
    <row r="895" spans="8:12" ht="14.25" customHeight="1" x14ac:dyDescent="0.2">
      <c r="H895" s="19" t="s">
        <v>1979</v>
      </c>
      <c r="J895" s="110" t="str">
        <f t="shared" si="26"/>
        <v/>
      </c>
      <c r="L895" s="110" t="str">
        <f t="shared" si="27"/>
        <v/>
      </c>
    </row>
    <row r="896" spans="8:12" ht="14.25" customHeight="1" x14ac:dyDescent="0.2">
      <c r="H896" s="19" t="s">
        <v>1979</v>
      </c>
      <c r="J896" s="110" t="str">
        <f t="shared" si="26"/>
        <v/>
      </c>
      <c r="L896" s="110" t="str">
        <f t="shared" si="27"/>
        <v/>
      </c>
    </row>
    <row r="897" spans="8:12" ht="14.25" customHeight="1" x14ac:dyDescent="0.2">
      <c r="H897" s="19" t="s">
        <v>1979</v>
      </c>
      <c r="J897" s="110" t="str">
        <f t="shared" si="26"/>
        <v/>
      </c>
      <c r="L897" s="110" t="str">
        <f t="shared" si="27"/>
        <v/>
      </c>
    </row>
    <row r="898" spans="8:12" ht="14.25" customHeight="1" x14ac:dyDescent="0.2">
      <c r="H898" s="19" t="s">
        <v>1979</v>
      </c>
      <c r="J898" s="110" t="str">
        <f t="shared" si="26"/>
        <v/>
      </c>
      <c r="L898" s="110" t="str">
        <f t="shared" si="27"/>
        <v/>
      </c>
    </row>
    <row r="899" spans="8:12" ht="14.25" customHeight="1" x14ac:dyDescent="0.2">
      <c r="H899" s="19" t="s">
        <v>1979</v>
      </c>
      <c r="J899" s="110" t="str">
        <f t="shared" ref="J899:J962" si="28">IF(K899="","", K899/PI())</f>
        <v/>
      </c>
      <c r="L899" s="110" t="str">
        <f t="shared" ref="L899:L962" si="29">IF(OR(P899="", N899="", O899=""), "", TAN(P899*PI()/180)*N899 +O899)</f>
        <v/>
      </c>
    </row>
    <row r="900" spans="8:12" ht="14.25" customHeight="1" x14ac:dyDescent="0.2">
      <c r="H900" s="19" t="s">
        <v>1979</v>
      </c>
      <c r="J900" s="110" t="str">
        <f t="shared" si="28"/>
        <v/>
      </c>
      <c r="L900" s="110" t="str">
        <f t="shared" si="29"/>
        <v/>
      </c>
    </row>
    <row r="901" spans="8:12" ht="14.25" customHeight="1" x14ac:dyDescent="0.2">
      <c r="H901" s="19" t="s">
        <v>1979</v>
      </c>
      <c r="J901" s="110" t="str">
        <f t="shared" si="28"/>
        <v/>
      </c>
      <c r="L901" s="110" t="str">
        <f t="shared" si="29"/>
        <v/>
      </c>
    </row>
    <row r="902" spans="8:12" ht="14.25" customHeight="1" x14ac:dyDescent="0.2">
      <c r="H902" s="19" t="s">
        <v>1979</v>
      </c>
      <c r="J902" s="110" t="str">
        <f t="shared" si="28"/>
        <v/>
      </c>
      <c r="L902" s="110" t="str">
        <f t="shared" si="29"/>
        <v/>
      </c>
    </row>
    <row r="903" spans="8:12" ht="14.25" customHeight="1" x14ac:dyDescent="0.2">
      <c r="H903" s="19" t="s">
        <v>1979</v>
      </c>
      <c r="J903" s="110" t="str">
        <f t="shared" si="28"/>
        <v/>
      </c>
      <c r="L903" s="110" t="str">
        <f t="shared" si="29"/>
        <v/>
      </c>
    </row>
    <row r="904" spans="8:12" ht="14.25" customHeight="1" x14ac:dyDescent="0.2">
      <c r="H904" s="19" t="s">
        <v>1979</v>
      </c>
      <c r="J904" s="110" t="str">
        <f t="shared" si="28"/>
        <v/>
      </c>
      <c r="L904" s="110" t="str">
        <f t="shared" si="29"/>
        <v/>
      </c>
    </row>
    <row r="905" spans="8:12" ht="14.25" customHeight="1" x14ac:dyDescent="0.2">
      <c r="H905" s="19" t="s">
        <v>1979</v>
      </c>
      <c r="J905" s="110" t="str">
        <f t="shared" si="28"/>
        <v/>
      </c>
      <c r="L905" s="110" t="str">
        <f t="shared" si="29"/>
        <v/>
      </c>
    </row>
    <row r="906" spans="8:12" ht="14.25" customHeight="1" x14ac:dyDescent="0.2">
      <c r="H906" s="19" t="s">
        <v>1979</v>
      </c>
      <c r="J906" s="110" t="str">
        <f t="shared" si="28"/>
        <v/>
      </c>
      <c r="L906" s="110" t="str">
        <f t="shared" si="29"/>
        <v/>
      </c>
    </row>
    <row r="907" spans="8:12" ht="14.25" customHeight="1" x14ac:dyDescent="0.2">
      <c r="H907" s="19" t="s">
        <v>1979</v>
      </c>
      <c r="J907" s="110" t="str">
        <f t="shared" si="28"/>
        <v/>
      </c>
      <c r="L907" s="110" t="str">
        <f t="shared" si="29"/>
        <v/>
      </c>
    </row>
    <row r="908" spans="8:12" ht="14.25" customHeight="1" x14ac:dyDescent="0.2">
      <c r="H908" s="19" t="s">
        <v>1979</v>
      </c>
      <c r="J908" s="110" t="str">
        <f t="shared" si="28"/>
        <v/>
      </c>
      <c r="L908" s="110" t="str">
        <f t="shared" si="29"/>
        <v/>
      </c>
    </row>
    <row r="909" spans="8:12" ht="14.25" customHeight="1" x14ac:dyDescent="0.2">
      <c r="H909" s="19" t="s">
        <v>1979</v>
      </c>
      <c r="J909" s="110" t="str">
        <f t="shared" si="28"/>
        <v/>
      </c>
      <c r="L909" s="110" t="str">
        <f t="shared" si="29"/>
        <v/>
      </c>
    </row>
    <row r="910" spans="8:12" ht="14.25" customHeight="1" x14ac:dyDescent="0.2">
      <c r="H910" s="19" t="s">
        <v>1979</v>
      </c>
      <c r="J910" s="110" t="str">
        <f t="shared" si="28"/>
        <v/>
      </c>
      <c r="L910" s="110" t="str">
        <f t="shared" si="29"/>
        <v/>
      </c>
    </row>
    <row r="911" spans="8:12" ht="14.25" customHeight="1" x14ac:dyDescent="0.2">
      <c r="H911" s="19" t="s">
        <v>1979</v>
      </c>
      <c r="J911" s="110" t="str">
        <f t="shared" si="28"/>
        <v/>
      </c>
      <c r="L911" s="110" t="str">
        <f t="shared" si="29"/>
        <v/>
      </c>
    </row>
    <row r="912" spans="8:12" ht="14.25" customHeight="1" x14ac:dyDescent="0.2">
      <c r="H912" s="19" t="s">
        <v>1979</v>
      </c>
      <c r="J912" s="110" t="str">
        <f t="shared" si="28"/>
        <v/>
      </c>
      <c r="L912" s="110" t="str">
        <f t="shared" si="29"/>
        <v/>
      </c>
    </row>
    <row r="913" spans="8:12" ht="14.25" customHeight="1" x14ac:dyDescent="0.2">
      <c r="H913" s="19" t="s">
        <v>1979</v>
      </c>
      <c r="J913" s="110" t="str">
        <f t="shared" si="28"/>
        <v/>
      </c>
      <c r="L913" s="110" t="str">
        <f t="shared" si="29"/>
        <v/>
      </c>
    </row>
    <row r="914" spans="8:12" ht="14.25" customHeight="1" x14ac:dyDescent="0.2">
      <c r="H914" s="19" t="s">
        <v>1979</v>
      </c>
      <c r="J914" s="110" t="str">
        <f t="shared" si="28"/>
        <v/>
      </c>
      <c r="L914" s="110" t="str">
        <f t="shared" si="29"/>
        <v/>
      </c>
    </row>
    <row r="915" spans="8:12" ht="14.25" customHeight="1" x14ac:dyDescent="0.2">
      <c r="H915" s="19" t="s">
        <v>1979</v>
      </c>
      <c r="J915" s="110" t="str">
        <f t="shared" si="28"/>
        <v/>
      </c>
      <c r="L915" s="110" t="str">
        <f t="shared" si="29"/>
        <v/>
      </c>
    </row>
    <row r="916" spans="8:12" ht="14.25" customHeight="1" x14ac:dyDescent="0.2">
      <c r="H916" s="19" t="s">
        <v>1979</v>
      </c>
      <c r="J916" s="110" t="str">
        <f t="shared" si="28"/>
        <v/>
      </c>
      <c r="L916" s="110" t="str">
        <f t="shared" si="29"/>
        <v/>
      </c>
    </row>
    <row r="917" spans="8:12" ht="14.25" customHeight="1" x14ac:dyDescent="0.2">
      <c r="H917" s="19" t="s">
        <v>1979</v>
      </c>
      <c r="J917" s="110" t="str">
        <f t="shared" si="28"/>
        <v/>
      </c>
      <c r="L917" s="110" t="str">
        <f t="shared" si="29"/>
        <v/>
      </c>
    </row>
    <row r="918" spans="8:12" ht="14.25" customHeight="1" x14ac:dyDescent="0.2">
      <c r="H918" s="19" t="s">
        <v>1979</v>
      </c>
      <c r="J918" s="110" t="str">
        <f t="shared" si="28"/>
        <v/>
      </c>
      <c r="L918" s="110" t="str">
        <f t="shared" si="29"/>
        <v/>
      </c>
    </row>
    <row r="919" spans="8:12" ht="14.25" customHeight="1" x14ac:dyDescent="0.2">
      <c r="H919" s="19" t="s">
        <v>1979</v>
      </c>
      <c r="J919" s="110" t="str">
        <f t="shared" si="28"/>
        <v/>
      </c>
      <c r="L919" s="110" t="str">
        <f t="shared" si="29"/>
        <v/>
      </c>
    </row>
    <row r="920" spans="8:12" ht="14.25" customHeight="1" x14ac:dyDescent="0.2">
      <c r="H920" s="19" t="s">
        <v>1979</v>
      </c>
      <c r="J920" s="110" t="str">
        <f t="shared" si="28"/>
        <v/>
      </c>
      <c r="L920" s="110" t="str">
        <f t="shared" si="29"/>
        <v/>
      </c>
    </row>
    <row r="921" spans="8:12" ht="14.25" customHeight="1" x14ac:dyDescent="0.2">
      <c r="H921" s="19" t="s">
        <v>1979</v>
      </c>
      <c r="J921" s="110" t="str">
        <f t="shared" si="28"/>
        <v/>
      </c>
      <c r="L921" s="110" t="str">
        <f t="shared" si="29"/>
        <v/>
      </c>
    </row>
    <row r="922" spans="8:12" ht="14.25" customHeight="1" x14ac:dyDescent="0.2">
      <c r="H922" s="19" t="s">
        <v>1979</v>
      </c>
      <c r="J922" s="110" t="str">
        <f t="shared" si="28"/>
        <v/>
      </c>
      <c r="L922" s="110" t="str">
        <f t="shared" si="29"/>
        <v/>
      </c>
    </row>
    <row r="923" spans="8:12" ht="14.25" customHeight="1" x14ac:dyDescent="0.2">
      <c r="H923" s="19" t="s">
        <v>1979</v>
      </c>
      <c r="J923" s="110" t="str">
        <f t="shared" si="28"/>
        <v/>
      </c>
      <c r="L923" s="110" t="str">
        <f t="shared" si="29"/>
        <v/>
      </c>
    </row>
    <row r="924" spans="8:12" ht="14.25" customHeight="1" x14ac:dyDescent="0.2">
      <c r="H924" s="19" t="s">
        <v>1979</v>
      </c>
      <c r="J924" s="110" t="str">
        <f t="shared" si="28"/>
        <v/>
      </c>
      <c r="L924" s="110" t="str">
        <f t="shared" si="29"/>
        <v/>
      </c>
    </row>
    <row r="925" spans="8:12" ht="14.25" customHeight="1" x14ac:dyDescent="0.2">
      <c r="H925" s="19" t="s">
        <v>1979</v>
      </c>
      <c r="J925" s="110" t="str">
        <f t="shared" si="28"/>
        <v/>
      </c>
      <c r="L925" s="110" t="str">
        <f t="shared" si="29"/>
        <v/>
      </c>
    </row>
    <row r="926" spans="8:12" ht="14.25" customHeight="1" x14ac:dyDescent="0.2">
      <c r="H926" s="19" t="s">
        <v>1979</v>
      </c>
      <c r="J926" s="110" t="str">
        <f t="shared" si="28"/>
        <v/>
      </c>
      <c r="L926" s="110" t="str">
        <f t="shared" si="29"/>
        <v/>
      </c>
    </row>
    <row r="927" spans="8:12" ht="14.25" customHeight="1" x14ac:dyDescent="0.2">
      <c r="H927" s="19" t="s">
        <v>1979</v>
      </c>
      <c r="J927" s="110" t="str">
        <f t="shared" si="28"/>
        <v/>
      </c>
      <c r="L927" s="110" t="str">
        <f t="shared" si="29"/>
        <v/>
      </c>
    </row>
    <row r="928" spans="8:12" ht="14.25" customHeight="1" x14ac:dyDescent="0.2">
      <c r="H928" s="19" t="s">
        <v>1979</v>
      </c>
      <c r="J928" s="110" t="str">
        <f t="shared" si="28"/>
        <v/>
      </c>
      <c r="L928" s="110" t="str">
        <f t="shared" si="29"/>
        <v/>
      </c>
    </row>
    <row r="929" spans="8:12" ht="14.25" customHeight="1" x14ac:dyDescent="0.2">
      <c r="H929" s="19" t="s">
        <v>1979</v>
      </c>
      <c r="J929" s="110" t="str">
        <f t="shared" si="28"/>
        <v/>
      </c>
      <c r="L929" s="110" t="str">
        <f t="shared" si="29"/>
        <v/>
      </c>
    </row>
    <row r="930" spans="8:12" ht="14.25" customHeight="1" x14ac:dyDescent="0.2">
      <c r="H930" s="19" t="s">
        <v>1979</v>
      </c>
      <c r="J930" s="110" t="str">
        <f t="shared" si="28"/>
        <v/>
      </c>
      <c r="L930" s="110" t="str">
        <f t="shared" si="29"/>
        <v/>
      </c>
    </row>
    <row r="931" spans="8:12" ht="14.25" customHeight="1" x14ac:dyDescent="0.2">
      <c r="H931" s="19" t="s">
        <v>1979</v>
      </c>
      <c r="J931" s="110" t="str">
        <f t="shared" si="28"/>
        <v/>
      </c>
      <c r="L931" s="110" t="str">
        <f t="shared" si="29"/>
        <v/>
      </c>
    </row>
    <row r="932" spans="8:12" ht="14.25" customHeight="1" x14ac:dyDescent="0.2">
      <c r="H932" s="19" t="s">
        <v>1979</v>
      </c>
      <c r="J932" s="110" t="str">
        <f t="shared" si="28"/>
        <v/>
      </c>
      <c r="L932" s="110" t="str">
        <f t="shared" si="29"/>
        <v/>
      </c>
    </row>
    <row r="933" spans="8:12" ht="14.25" customHeight="1" x14ac:dyDescent="0.2">
      <c r="H933" s="19" t="s">
        <v>1979</v>
      </c>
      <c r="J933" s="110" t="str">
        <f t="shared" si="28"/>
        <v/>
      </c>
      <c r="L933" s="110" t="str">
        <f t="shared" si="29"/>
        <v/>
      </c>
    </row>
    <row r="934" spans="8:12" ht="14.25" customHeight="1" x14ac:dyDescent="0.2">
      <c r="H934" s="19" t="s">
        <v>1979</v>
      </c>
      <c r="J934" s="110" t="str">
        <f t="shared" si="28"/>
        <v/>
      </c>
      <c r="L934" s="110" t="str">
        <f t="shared" si="29"/>
        <v/>
      </c>
    </row>
    <row r="935" spans="8:12" ht="14.25" customHeight="1" x14ac:dyDescent="0.2">
      <c r="H935" s="19" t="s">
        <v>1979</v>
      </c>
      <c r="J935" s="110" t="str">
        <f t="shared" si="28"/>
        <v/>
      </c>
      <c r="L935" s="110" t="str">
        <f t="shared" si="29"/>
        <v/>
      </c>
    </row>
    <row r="936" spans="8:12" ht="14.25" customHeight="1" x14ac:dyDescent="0.2">
      <c r="H936" s="19" t="s">
        <v>1979</v>
      </c>
      <c r="J936" s="110" t="str">
        <f t="shared" si="28"/>
        <v/>
      </c>
      <c r="L936" s="110" t="str">
        <f t="shared" si="29"/>
        <v/>
      </c>
    </row>
    <row r="937" spans="8:12" ht="14.25" customHeight="1" x14ac:dyDescent="0.2">
      <c r="H937" s="19" t="s">
        <v>1979</v>
      </c>
      <c r="J937" s="110" t="str">
        <f t="shared" si="28"/>
        <v/>
      </c>
      <c r="L937" s="110" t="str">
        <f t="shared" si="29"/>
        <v/>
      </c>
    </row>
    <row r="938" spans="8:12" ht="14.25" customHeight="1" x14ac:dyDescent="0.2">
      <c r="H938" s="19" t="s">
        <v>1979</v>
      </c>
      <c r="J938" s="110" t="str">
        <f t="shared" si="28"/>
        <v/>
      </c>
      <c r="L938" s="110" t="str">
        <f t="shared" si="29"/>
        <v/>
      </c>
    </row>
    <row r="939" spans="8:12" ht="14.25" customHeight="1" x14ac:dyDescent="0.2">
      <c r="H939" s="19" t="s">
        <v>1979</v>
      </c>
      <c r="J939" s="110" t="str">
        <f t="shared" si="28"/>
        <v/>
      </c>
      <c r="L939" s="110" t="str">
        <f t="shared" si="29"/>
        <v/>
      </c>
    </row>
    <row r="940" spans="8:12" ht="14.25" customHeight="1" x14ac:dyDescent="0.2">
      <c r="H940" s="19" t="s">
        <v>1979</v>
      </c>
      <c r="J940" s="110" t="str">
        <f t="shared" si="28"/>
        <v/>
      </c>
      <c r="L940" s="110" t="str">
        <f t="shared" si="29"/>
        <v/>
      </c>
    </row>
    <row r="941" spans="8:12" ht="14.25" customHeight="1" x14ac:dyDescent="0.2">
      <c r="H941" s="19" t="s">
        <v>1979</v>
      </c>
      <c r="J941" s="110" t="str">
        <f t="shared" si="28"/>
        <v/>
      </c>
      <c r="L941" s="110" t="str">
        <f t="shared" si="29"/>
        <v/>
      </c>
    </row>
    <row r="942" spans="8:12" ht="14.25" customHeight="1" x14ac:dyDescent="0.2">
      <c r="H942" s="19" t="s">
        <v>1979</v>
      </c>
      <c r="J942" s="110" t="str">
        <f t="shared" si="28"/>
        <v/>
      </c>
      <c r="L942" s="110" t="str">
        <f t="shared" si="29"/>
        <v/>
      </c>
    </row>
    <row r="943" spans="8:12" ht="14.25" customHeight="1" x14ac:dyDescent="0.2">
      <c r="H943" s="19" t="s">
        <v>1979</v>
      </c>
      <c r="J943" s="110" t="str">
        <f t="shared" si="28"/>
        <v/>
      </c>
      <c r="L943" s="110" t="str">
        <f t="shared" si="29"/>
        <v/>
      </c>
    </row>
    <row r="944" spans="8:12" ht="14.25" customHeight="1" x14ac:dyDescent="0.2">
      <c r="H944" s="19" t="s">
        <v>1979</v>
      </c>
      <c r="J944" s="110" t="str">
        <f t="shared" si="28"/>
        <v/>
      </c>
      <c r="L944" s="110" t="str">
        <f t="shared" si="29"/>
        <v/>
      </c>
    </row>
    <row r="945" spans="8:12" ht="14.25" customHeight="1" x14ac:dyDescent="0.2">
      <c r="H945" s="19" t="s">
        <v>1979</v>
      </c>
      <c r="J945" s="110" t="str">
        <f t="shared" si="28"/>
        <v/>
      </c>
      <c r="L945" s="110" t="str">
        <f t="shared" si="29"/>
        <v/>
      </c>
    </row>
    <row r="946" spans="8:12" ht="14.25" customHeight="1" x14ac:dyDescent="0.2">
      <c r="H946" s="19" t="s">
        <v>1979</v>
      </c>
      <c r="J946" s="110" t="str">
        <f t="shared" si="28"/>
        <v/>
      </c>
      <c r="L946" s="110" t="str">
        <f t="shared" si="29"/>
        <v/>
      </c>
    </row>
    <row r="947" spans="8:12" ht="14.25" customHeight="1" x14ac:dyDescent="0.2">
      <c r="H947" s="19" t="s">
        <v>1979</v>
      </c>
      <c r="J947" s="110" t="str">
        <f t="shared" si="28"/>
        <v/>
      </c>
      <c r="L947" s="110" t="str">
        <f t="shared" si="29"/>
        <v/>
      </c>
    </row>
    <row r="948" spans="8:12" ht="14.25" customHeight="1" x14ac:dyDescent="0.2">
      <c r="H948" s="19" t="s">
        <v>1979</v>
      </c>
      <c r="J948" s="110" t="str">
        <f t="shared" si="28"/>
        <v/>
      </c>
      <c r="L948" s="110" t="str">
        <f t="shared" si="29"/>
        <v/>
      </c>
    </row>
    <row r="949" spans="8:12" ht="14.25" customHeight="1" x14ac:dyDescent="0.2">
      <c r="H949" s="19" t="s">
        <v>1979</v>
      </c>
      <c r="J949" s="110" t="str">
        <f t="shared" si="28"/>
        <v/>
      </c>
      <c r="L949" s="110" t="str">
        <f t="shared" si="29"/>
        <v/>
      </c>
    </row>
    <row r="950" spans="8:12" ht="14.25" customHeight="1" x14ac:dyDescent="0.2">
      <c r="H950" s="19" t="s">
        <v>1979</v>
      </c>
      <c r="J950" s="110" t="str">
        <f t="shared" si="28"/>
        <v/>
      </c>
      <c r="L950" s="110" t="str">
        <f t="shared" si="29"/>
        <v/>
      </c>
    </row>
    <row r="951" spans="8:12" ht="14.25" customHeight="1" x14ac:dyDescent="0.2">
      <c r="H951" s="19" t="s">
        <v>1979</v>
      </c>
      <c r="J951" s="110" t="str">
        <f t="shared" si="28"/>
        <v/>
      </c>
      <c r="L951" s="110" t="str">
        <f t="shared" si="29"/>
        <v/>
      </c>
    </row>
    <row r="952" spans="8:12" ht="14.25" customHeight="1" x14ac:dyDescent="0.2">
      <c r="H952" s="19" t="s">
        <v>1979</v>
      </c>
      <c r="J952" s="110" t="str">
        <f t="shared" si="28"/>
        <v/>
      </c>
      <c r="L952" s="110" t="str">
        <f t="shared" si="29"/>
        <v/>
      </c>
    </row>
    <row r="953" spans="8:12" ht="14.25" customHeight="1" x14ac:dyDescent="0.2">
      <c r="H953" s="19" t="s">
        <v>1979</v>
      </c>
      <c r="J953" s="110" t="str">
        <f t="shared" si="28"/>
        <v/>
      </c>
      <c r="L953" s="110" t="str">
        <f t="shared" si="29"/>
        <v/>
      </c>
    </row>
    <row r="954" spans="8:12" ht="14.25" customHeight="1" x14ac:dyDescent="0.2">
      <c r="H954" s="19" t="s">
        <v>1979</v>
      </c>
      <c r="J954" s="110" t="str">
        <f t="shared" si="28"/>
        <v/>
      </c>
      <c r="L954" s="110" t="str">
        <f t="shared" si="29"/>
        <v/>
      </c>
    </row>
    <row r="955" spans="8:12" ht="14.25" customHeight="1" x14ac:dyDescent="0.2">
      <c r="H955" s="19" t="s">
        <v>1979</v>
      </c>
      <c r="J955" s="110" t="str">
        <f t="shared" si="28"/>
        <v/>
      </c>
      <c r="L955" s="110" t="str">
        <f t="shared" si="29"/>
        <v/>
      </c>
    </row>
    <row r="956" spans="8:12" ht="14.25" customHeight="1" x14ac:dyDescent="0.2">
      <c r="H956" s="19" t="s">
        <v>1979</v>
      </c>
      <c r="J956" s="110" t="str">
        <f t="shared" si="28"/>
        <v/>
      </c>
      <c r="L956" s="110" t="str">
        <f t="shared" si="29"/>
        <v/>
      </c>
    </row>
    <row r="957" spans="8:12" ht="14.25" customHeight="1" x14ac:dyDescent="0.2">
      <c r="H957" s="19" t="s">
        <v>1979</v>
      </c>
      <c r="J957" s="110" t="str">
        <f t="shared" si="28"/>
        <v/>
      </c>
      <c r="L957" s="110" t="str">
        <f t="shared" si="29"/>
        <v/>
      </c>
    </row>
    <row r="958" spans="8:12" ht="14.25" customHeight="1" x14ac:dyDescent="0.2">
      <c r="H958" s="19" t="s">
        <v>1979</v>
      </c>
      <c r="J958" s="110" t="str">
        <f t="shared" si="28"/>
        <v/>
      </c>
      <c r="L958" s="110" t="str">
        <f t="shared" si="29"/>
        <v/>
      </c>
    </row>
    <row r="959" spans="8:12" ht="14.25" customHeight="1" x14ac:dyDescent="0.2">
      <c r="H959" s="19" t="s">
        <v>1979</v>
      </c>
      <c r="J959" s="110" t="str">
        <f t="shared" si="28"/>
        <v/>
      </c>
      <c r="L959" s="110" t="str">
        <f t="shared" si="29"/>
        <v/>
      </c>
    </row>
    <row r="960" spans="8:12" ht="14.25" customHeight="1" x14ac:dyDescent="0.2">
      <c r="H960" s="19" t="s">
        <v>1979</v>
      </c>
      <c r="J960" s="110" t="str">
        <f t="shared" si="28"/>
        <v/>
      </c>
      <c r="L960" s="110" t="str">
        <f t="shared" si="29"/>
        <v/>
      </c>
    </row>
    <row r="961" spans="8:12" ht="14.25" customHeight="1" x14ac:dyDescent="0.2">
      <c r="H961" s="19" t="s">
        <v>1979</v>
      </c>
      <c r="J961" s="110" t="str">
        <f t="shared" si="28"/>
        <v/>
      </c>
      <c r="L961" s="110" t="str">
        <f t="shared" si="29"/>
        <v/>
      </c>
    </row>
    <row r="962" spans="8:12" ht="14.25" customHeight="1" x14ac:dyDescent="0.2">
      <c r="H962" s="19" t="s">
        <v>1979</v>
      </c>
      <c r="J962" s="110" t="str">
        <f t="shared" si="28"/>
        <v/>
      </c>
      <c r="L962" s="110" t="str">
        <f t="shared" si="29"/>
        <v/>
      </c>
    </row>
    <row r="963" spans="8:12" ht="14.25" customHeight="1" x14ac:dyDescent="0.2">
      <c r="H963" s="19" t="s">
        <v>1979</v>
      </c>
      <c r="J963" s="110" t="str">
        <f t="shared" ref="J963:J1026" si="30">IF(K963="","", K963/PI())</f>
        <v/>
      </c>
      <c r="L963" s="110" t="str">
        <f t="shared" ref="L963:L1026" si="31">IF(OR(P963="", N963="", O963=""), "", TAN(P963*PI()/180)*N963 +O963)</f>
        <v/>
      </c>
    </row>
    <row r="964" spans="8:12" ht="14.25" customHeight="1" x14ac:dyDescent="0.2">
      <c r="H964" s="19" t="s">
        <v>1979</v>
      </c>
      <c r="J964" s="110" t="str">
        <f t="shared" si="30"/>
        <v/>
      </c>
      <c r="L964" s="110" t="str">
        <f t="shared" si="31"/>
        <v/>
      </c>
    </row>
    <row r="965" spans="8:12" ht="14.25" customHeight="1" x14ac:dyDescent="0.2">
      <c r="H965" s="19" t="s">
        <v>1979</v>
      </c>
      <c r="J965" s="110" t="str">
        <f t="shared" si="30"/>
        <v/>
      </c>
      <c r="L965" s="110" t="str">
        <f t="shared" si="31"/>
        <v/>
      </c>
    </row>
    <row r="966" spans="8:12" ht="14.25" customHeight="1" x14ac:dyDescent="0.2">
      <c r="H966" s="19" t="s">
        <v>1979</v>
      </c>
      <c r="J966" s="110" t="str">
        <f t="shared" si="30"/>
        <v/>
      </c>
      <c r="L966" s="110" t="str">
        <f t="shared" si="31"/>
        <v/>
      </c>
    </row>
    <row r="967" spans="8:12" ht="14.25" customHeight="1" x14ac:dyDescent="0.2">
      <c r="H967" s="19" t="s">
        <v>1979</v>
      </c>
      <c r="J967" s="110" t="str">
        <f t="shared" si="30"/>
        <v/>
      </c>
      <c r="L967" s="110" t="str">
        <f t="shared" si="31"/>
        <v/>
      </c>
    </row>
    <row r="968" spans="8:12" ht="14.25" customHeight="1" x14ac:dyDescent="0.2">
      <c r="H968" s="19" t="s">
        <v>1979</v>
      </c>
      <c r="J968" s="110" t="str">
        <f t="shared" si="30"/>
        <v/>
      </c>
      <c r="L968" s="110" t="str">
        <f t="shared" si="31"/>
        <v/>
      </c>
    </row>
    <row r="969" spans="8:12" ht="14.25" customHeight="1" x14ac:dyDescent="0.2">
      <c r="H969" s="19" t="s">
        <v>1979</v>
      </c>
      <c r="J969" s="110" t="str">
        <f t="shared" si="30"/>
        <v/>
      </c>
      <c r="L969" s="110" t="str">
        <f t="shared" si="31"/>
        <v/>
      </c>
    </row>
    <row r="970" spans="8:12" ht="14.25" customHeight="1" x14ac:dyDescent="0.2">
      <c r="H970" s="19" t="s">
        <v>1979</v>
      </c>
      <c r="J970" s="110" t="str">
        <f t="shared" si="30"/>
        <v/>
      </c>
      <c r="L970" s="110" t="str">
        <f t="shared" si="31"/>
        <v/>
      </c>
    </row>
    <row r="971" spans="8:12" ht="14.25" customHeight="1" x14ac:dyDescent="0.2">
      <c r="H971" s="19" t="s">
        <v>1979</v>
      </c>
      <c r="J971" s="110" t="str">
        <f t="shared" si="30"/>
        <v/>
      </c>
      <c r="L971" s="110" t="str">
        <f t="shared" si="31"/>
        <v/>
      </c>
    </row>
    <row r="972" spans="8:12" ht="14.25" customHeight="1" x14ac:dyDescent="0.2">
      <c r="H972" s="19" t="s">
        <v>1979</v>
      </c>
      <c r="J972" s="110" t="str">
        <f t="shared" si="30"/>
        <v/>
      </c>
      <c r="L972" s="110" t="str">
        <f t="shared" si="31"/>
        <v/>
      </c>
    </row>
    <row r="973" spans="8:12" ht="14.25" customHeight="1" x14ac:dyDescent="0.2">
      <c r="H973" s="19" t="s">
        <v>1979</v>
      </c>
      <c r="J973" s="110" t="str">
        <f t="shared" si="30"/>
        <v/>
      </c>
      <c r="L973" s="110" t="str">
        <f t="shared" si="31"/>
        <v/>
      </c>
    </row>
    <row r="974" spans="8:12" ht="14.25" customHeight="1" x14ac:dyDescent="0.2">
      <c r="H974" s="19" t="s">
        <v>1979</v>
      </c>
      <c r="J974" s="110" t="str">
        <f t="shared" si="30"/>
        <v/>
      </c>
      <c r="L974" s="110" t="str">
        <f t="shared" si="31"/>
        <v/>
      </c>
    </row>
    <row r="975" spans="8:12" ht="14.25" customHeight="1" x14ac:dyDescent="0.2">
      <c r="H975" s="19" t="s">
        <v>1979</v>
      </c>
      <c r="J975" s="110" t="str">
        <f t="shared" si="30"/>
        <v/>
      </c>
      <c r="L975" s="110" t="str">
        <f t="shared" si="31"/>
        <v/>
      </c>
    </row>
    <row r="976" spans="8:12" ht="14.25" customHeight="1" x14ac:dyDescent="0.2">
      <c r="H976" s="19" t="s">
        <v>1979</v>
      </c>
      <c r="J976" s="110" t="str">
        <f t="shared" si="30"/>
        <v/>
      </c>
      <c r="L976" s="110" t="str">
        <f t="shared" si="31"/>
        <v/>
      </c>
    </row>
    <row r="977" spans="8:12" ht="14.25" customHeight="1" x14ac:dyDescent="0.2">
      <c r="H977" s="19" t="s">
        <v>1979</v>
      </c>
      <c r="J977" s="110" t="str">
        <f t="shared" si="30"/>
        <v/>
      </c>
      <c r="L977" s="110" t="str">
        <f t="shared" si="31"/>
        <v/>
      </c>
    </row>
    <row r="978" spans="8:12" ht="14.25" customHeight="1" x14ac:dyDescent="0.2">
      <c r="H978" s="19" t="s">
        <v>1979</v>
      </c>
      <c r="J978" s="110" t="str">
        <f t="shared" si="30"/>
        <v/>
      </c>
      <c r="L978" s="110" t="str">
        <f t="shared" si="31"/>
        <v/>
      </c>
    </row>
    <row r="979" spans="8:12" ht="14.25" customHeight="1" x14ac:dyDescent="0.2">
      <c r="H979" s="19" t="s">
        <v>1979</v>
      </c>
      <c r="J979" s="110" t="str">
        <f t="shared" si="30"/>
        <v/>
      </c>
      <c r="L979" s="110" t="str">
        <f t="shared" si="31"/>
        <v/>
      </c>
    </row>
    <row r="980" spans="8:12" ht="14.25" customHeight="1" x14ac:dyDescent="0.2">
      <c r="H980" s="19" t="s">
        <v>1979</v>
      </c>
      <c r="J980" s="110" t="str">
        <f t="shared" si="30"/>
        <v/>
      </c>
      <c r="L980" s="110" t="str">
        <f t="shared" si="31"/>
        <v/>
      </c>
    </row>
    <row r="981" spans="8:12" ht="14.25" customHeight="1" x14ac:dyDescent="0.2">
      <c r="H981" s="19" t="s">
        <v>1979</v>
      </c>
      <c r="J981" s="110" t="str">
        <f t="shared" si="30"/>
        <v/>
      </c>
      <c r="L981" s="110" t="str">
        <f t="shared" si="31"/>
        <v/>
      </c>
    </row>
    <row r="982" spans="8:12" ht="14.25" customHeight="1" x14ac:dyDescent="0.2">
      <c r="H982" s="19" t="s">
        <v>1979</v>
      </c>
      <c r="J982" s="110" t="str">
        <f t="shared" si="30"/>
        <v/>
      </c>
      <c r="L982" s="110" t="str">
        <f t="shared" si="31"/>
        <v/>
      </c>
    </row>
    <row r="983" spans="8:12" ht="14.25" customHeight="1" x14ac:dyDescent="0.2">
      <c r="H983" s="19" t="s">
        <v>1979</v>
      </c>
      <c r="J983" s="110" t="str">
        <f t="shared" si="30"/>
        <v/>
      </c>
      <c r="L983" s="110" t="str">
        <f t="shared" si="31"/>
        <v/>
      </c>
    </row>
    <row r="984" spans="8:12" ht="14.25" customHeight="1" x14ac:dyDescent="0.2">
      <c r="H984" s="19" t="s">
        <v>1979</v>
      </c>
      <c r="J984" s="110" t="str">
        <f t="shared" si="30"/>
        <v/>
      </c>
      <c r="L984" s="110" t="str">
        <f t="shared" si="31"/>
        <v/>
      </c>
    </row>
    <row r="985" spans="8:12" ht="14.25" customHeight="1" x14ac:dyDescent="0.2">
      <c r="H985" s="19" t="s">
        <v>1979</v>
      </c>
      <c r="J985" s="110" t="str">
        <f t="shared" si="30"/>
        <v/>
      </c>
      <c r="L985" s="110" t="str">
        <f t="shared" si="31"/>
        <v/>
      </c>
    </row>
    <row r="986" spans="8:12" ht="14.25" customHeight="1" x14ac:dyDescent="0.2">
      <c r="H986" s="19" t="s">
        <v>1979</v>
      </c>
      <c r="J986" s="110" t="str">
        <f t="shared" si="30"/>
        <v/>
      </c>
      <c r="L986" s="110" t="str">
        <f t="shared" si="31"/>
        <v/>
      </c>
    </row>
    <row r="987" spans="8:12" ht="14.25" customHeight="1" x14ac:dyDescent="0.2">
      <c r="H987" s="19" t="s">
        <v>1979</v>
      </c>
      <c r="J987" s="110" t="str">
        <f t="shared" si="30"/>
        <v/>
      </c>
      <c r="L987" s="110" t="str">
        <f t="shared" si="31"/>
        <v/>
      </c>
    </row>
    <row r="988" spans="8:12" ht="14.25" customHeight="1" x14ac:dyDescent="0.2">
      <c r="H988" s="19" t="s">
        <v>1979</v>
      </c>
      <c r="J988" s="110" t="str">
        <f t="shared" si="30"/>
        <v/>
      </c>
      <c r="L988" s="110" t="str">
        <f t="shared" si="31"/>
        <v/>
      </c>
    </row>
    <row r="989" spans="8:12" ht="14.25" customHeight="1" x14ac:dyDescent="0.2">
      <c r="H989" s="19" t="s">
        <v>1979</v>
      </c>
      <c r="J989" s="110" t="str">
        <f t="shared" si="30"/>
        <v/>
      </c>
      <c r="L989" s="110" t="str">
        <f t="shared" si="31"/>
        <v/>
      </c>
    </row>
    <row r="990" spans="8:12" ht="14.25" customHeight="1" x14ac:dyDescent="0.2">
      <c r="H990" s="19" t="s">
        <v>1979</v>
      </c>
      <c r="J990" s="110" t="str">
        <f t="shared" si="30"/>
        <v/>
      </c>
      <c r="L990" s="110" t="str">
        <f t="shared" si="31"/>
        <v/>
      </c>
    </row>
    <row r="991" spans="8:12" ht="14.25" customHeight="1" x14ac:dyDescent="0.2">
      <c r="H991" s="19" t="s">
        <v>1979</v>
      </c>
      <c r="J991" s="110" t="str">
        <f t="shared" si="30"/>
        <v/>
      </c>
      <c r="L991" s="110" t="str">
        <f t="shared" si="31"/>
        <v/>
      </c>
    </row>
    <row r="992" spans="8:12" ht="14.25" customHeight="1" x14ac:dyDescent="0.2">
      <c r="H992" s="19" t="s">
        <v>1979</v>
      </c>
      <c r="J992" s="110" t="str">
        <f t="shared" si="30"/>
        <v/>
      </c>
      <c r="L992" s="110" t="str">
        <f t="shared" si="31"/>
        <v/>
      </c>
    </row>
    <row r="993" spans="8:12" ht="14.25" customHeight="1" x14ac:dyDescent="0.2">
      <c r="H993" s="19" t="s">
        <v>1979</v>
      </c>
      <c r="J993" s="110" t="str">
        <f t="shared" si="30"/>
        <v/>
      </c>
      <c r="L993" s="110" t="str">
        <f t="shared" si="31"/>
        <v/>
      </c>
    </row>
    <row r="994" spans="8:12" ht="14.25" customHeight="1" x14ac:dyDescent="0.2">
      <c r="H994" s="19" t="s">
        <v>1979</v>
      </c>
      <c r="J994" s="110" t="str">
        <f t="shared" si="30"/>
        <v/>
      </c>
      <c r="L994" s="110" t="str">
        <f t="shared" si="31"/>
        <v/>
      </c>
    </row>
    <row r="995" spans="8:12" ht="14.25" customHeight="1" x14ac:dyDescent="0.2">
      <c r="H995" s="19" t="s">
        <v>1979</v>
      </c>
      <c r="J995" s="110" t="str">
        <f t="shared" si="30"/>
        <v/>
      </c>
      <c r="L995" s="110" t="str">
        <f t="shared" si="31"/>
        <v/>
      </c>
    </row>
    <row r="996" spans="8:12" ht="14.25" customHeight="1" x14ac:dyDescent="0.2">
      <c r="H996" s="19" t="s">
        <v>1979</v>
      </c>
      <c r="J996" s="110" t="str">
        <f t="shared" si="30"/>
        <v/>
      </c>
      <c r="L996" s="110" t="str">
        <f t="shared" si="31"/>
        <v/>
      </c>
    </row>
    <row r="997" spans="8:12" ht="14.25" customHeight="1" x14ac:dyDescent="0.2">
      <c r="H997" s="19" t="s">
        <v>1979</v>
      </c>
      <c r="J997" s="110" t="str">
        <f t="shared" si="30"/>
        <v/>
      </c>
      <c r="L997" s="110" t="str">
        <f t="shared" si="31"/>
        <v/>
      </c>
    </row>
    <row r="998" spans="8:12" ht="14.25" customHeight="1" x14ac:dyDescent="0.2">
      <c r="H998" s="19" t="s">
        <v>1979</v>
      </c>
      <c r="J998" s="110" t="str">
        <f t="shared" si="30"/>
        <v/>
      </c>
      <c r="L998" s="110" t="str">
        <f t="shared" si="31"/>
        <v/>
      </c>
    </row>
    <row r="999" spans="8:12" ht="14.25" customHeight="1" x14ac:dyDescent="0.2">
      <c r="H999" s="19" t="s">
        <v>1979</v>
      </c>
      <c r="J999" s="110" t="str">
        <f t="shared" si="30"/>
        <v/>
      </c>
      <c r="L999" s="110" t="str">
        <f t="shared" si="31"/>
        <v/>
      </c>
    </row>
    <row r="1000" spans="8:12" ht="14.25" customHeight="1" x14ac:dyDescent="0.2">
      <c r="H1000" s="19" t="s">
        <v>1979</v>
      </c>
      <c r="J1000" s="110" t="str">
        <f t="shared" si="30"/>
        <v/>
      </c>
      <c r="L1000" s="110" t="str">
        <f t="shared" si="31"/>
        <v/>
      </c>
    </row>
    <row r="1001" spans="8:12" ht="14.25" customHeight="1" x14ac:dyDescent="0.2">
      <c r="H1001" s="19" t="s">
        <v>1979</v>
      </c>
      <c r="J1001" s="110" t="str">
        <f t="shared" si="30"/>
        <v/>
      </c>
      <c r="L1001" s="110" t="str">
        <f t="shared" si="31"/>
        <v/>
      </c>
    </row>
    <row r="1002" spans="8:12" ht="14.25" customHeight="1" x14ac:dyDescent="0.2">
      <c r="H1002" s="19" t="s">
        <v>1979</v>
      </c>
      <c r="J1002" s="110" t="str">
        <f t="shared" si="30"/>
        <v/>
      </c>
      <c r="L1002" s="110" t="str">
        <f t="shared" si="31"/>
        <v/>
      </c>
    </row>
    <row r="1003" spans="8:12" ht="14.25" customHeight="1" x14ac:dyDescent="0.2">
      <c r="H1003" s="19" t="s">
        <v>1979</v>
      </c>
      <c r="J1003" s="110" t="str">
        <f t="shared" si="30"/>
        <v/>
      </c>
      <c r="L1003" s="110" t="str">
        <f t="shared" si="31"/>
        <v/>
      </c>
    </row>
    <row r="1004" spans="8:12" ht="14.25" customHeight="1" x14ac:dyDescent="0.2">
      <c r="H1004" s="19" t="s">
        <v>1979</v>
      </c>
      <c r="J1004" s="110" t="str">
        <f t="shared" si="30"/>
        <v/>
      </c>
      <c r="L1004" s="110" t="str">
        <f t="shared" si="31"/>
        <v/>
      </c>
    </row>
    <row r="1005" spans="8:12" ht="14.25" customHeight="1" x14ac:dyDescent="0.2">
      <c r="H1005" s="19" t="s">
        <v>1979</v>
      </c>
      <c r="J1005" s="110" t="str">
        <f t="shared" si="30"/>
        <v/>
      </c>
      <c r="L1005" s="110" t="str">
        <f t="shared" si="31"/>
        <v/>
      </c>
    </row>
    <row r="1006" spans="8:12" ht="14.25" customHeight="1" x14ac:dyDescent="0.2">
      <c r="H1006" s="19" t="s">
        <v>1979</v>
      </c>
      <c r="J1006" s="110" t="str">
        <f t="shared" si="30"/>
        <v/>
      </c>
      <c r="L1006" s="110" t="str">
        <f t="shared" si="31"/>
        <v/>
      </c>
    </row>
    <row r="1007" spans="8:12" ht="14.25" customHeight="1" x14ac:dyDescent="0.2">
      <c r="H1007" s="19" t="s">
        <v>1979</v>
      </c>
      <c r="J1007" s="110" t="str">
        <f t="shared" si="30"/>
        <v/>
      </c>
      <c r="L1007" s="110" t="str">
        <f t="shared" si="31"/>
        <v/>
      </c>
    </row>
    <row r="1008" spans="8:12" ht="14.25" customHeight="1" x14ac:dyDescent="0.2">
      <c r="H1008" s="19" t="s">
        <v>1979</v>
      </c>
      <c r="J1008" s="110" t="str">
        <f t="shared" si="30"/>
        <v/>
      </c>
      <c r="L1008" s="110" t="str">
        <f t="shared" si="31"/>
        <v/>
      </c>
    </row>
    <row r="1009" spans="8:12" ht="14.25" customHeight="1" x14ac:dyDescent="0.2">
      <c r="H1009" s="19" t="s">
        <v>1979</v>
      </c>
      <c r="J1009" s="110" t="str">
        <f t="shared" si="30"/>
        <v/>
      </c>
      <c r="L1009" s="110" t="str">
        <f t="shared" si="31"/>
        <v/>
      </c>
    </row>
    <row r="1010" spans="8:12" ht="14.25" customHeight="1" x14ac:dyDescent="0.2">
      <c r="H1010" s="19" t="s">
        <v>1979</v>
      </c>
      <c r="J1010" s="110" t="str">
        <f t="shared" si="30"/>
        <v/>
      </c>
      <c r="L1010" s="110" t="str">
        <f t="shared" si="31"/>
        <v/>
      </c>
    </row>
    <row r="1011" spans="8:12" ht="14.25" customHeight="1" x14ac:dyDescent="0.2">
      <c r="H1011" s="19" t="s">
        <v>1979</v>
      </c>
      <c r="J1011" s="110" t="str">
        <f t="shared" si="30"/>
        <v/>
      </c>
      <c r="L1011" s="110" t="str">
        <f t="shared" si="31"/>
        <v/>
      </c>
    </row>
    <row r="1012" spans="8:12" ht="14.25" customHeight="1" x14ac:dyDescent="0.2">
      <c r="H1012" s="19" t="s">
        <v>1979</v>
      </c>
      <c r="J1012" s="110" t="str">
        <f t="shared" si="30"/>
        <v/>
      </c>
      <c r="L1012" s="110" t="str">
        <f t="shared" si="31"/>
        <v/>
      </c>
    </row>
    <row r="1013" spans="8:12" ht="14.25" customHeight="1" x14ac:dyDescent="0.2">
      <c r="H1013" s="19" t="s">
        <v>1979</v>
      </c>
      <c r="J1013" s="110" t="str">
        <f t="shared" si="30"/>
        <v/>
      </c>
      <c r="L1013" s="110" t="str">
        <f t="shared" si="31"/>
        <v/>
      </c>
    </row>
    <row r="1014" spans="8:12" ht="14.25" customHeight="1" x14ac:dyDescent="0.2">
      <c r="H1014" s="19" t="s">
        <v>1979</v>
      </c>
      <c r="J1014" s="110" t="str">
        <f t="shared" si="30"/>
        <v/>
      </c>
      <c r="L1014" s="110" t="str">
        <f t="shared" si="31"/>
        <v/>
      </c>
    </row>
    <row r="1015" spans="8:12" ht="14.25" customHeight="1" x14ac:dyDescent="0.2">
      <c r="H1015" s="19" t="s">
        <v>1979</v>
      </c>
      <c r="J1015" s="110" t="str">
        <f t="shared" si="30"/>
        <v/>
      </c>
      <c r="L1015" s="110" t="str">
        <f t="shared" si="31"/>
        <v/>
      </c>
    </row>
    <row r="1016" spans="8:12" ht="14.25" customHeight="1" x14ac:dyDescent="0.2">
      <c r="H1016" s="19" t="s">
        <v>1979</v>
      </c>
      <c r="J1016" s="110" t="str">
        <f t="shared" si="30"/>
        <v/>
      </c>
      <c r="L1016" s="110" t="str">
        <f t="shared" si="31"/>
        <v/>
      </c>
    </row>
    <row r="1017" spans="8:12" ht="14.25" customHeight="1" x14ac:dyDescent="0.2">
      <c r="H1017" s="19" t="s">
        <v>1979</v>
      </c>
      <c r="J1017" s="110" t="str">
        <f t="shared" si="30"/>
        <v/>
      </c>
      <c r="L1017" s="110" t="str">
        <f t="shared" si="31"/>
        <v/>
      </c>
    </row>
    <row r="1018" spans="8:12" ht="14.25" customHeight="1" x14ac:dyDescent="0.2">
      <c r="H1018" s="19" t="s">
        <v>1979</v>
      </c>
      <c r="J1018" s="110" t="str">
        <f t="shared" si="30"/>
        <v/>
      </c>
      <c r="L1018" s="110" t="str">
        <f t="shared" si="31"/>
        <v/>
      </c>
    </row>
    <row r="1019" spans="8:12" ht="14.25" customHeight="1" x14ac:dyDescent="0.2">
      <c r="H1019" s="19" t="s">
        <v>1979</v>
      </c>
      <c r="J1019" s="110" t="str">
        <f t="shared" si="30"/>
        <v/>
      </c>
      <c r="L1019" s="110" t="str">
        <f t="shared" si="31"/>
        <v/>
      </c>
    </row>
    <row r="1020" spans="8:12" ht="14.25" customHeight="1" x14ac:dyDescent="0.2">
      <c r="H1020" s="19" t="s">
        <v>1979</v>
      </c>
      <c r="J1020" s="110" t="str">
        <f t="shared" si="30"/>
        <v/>
      </c>
      <c r="L1020" s="110" t="str">
        <f t="shared" si="31"/>
        <v/>
      </c>
    </row>
    <row r="1021" spans="8:12" ht="14.25" customHeight="1" x14ac:dyDescent="0.2">
      <c r="H1021" s="19" t="s">
        <v>1979</v>
      </c>
      <c r="J1021" s="110" t="str">
        <f t="shared" si="30"/>
        <v/>
      </c>
      <c r="L1021" s="110" t="str">
        <f t="shared" si="31"/>
        <v/>
      </c>
    </row>
    <row r="1022" spans="8:12" ht="14.25" customHeight="1" x14ac:dyDescent="0.2">
      <c r="H1022" s="19" t="s">
        <v>1979</v>
      </c>
      <c r="J1022" s="110" t="str">
        <f t="shared" si="30"/>
        <v/>
      </c>
      <c r="L1022" s="110" t="str">
        <f t="shared" si="31"/>
        <v/>
      </c>
    </row>
    <row r="1023" spans="8:12" ht="14.25" customHeight="1" x14ac:dyDescent="0.2">
      <c r="H1023" s="19" t="s">
        <v>1979</v>
      </c>
      <c r="J1023" s="110" t="str">
        <f t="shared" si="30"/>
        <v/>
      </c>
      <c r="L1023" s="110" t="str">
        <f t="shared" si="31"/>
        <v/>
      </c>
    </row>
    <row r="1024" spans="8:12" ht="14.25" customHeight="1" x14ac:dyDescent="0.2">
      <c r="H1024" s="19" t="s">
        <v>1979</v>
      </c>
      <c r="J1024" s="110" t="str">
        <f t="shared" si="30"/>
        <v/>
      </c>
      <c r="L1024" s="110" t="str">
        <f t="shared" si="31"/>
        <v/>
      </c>
    </row>
    <row r="1025" spans="8:12" ht="14.25" customHeight="1" x14ac:dyDescent="0.2">
      <c r="H1025" s="19" t="s">
        <v>1979</v>
      </c>
      <c r="J1025" s="110" t="str">
        <f t="shared" si="30"/>
        <v/>
      </c>
      <c r="L1025" s="110" t="str">
        <f t="shared" si="31"/>
        <v/>
      </c>
    </row>
    <row r="1026" spans="8:12" ht="14.25" customHeight="1" x14ac:dyDescent="0.2">
      <c r="H1026" s="19" t="s">
        <v>1979</v>
      </c>
      <c r="J1026" s="110" t="str">
        <f t="shared" si="30"/>
        <v/>
      </c>
      <c r="L1026" s="110" t="str">
        <f t="shared" si="31"/>
        <v/>
      </c>
    </row>
    <row r="1027" spans="8:12" ht="14.25" customHeight="1" x14ac:dyDescent="0.2">
      <c r="H1027" s="19" t="s">
        <v>1979</v>
      </c>
      <c r="J1027" s="110" t="str">
        <f t="shared" ref="J1027:J1090" si="32">IF(K1027="","", K1027/PI())</f>
        <v/>
      </c>
      <c r="L1027" s="110" t="str">
        <f t="shared" ref="L1027:L1090" si="33">IF(OR(P1027="", N1027="", O1027=""), "", TAN(P1027*PI()/180)*N1027 +O1027)</f>
        <v/>
      </c>
    </row>
    <row r="1028" spans="8:12" ht="14.25" customHeight="1" x14ac:dyDescent="0.2">
      <c r="H1028" s="19" t="s">
        <v>1979</v>
      </c>
      <c r="J1028" s="110" t="str">
        <f t="shared" si="32"/>
        <v/>
      </c>
      <c r="L1028" s="110" t="str">
        <f t="shared" si="33"/>
        <v/>
      </c>
    </row>
    <row r="1029" spans="8:12" ht="14.25" customHeight="1" x14ac:dyDescent="0.2">
      <c r="H1029" s="19" t="s">
        <v>1979</v>
      </c>
      <c r="J1029" s="110" t="str">
        <f t="shared" si="32"/>
        <v/>
      </c>
      <c r="L1029" s="110" t="str">
        <f t="shared" si="33"/>
        <v/>
      </c>
    </row>
    <row r="1030" spans="8:12" ht="14.25" customHeight="1" x14ac:dyDescent="0.2">
      <c r="H1030" s="19" t="s">
        <v>1979</v>
      </c>
      <c r="J1030" s="110" t="str">
        <f t="shared" si="32"/>
        <v/>
      </c>
      <c r="L1030" s="110" t="str">
        <f t="shared" si="33"/>
        <v/>
      </c>
    </row>
    <row r="1031" spans="8:12" ht="14.25" customHeight="1" x14ac:dyDescent="0.2">
      <c r="H1031" s="19" t="s">
        <v>1979</v>
      </c>
      <c r="J1031" s="110" t="str">
        <f t="shared" si="32"/>
        <v/>
      </c>
      <c r="L1031" s="110" t="str">
        <f t="shared" si="33"/>
        <v/>
      </c>
    </row>
    <row r="1032" spans="8:12" ht="14.25" customHeight="1" x14ac:dyDescent="0.2">
      <c r="H1032" s="19" t="s">
        <v>1979</v>
      </c>
      <c r="J1032" s="110" t="str">
        <f t="shared" si="32"/>
        <v/>
      </c>
      <c r="L1032" s="110" t="str">
        <f t="shared" si="33"/>
        <v/>
      </c>
    </row>
    <row r="1033" spans="8:12" ht="14.25" customHeight="1" x14ac:dyDescent="0.2">
      <c r="H1033" s="19" t="s">
        <v>1979</v>
      </c>
      <c r="J1033" s="110" t="str">
        <f t="shared" si="32"/>
        <v/>
      </c>
      <c r="L1033" s="110" t="str">
        <f t="shared" si="33"/>
        <v/>
      </c>
    </row>
    <row r="1034" spans="8:12" ht="14.25" customHeight="1" x14ac:dyDescent="0.2">
      <c r="H1034" s="19" t="s">
        <v>1979</v>
      </c>
      <c r="J1034" s="110" t="str">
        <f t="shared" si="32"/>
        <v/>
      </c>
      <c r="L1034" s="110" t="str">
        <f t="shared" si="33"/>
        <v/>
      </c>
    </row>
    <row r="1035" spans="8:12" ht="14.25" customHeight="1" x14ac:dyDescent="0.2">
      <c r="H1035" s="19" t="s">
        <v>1979</v>
      </c>
      <c r="J1035" s="110" t="str">
        <f t="shared" si="32"/>
        <v/>
      </c>
      <c r="L1035" s="110" t="str">
        <f t="shared" si="33"/>
        <v/>
      </c>
    </row>
    <row r="1036" spans="8:12" ht="14.25" customHeight="1" x14ac:dyDescent="0.2">
      <c r="H1036" s="19" t="s">
        <v>1979</v>
      </c>
      <c r="J1036" s="110" t="str">
        <f t="shared" si="32"/>
        <v/>
      </c>
      <c r="L1036" s="110" t="str">
        <f t="shared" si="33"/>
        <v/>
      </c>
    </row>
    <row r="1037" spans="8:12" ht="14.25" customHeight="1" x14ac:dyDescent="0.2">
      <c r="H1037" s="19" t="s">
        <v>1979</v>
      </c>
      <c r="J1037" s="110" t="str">
        <f t="shared" si="32"/>
        <v/>
      </c>
      <c r="L1037" s="110" t="str">
        <f t="shared" si="33"/>
        <v/>
      </c>
    </row>
    <row r="1038" spans="8:12" ht="14.25" customHeight="1" x14ac:dyDescent="0.2">
      <c r="H1038" s="19" t="s">
        <v>1979</v>
      </c>
      <c r="J1038" s="110" t="str">
        <f t="shared" si="32"/>
        <v/>
      </c>
      <c r="L1038" s="110" t="str">
        <f t="shared" si="33"/>
        <v/>
      </c>
    </row>
    <row r="1039" spans="8:12" ht="14.25" customHeight="1" x14ac:dyDescent="0.2">
      <c r="H1039" s="19" t="s">
        <v>1979</v>
      </c>
      <c r="J1039" s="110" t="str">
        <f t="shared" si="32"/>
        <v/>
      </c>
      <c r="L1039" s="110" t="str">
        <f t="shared" si="33"/>
        <v/>
      </c>
    </row>
    <row r="1040" spans="8:12" ht="14.25" customHeight="1" x14ac:dyDescent="0.2">
      <c r="H1040" s="19" t="s">
        <v>1979</v>
      </c>
      <c r="J1040" s="110" t="str">
        <f t="shared" si="32"/>
        <v/>
      </c>
      <c r="L1040" s="110" t="str">
        <f t="shared" si="33"/>
        <v/>
      </c>
    </row>
    <row r="1041" spans="8:12" ht="14.25" customHeight="1" x14ac:dyDescent="0.2">
      <c r="H1041" s="19" t="s">
        <v>1979</v>
      </c>
      <c r="J1041" s="110" t="str">
        <f t="shared" si="32"/>
        <v/>
      </c>
      <c r="L1041" s="110" t="str">
        <f t="shared" si="33"/>
        <v/>
      </c>
    </row>
    <row r="1042" spans="8:12" ht="14.25" customHeight="1" x14ac:dyDescent="0.2">
      <c r="H1042" s="19" t="s">
        <v>1979</v>
      </c>
      <c r="J1042" s="110" t="str">
        <f t="shared" si="32"/>
        <v/>
      </c>
      <c r="L1042" s="110" t="str">
        <f t="shared" si="33"/>
        <v/>
      </c>
    </row>
    <row r="1043" spans="8:12" ht="14.25" customHeight="1" x14ac:dyDescent="0.2">
      <c r="H1043" s="19" t="s">
        <v>1979</v>
      </c>
      <c r="J1043" s="110" t="str">
        <f t="shared" si="32"/>
        <v/>
      </c>
      <c r="L1043" s="110" t="str">
        <f t="shared" si="33"/>
        <v/>
      </c>
    </row>
    <row r="1044" spans="8:12" ht="14.25" customHeight="1" x14ac:dyDescent="0.2">
      <c r="H1044" s="19" t="s">
        <v>1979</v>
      </c>
      <c r="J1044" s="110" t="str">
        <f t="shared" si="32"/>
        <v/>
      </c>
      <c r="L1044" s="110" t="str">
        <f t="shared" si="33"/>
        <v/>
      </c>
    </row>
    <row r="1045" spans="8:12" ht="14.25" customHeight="1" x14ac:dyDescent="0.2">
      <c r="H1045" s="19" t="s">
        <v>1979</v>
      </c>
      <c r="J1045" s="110" t="str">
        <f t="shared" si="32"/>
        <v/>
      </c>
      <c r="L1045" s="110" t="str">
        <f t="shared" si="33"/>
        <v/>
      </c>
    </row>
    <row r="1046" spans="8:12" ht="14.25" customHeight="1" x14ac:dyDescent="0.2">
      <c r="H1046" s="19" t="s">
        <v>1979</v>
      </c>
      <c r="J1046" s="110" t="str">
        <f t="shared" si="32"/>
        <v/>
      </c>
      <c r="L1046" s="110" t="str">
        <f t="shared" si="33"/>
        <v/>
      </c>
    </row>
    <row r="1047" spans="8:12" ht="14.25" customHeight="1" x14ac:dyDescent="0.2">
      <c r="H1047" s="19" t="s">
        <v>1979</v>
      </c>
      <c r="J1047" s="110" t="str">
        <f t="shared" si="32"/>
        <v/>
      </c>
      <c r="L1047" s="110" t="str">
        <f t="shared" si="33"/>
        <v/>
      </c>
    </row>
    <row r="1048" spans="8:12" ht="14.25" customHeight="1" x14ac:dyDescent="0.2">
      <c r="H1048" s="19" t="s">
        <v>1979</v>
      </c>
      <c r="J1048" s="110" t="str">
        <f t="shared" si="32"/>
        <v/>
      </c>
      <c r="L1048" s="110" t="str">
        <f t="shared" si="33"/>
        <v/>
      </c>
    </row>
    <row r="1049" spans="8:12" ht="14.25" customHeight="1" x14ac:dyDescent="0.2">
      <c r="H1049" s="19" t="s">
        <v>1979</v>
      </c>
      <c r="J1049" s="110" t="str">
        <f t="shared" si="32"/>
        <v/>
      </c>
      <c r="L1049" s="110" t="str">
        <f t="shared" si="33"/>
        <v/>
      </c>
    </row>
    <row r="1050" spans="8:12" ht="14.25" customHeight="1" x14ac:dyDescent="0.2">
      <c r="H1050" s="19" t="s">
        <v>1979</v>
      </c>
      <c r="J1050" s="110" t="str">
        <f t="shared" si="32"/>
        <v/>
      </c>
      <c r="L1050" s="110" t="str">
        <f t="shared" si="33"/>
        <v/>
      </c>
    </row>
    <row r="1051" spans="8:12" ht="14.25" customHeight="1" x14ac:dyDescent="0.2">
      <c r="H1051" s="19" t="s">
        <v>1979</v>
      </c>
      <c r="J1051" s="110" t="str">
        <f t="shared" si="32"/>
        <v/>
      </c>
      <c r="L1051" s="110" t="str">
        <f t="shared" si="33"/>
        <v/>
      </c>
    </row>
    <row r="1052" spans="8:12" ht="14.25" customHeight="1" x14ac:dyDescent="0.2">
      <c r="H1052" s="19" t="s">
        <v>1979</v>
      </c>
      <c r="J1052" s="110" t="str">
        <f t="shared" si="32"/>
        <v/>
      </c>
      <c r="L1052" s="110" t="str">
        <f t="shared" si="33"/>
        <v/>
      </c>
    </row>
    <row r="1053" spans="8:12" ht="14.25" customHeight="1" x14ac:dyDescent="0.2">
      <c r="H1053" s="19" t="s">
        <v>1979</v>
      </c>
      <c r="J1053" s="110" t="str">
        <f t="shared" si="32"/>
        <v/>
      </c>
      <c r="L1053" s="110" t="str">
        <f t="shared" si="33"/>
        <v/>
      </c>
    </row>
    <row r="1054" spans="8:12" ht="14.25" customHeight="1" x14ac:dyDescent="0.2">
      <c r="H1054" s="19" t="s">
        <v>1979</v>
      </c>
      <c r="J1054" s="110" t="str">
        <f t="shared" si="32"/>
        <v/>
      </c>
      <c r="L1054" s="110" t="str">
        <f t="shared" si="33"/>
        <v/>
      </c>
    </row>
    <row r="1055" spans="8:12" ht="14.25" customHeight="1" x14ac:dyDescent="0.2">
      <c r="H1055" s="19" t="s">
        <v>1979</v>
      </c>
      <c r="J1055" s="110" t="str">
        <f t="shared" si="32"/>
        <v/>
      </c>
      <c r="L1055" s="110" t="str">
        <f t="shared" si="33"/>
        <v/>
      </c>
    </row>
    <row r="1056" spans="8:12" ht="14.25" customHeight="1" x14ac:dyDescent="0.2">
      <c r="H1056" s="19" t="s">
        <v>1979</v>
      </c>
      <c r="J1056" s="110" t="str">
        <f t="shared" si="32"/>
        <v/>
      </c>
      <c r="L1056" s="110" t="str">
        <f t="shared" si="33"/>
        <v/>
      </c>
    </row>
    <row r="1057" spans="8:12" ht="14.25" customHeight="1" x14ac:dyDescent="0.2">
      <c r="H1057" s="19" t="s">
        <v>1979</v>
      </c>
      <c r="J1057" s="110" t="str">
        <f t="shared" si="32"/>
        <v/>
      </c>
      <c r="L1057" s="110" t="str">
        <f t="shared" si="33"/>
        <v/>
      </c>
    </row>
    <row r="1058" spans="8:12" ht="14.25" customHeight="1" x14ac:dyDescent="0.2">
      <c r="H1058" s="19" t="s">
        <v>1979</v>
      </c>
      <c r="J1058" s="110" t="str">
        <f t="shared" si="32"/>
        <v/>
      </c>
      <c r="L1058" s="110" t="str">
        <f t="shared" si="33"/>
        <v/>
      </c>
    </row>
    <row r="1059" spans="8:12" ht="14.25" customHeight="1" x14ac:dyDescent="0.2">
      <c r="H1059" s="19" t="s">
        <v>1979</v>
      </c>
      <c r="J1059" s="110" t="str">
        <f t="shared" si="32"/>
        <v/>
      </c>
      <c r="L1059" s="110" t="str">
        <f t="shared" si="33"/>
        <v/>
      </c>
    </row>
    <row r="1060" spans="8:12" ht="14.25" customHeight="1" x14ac:dyDescent="0.2">
      <c r="H1060" s="19" t="s">
        <v>1979</v>
      </c>
      <c r="J1060" s="110" t="str">
        <f t="shared" si="32"/>
        <v/>
      </c>
      <c r="L1060" s="110" t="str">
        <f t="shared" si="33"/>
        <v/>
      </c>
    </row>
    <row r="1061" spans="8:12" ht="14.25" customHeight="1" x14ac:dyDescent="0.2">
      <c r="H1061" s="19" t="s">
        <v>1979</v>
      </c>
      <c r="J1061" s="110" t="str">
        <f t="shared" si="32"/>
        <v/>
      </c>
      <c r="L1061" s="110" t="str">
        <f t="shared" si="33"/>
        <v/>
      </c>
    </row>
    <row r="1062" spans="8:12" ht="14.25" customHeight="1" x14ac:dyDescent="0.2">
      <c r="H1062" s="19" t="s">
        <v>1979</v>
      </c>
      <c r="J1062" s="110" t="str">
        <f t="shared" si="32"/>
        <v/>
      </c>
      <c r="L1062" s="110" t="str">
        <f t="shared" si="33"/>
        <v/>
      </c>
    </row>
    <row r="1063" spans="8:12" ht="14.25" customHeight="1" x14ac:dyDescent="0.2">
      <c r="H1063" s="19" t="s">
        <v>1979</v>
      </c>
      <c r="J1063" s="110" t="str">
        <f t="shared" si="32"/>
        <v/>
      </c>
      <c r="L1063" s="110" t="str">
        <f t="shared" si="33"/>
        <v/>
      </c>
    </row>
    <row r="1064" spans="8:12" ht="14.25" customHeight="1" x14ac:dyDescent="0.2">
      <c r="H1064" s="19" t="s">
        <v>1979</v>
      </c>
      <c r="J1064" s="110" t="str">
        <f t="shared" si="32"/>
        <v/>
      </c>
      <c r="L1064" s="110" t="str">
        <f t="shared" si="33"/>
        <v/>
      </c>
    </row>
    <row r="1065" spans="8:12" ht="14.25" customHeight="1" x14ac:dyDescent="0.2">
      <c r="H1065" s="19" t="s">
        <v>1979</v>
      </c>
      <c r="J1065" s="110" t="str">
        <f t="shared" si="32"/>
        <v/>
      </c>
      <c r="L1065" s="110" t="str">
        <f t="shared" si="33"/>
        <v/>
      </c>
    </row>
    <row r="1066" spans="8:12" ht="14.25" customHeight="1" x14ac:dyDescent="0.2">
      <c r="H1066" s="19" t="s">
        <v>1979</v>
      </c>
      <c r="J1066" s="110" t="str">
        <f t="shared" si="32"/>
        <v/>
      </c>
      <c r="L1066" s="110" t="str">
        <f t="shared" si="33"/>
        <v/>
      </c>
    </row>
    <row r="1067" spans="8:12" ht="14.25" customHeight="1" x14ac:dyDescent="0.2">
      <c r="H1067" s="19" t="s">
        <v>1979</v>
      </c>
      <c r="J1067" s="110" t="str">
        <f t="shared" si="32"/>
        <v/>
      </c>
      <c r="L1067" s="110" t="str">
        <f t="shared" si="33"/>
        <v/>
      </c>
    </row>
    <row r="1068" spans="8:12" ht="14.25" customHeight="1" x14ac:dyDescent="0.2">
      <c r="H1068" s="19" t="s">
        <v>1979</v>
      </c>
      <c r="J1068" s="110" t="str">
        <f t="shared" si="32"/>
        <v/>
      </c>
      <c r="L1068" s="110" t="str">
        <f t="shared" si="33"/>
        <v/>
      </c>
    </row>
    <row r="1069" spans="8:12" ht="14.25" customHeight="1" x14ac:dyDescent="0.2">
      <c r="H1069" s="19" t="s">
        <v>1979</v>
      </c>
      <c r="J1069" s="110" t="str">
        <f t="shared" si="32"/>
        <v/>
      </c>
      <c r="L1069" s="110" t="str">
        <f t="shared" si="33"/>
        <v/>
      </c>
    </row>
    <row r="1070" spans="8:12" ht="14.25" customHeight="1" x14ac:dyDescent="0.2">
      <c r="H1070" s="19" t="s">
        <v>1979</v>
      </c>
      <c r="J1070" s="110" t="str">
        <f t="shared" si="32"/>
        <v/>
      </c>
      <c r="L1070" s="110" t="str">
        <f t="shared" si="33"/>
        <v/>
      </c>
    </row>
    <row r="1071" spans="8:12" ht="14.25" customHeight="1" x14ac:dyDescent="0.2">
      <c r="H1071" s="19" t="s">
        <v>1979</v>
      </c>
      <c r="J1071" s="110" t="str">
        <f t="shared" si="32"/>
        <v/>
      </c>
      <c r="L1071" s="110" t="str">
        <f t="shared" si="33"/>
        <v/>
      </c>
    </row>
    <row r="1072" spans="8:12" ht="14.25" customHeight="1" x14ac:dyDescent="0.2">
      <c r="H1072" s="19" t="s">
        <v>1979</v>
      </c>
      <c r="J1072" s="110" t="str">
        <f t="shared" si="32"/>
        <v/>
      </c>
      <c r="L1072" s="110" t="str">
        <f t="shared" si="33"/>
        <v/>
      </c>
    </row>
    <row r="1073" spans="8:12" ht="14.25" customHeight="1" x14ac:dyDescent="0.2">
      <c r="H1073" s="19" t="s">
        <v>1979</v>
      </c>
      <c r="J1073" s="110" t="str">
        <f t="shared" si="32"/>
        <v/>
      </c>
      <c r="L1073" s="110" t="str">
        <f t="shared" si="33"/>
        <v/>
      </c>
    </row>
    <row r="1074" spans="8:12" ht="14.25" customHeight="1" x14ac:dyDescent="0.2">
      <c r="H1074" s="19" t="s">
        <v>1979</v>
      </c>
      <c r="J1074" s="110" t="str">
        <f t="shared" si="32"/>
        <v/>
      </c>
      <c r="L1074" s="110" t="str">
        <f t="shared" si="33"/>
        <v/>
      </c>
    </row>
    <row r="1075" spans="8:12" ht="14.25" customHeight="1" x14ac:dyDescent="0.2">
      <c r="H1075" s="19" t="s">
        <v>1979</v>
      </c>
      <c r="J1075" s="110" t="str">
        <f t="shared" si="32"/>
        <v/>
      </c>
      <c r="L1075" s="110" t="str">
        <f t="shared" si="33"/>
        <v/>
      </c>
    </row>
    <row r="1076" spans="8:12" ht="14.25" customHeight="1" x14ac:dyDescent="0.2">
      <c r="H1076" s="19" t="s">
        <v>1979</v>
      </c>
      <c r="J1076" s="110" t="str">
        <f t="shared" si="32"/>
        <v/>
      </c>
      <c r="L1076" s="110" t="str">
        <f t="shared" si="33"/>
        <v/>
      </c>
    </row>
    <row r="1077" spans="8:12" ht="14.25" customHeight="1" x14ac:dyDescent="0.2">
      <c r="H1077" s="19" t="s">
        <v>1979</v>
      </c>
      <c r="J1077" s="110" t="str">
        <f t="shared" si="32"/>
        <v/>
      </c>
      <c r="L1077" s="110" t="str">
        <f t="shared" si="33"/>
        <v/>
      </c>
    </row>
    <row r="1078" spans="8:12" ht="14.25" customHeight="1" x14ac:dyDescent="0.2">
      <c r="H1078" s="19" t="s">
        <v>1979</v>
      </c>
      <c r="J1078" s="110" t="str">
        <f t="shared" si="32"/>
        <v/>
      </c>
      <c r="L1078" s="110" t="str">
        <f t="shared" si="33"/>
        <v/>
      </c>
    </row>
    <row r="1079" spans="8:12" ht="14.25" customHeight="1" x14ac:dyDescent="0.2">
      <c r="H1079" s="19" t="s">
        <v>1979</v>
      </c>
      <c r="J1079" s="110" t="str">
        <f t="shared" si="32"/>
        <v/>
      </c>
      <c r="L1079" s="110" t="str">
        <f t="shared" si="33"/>
        <v/>
      </c>
    </row>
    <row r="1080" spans="8:12" ht="14.25" customHeight="1" x14ac:dyDescent="0.2">
      <c r="H1080" s="19" t="s">
        <v>1979</v>
      </c>
      <c r="J1080" s="110" t="str">
        <f t="shared" si="32"/>
        <v/>
      </c>
      <c r="L1080" s="110" t="str">
        <f t="shared" si="33"/>
        <v/>
      </c>
    </row>
    <row r="1081" spans="8:12" ht="14.25" customHeight="1" x14ac:dyDescent="0.2">
      <c r="H1081" s="19" t="s">
        <v>1979</v>
      </c>
      <c r="J1081" s="110" t="str">
        <f t="shared" si="32"/>
        <v/>
      </c>
      <c r="L1081" s="110" t="str">
        <f t="shared" si="33"/>
        <v/>
      </c>
    </row>
    <row r="1082" spans="8:12" ht="14.25" customHeight="1" x14ac:dyDescent="0.2">
      <c r="H1082" s="19" t="s">
        <v>1979</v>
      </c>
      <c r="J1082" s="110" t="str">
        <f t="shared" si="32"/>
        <v/>
      </c>
      <c r="L1082" s="110" t="str">
        <f t="shared" si="33"/>
        <v/>
      </c>
    </row>
    <row r="1083" spans="8:12" ht="14.25" customHeight="1" x14ac:dyDescent="0.2">
      <c r="H1083" s="19" t="s">
        <v>1979</v>
      </c>
      <c r="J1083" s="110" t="str">
        <f t="shared" si="32"/>
        <v/>
      </c>
      <c r="L1083" s="110" t="str">
        <f t="shared" si="33"/>
        <v/>
      </c>
    </row>
    <row r="1084" spans="8:12" ht="14.25" customHeight="1" x14ac:dyDescent="0.2">
      <c r="H1084" s="19" t="s">
        <v>1979</v>
      </c>
      <c r="J1084" s="110" t="str">
        <f t="shared" si="32"/>
        <v/>
      </c>
      <c r="L1084" s="110" t="str">
        <f t="shared" si="33"/>
        <v/>
      </c>
    </row>
    <row r="1085" spans="8:12" ht="14.25" customHeight="1" x14ac:dyDescent="0.2">
      <c r="H1085" s="19" t="s">
        <v>1979</v>
      </c>
      <c r="J1085" s="110" t="str">
        <f t="shared" si="32"/>
        <v/>
      </c>
      <c r="L1085" s="110" t="str">
        <f t="shared" si="33"/>
        <v/>
      </c>
    </row>
    <row r="1086" spans="8:12" ht="14.25" customHeight="1" x14ac:dyDescent="0.2">
      <c r="H1086" s="19" t="s">
        <v>1979</v>
      </c>
      <c r="J1086" s="110" t="str">
        <f t="shared" si="32"/>
        <v/>
      </c>
      <c r="L1086" s="110" t="str">
        <f t="shared" si="33"/>
        <v/>
      </c>
    </row>
    <row r="1087" spans="8:12" ht="14.25" customHeight="1" x14ac:dyDescent="0.2">
      <c r="H1087" s="19" t="s">
        <v>1979</v>
      </c>
      <c r="J1087" s="110" t="str">
        <f t="shared" si="32"/>
        <v/>
      </c>
      <c r="L1087" s="110" t="str">
        <f t="shared" si="33"/>
        <v/>
      </c>
    </row>
    <row r="1088" spans="8:12" ht="14.25" customHeight="1" x14ac:dyDescent="0.2">
      <c r="H1088" s="19" t="s">
        <v>1979</v>
      </c>
      <c r="J1088" s="110" t="str">
        <f t="shared" si="32"/>
        <v/>
      </c>
      <c r="L1088" s="110" t="str">
        <f t="shared" si="33"/>
        <v/>
      </c>
    </row>
    <row r="1089" spans="8:12" ht="14.25" customHeight="1" x14ac:dyDescent="0.2">
      <c r="H1089" s="19" t="s">
        <v>1979</v>
      </c>
      <c r="J1089" s="110" t="str">
        <f t="shared" si="32"/>
        <v/>
      </c>
      <c r="L1089" s="110" t="str">
        <f t="shared" si="33"/>
        <v/>
      </c>
    </row>
    <row r="1090" spans="8:12" ht="14.25" customHeight="1" x14ac:dyDescent="0.2">
      <c r="H1090" s="19" t="s">
        <v>1979</v>
      </c>
      <c r="J1090" s="110" t="str">
        <f t="shared" si="32"/>
        <v/>
      </c>
      <c r="L1090" s="110" t="str">
        <f t="shared" si="33"/>
        <v/>
      </c>
    </row>
    <row r="1091" spans="8:12" ht="14.25" customHeight="1" x14ac:dyDescent="0.2">
      <c r="H1091" s="19" t="s">
        <v>1979</v>
      </c>
      <c r="J1091" s="110" t="str">
        <f t="shared" ref="J1091:J1154" si="34">IF(K1091="","", K1091/PI())</f>
        <v/>
      </c>
      <c r="L1091" s="110" t="str">
        <f t="shared" ref="L1091:L1154" si="35">IF(OR(P1091="", N1091="", O1091=""), "", TAN(P1091*PI()/180)*N1091 +O1091)</f>
        <v/>
      </c>
    </row>
    <row r="1092" spans="8:12" ht="14.25" customHeight="1" x14ac:dyDescent="0.2">
      <c r="H1092" s="19" t="s">
        <v>1979</v>
      </c>
      <c r="J1092" s="110" t="str">
        <f t="shared" si="34"/>
        <v/>
      </c>
      <c r="L1092" s="110" t="str">
        <f t="shared" si="35"/>
        <v/>
      </c>
    </row>
    <row r="1093" spans="8:12" ht="14.25" customHeight="1" x14ac:dyDescent="0.2">
      <c r="H1093" s="19" t="s">
        <v>1979</v>
      </c>
      <c r="J1093" s="110" t="str">
        <f t="shared" si="34"/>
        <v/>
      </c>
      <c r="L1093" s="110" t="str">
        <f t="shared" si="35"/>
        <v/>
      </c>
    </row>
    <row r="1094" spans="8:12" ht="14.25" customHeight="1" x14ac:dyDescent="0.2">
      <c r="H1094" s="19" t="s">
        <v>1979</v>
      </c>
      <c r="J1094" s="110" t="str">
        <f t="shared" si="34"/>
        <v/>
      </c>
      <c r="L1094" s="110" t="str">
        <f t="shared" si="35"/>
        <v/>
      </c>
    </row>
    <row r="1095" spans="8:12" ht="14.25" customHeight="1" x14ac:dyDescent="0.2">
      <c r="H1095" s="19" t="s">
        <v>1979</v>
      </c>
      <c r="J1095" s="110" t="str">
        <f t="shared" si="34"/>
        <v/>
      </c>
      <c r="L1095" s="110" t="str">
        <f t="shared" si="35"/>
        <v/>
      </c>
    </row>
    <row r="1096" spans="8:12" ht="14.25" customHeight="1" x14ac:dyDescent="0.2">
      <c r="H1096" s="19" t="s">
        <v>1979</v>
      </c>
      <c r="J1096" s="110" t="str">
        <f t="shared" si="34"/>
        <v/>
      </c>
      <c r="L1096" s="110" t="str">
        <f t="shared" si="35"/>
        <v/>
      </c>
    </row>
    <row r="1097" spans="8:12" ht="14.25" customHeight="1" x14ac:dyDescent="0.2">
      <c r="H1097" s="19" t="s">
        <v>1979</v>
      </c>
      <c r="J1097" s="110" t="str">
        <f t="shared" si="34"/>
        <v/>
      </c>
      <c r="L1097" s="110" t="str">
        <f t="shared" si="35"/>
        <v/>
      </c>
    </row>
    <row r="1098" spans="8:12" ht="14.25" customHeight="1" x14ac:dyDescent="0.2">
      <c r="H1098" s="19" t="s">
        <v>1979</v>
      </c>
      <c r="J1098" s="110" t="str">
        <f t="shared" si="34"/>
        <v/>
      </c>
      <c r="L1098" s="110" t="str">
        <f t="shared" si="35"/>
        <v/>
      </c>
    </row>
    <row r="1099" spans="8:12" ht="14.25" customHeight="1" x14ac:dyDescent="0.2">
      <c r="H1099" s="19" t="s">
        <v>1979</v>
      </c>
      <c r="J1099" s="110" t="str">
        <f t="shared" si="34"/>
        <v/>
      </c>
      <c r="L1099" s="110" t="str">
        <f t="shared" si="35"/>
        <v/>
      </c>
    </row>
    <row r="1100" spans="8:12" ht="14.25" customHeight="1" x14ac:dyDescent="0.2">
      <c r="H1100" s="19" t="s">
        <v>1979</v>
      </c>
      <c r="J1100" s="110" t="str">
        <f t="shared" si="34"/>
        <v/>
      </c>
      <c r="L1100" s="110" t="str">
        <f t="shared" si="35"/>
        <v/>
      </c>
    </row>
    <row r="1101" spans="8:12" ht="14.25" customHeight="1" x14ac:dyDescent="0.2">
      <c r="H1101" s="19" t="s">
        <v>1979</v>
      </c>
      <c r="J1101" s="110" t="str">
        <f t="shared" si="34"/>
        <v/>
      </c>
      <c r="L1101" s="110" t="str">
        <f t="shared" si="35"/>
        <v/>
      </c>
    </row>
    <row r="1102" spans="8:12" ht="14.25" customHeight="1" x14ac:dyDescent="0.2">
      <c r="H1102" s="19" t="s">
        <v>1979</v>
      </c>
      <c r="J1102" s="110" t="str">
        <f t="shared" si="34"/>
        <v/>
      </c>
      <c r="L1102" s="110" t="str">
        <f t="shared" si="35"/>
        <v/>
      </c>
    </row>
    <row r="1103" spans="8:12" ht="14.25" customHeight="1" x14ac:dyDescent="0.2">
      <c r="H1103" s="19" t="s">
        <v>1979</v>
      </c>
      <c r="J1103" s="110" t="str">
        <f t="shared" si="34"/>
        <v/>
      </c>
      <c r="L1103" s="110" t="str">
        <f t="shared" si="35"/>
        <v/>
      </c>
    </row>
    <row r="1104" spans="8:12" ht="14.25" customHeight="1" x14ac:dyDescent="0.2">
      <c r="H1104" s="19" t="s">
        <v>1979</v>
      </c>
      <c r="J1104" s="110" t="str">
        <f t="shared" si="34"/>
        <v/>
      </c>
      <c r="L1104" s="110" t="str">
        <f t="shared" si="35"/>
        <v/>
      </c>
    </row>
    <row r="1105" spans="8:12" ht="14.25" customHeight="1" x14ac:dyDescent="0.2">
      <c r="H1105" s="19" t="s">
        <v>1979</v>
      </c>
      <c r="J1105" s="110" t="str">
        <f t="shared" si="34"/>
        <v/>
      </c>
      <c r="L1105" s="110" t="str">
        <f t="shared" si="35"/>
        <v/>
      </c>
    </row>
    <row r="1106" spans="8:12" ht="14.25" customHeight="1" x14ac:dyDescent="0.2">
      <c r="H1106" s="19" t="s">
        <v>1979</v>
      </c>
      <c r="J1106" s="110" t="str">
        <f t="shared" si="34"/>
        <v/>
      </c>
      <c r="L1106" s="110" t="str">
        <f t="shared" si="35"/>
        <v/>
      </c>
    </row>
    <row r="1107" spans="8:12" ht="14.25" customHeight="1" x14ac:dyDescent="0.2">
      <c r="H1107" s="19" t="s">
        <v>1979</v>
      </c>
      <c r="J1107" s="110" t="str">
        <f t="shared" si="34"/>
        <v/>
      </c>
      <c r="L1107" s="110" t="str">
        <f t="shared" si="35"/>
        <v/>
      </c>
    </row>
    <row r="1108" spans="8:12" ht="14.25" customHeight="1" x14ac:dyDescent="0.2">
      <c r="H1108" s="19" t="s">
        <v>1979</v>
      </c>
      <c r="J1108" s="110" t="str">
        <f t="shared" si="34"/>
        <v/>
      </c>
      <c r="L1108" s="110" t="str">
        <f t="shared" si="35"/>
        <v/>
      </c>
    </row>
    <row r="1109" spans="8:12" ht="14.25" customHeight="1" x14ac:dyDescent="0.2">
      <c r="H1109" s="19" t="s">
        <v>1979</v>
      </c>
      <c r="J1109" s="110" t="str">
        <f t="shared" si="34"/>
        <v/>
      </c>
      <c r="L1109" s="110" t="str">
        <f t="shared" si="35"/>
        <v/>
      </c>
    </row>
    <row r="1110" spans="8:12" ht="14.25" customHeight="1" x14ac:dyDescent="0.2">
      <c r="H1110" s="19" t="s">
        <v>1979</v>
      </c>
      <c r="J1110" s="110" t="str">
        <f t="shared" si="34"/>
        <v/>
      </c>
      <c r="L1110" s="110" t="str">
        <f t="shared" si="35"/>
        <v/>
      </c>
    </row>
    <row r="1111" spans="8:12" ht="14.25" customHeight="1" x14ac:dyDescent="0.2">
      <c r="H1111" s="19" t="s">
        <v>1979</v>
      </c>
      <c r="J1111" s="110" t="str">
        <f t="shared" si="34"/>
        <v/>
      </c>
      <c r="L1111" s="110" t="str">
        <f t="shared" si="35"/>
        <v/>
      </c>
    </row>
    <row r="1112" spans="8:12" ht="14.25" customHeight="1" x14ac:dyDescent="0.2">
      <c r="H1112" s="19" t="s">
        <v>1979</v>
      </c>
      <c r="J1112" s="110" t="str">
        <f t="shared" si="34"/>
        <v/>
      </c>
      <c r="L1112" s="110" t="str">
        <f t="shared" si="35"/>
        <v/>
      </c>
    </row>
    <row r="1113" spans="8:12" ht="14.25" customHeight="1" x14ac:dyDescent="0.2">
      <c r="H1113" s="19" t="s">
        <v>1979</v>
      </c>
      <c r="J1113" s="110" t="str">
        <f t="shared" si="34"/>
        <v/>
      </c>
      <c r="L1113" s="110" t="str">
        <f t="shared" si="35"/>
        <v/>
      </c>
    </row>
    <row r="1114" spans="8:12" ht="14.25" customHeight="1" x14ac:dyDescent="0.2">
      <c r="H1114" s="19" t="s">
        <v>1979</v>
      </c>
      <c r="J1114" s="110" t="str">
        <f t="shared" si="34"/>
        <v/>
      </c>
      <c r="L1114" s="110" t="str">
        <f t="shared" si="35"/>
        <v/>
      </c>
    </row>
    <row r="1115" spans="8:12" ht="14.25" customHeight="1" x14ac:dyDescent="0.2">
      <c r="H1115" s="19" t="s">
        <v>1979</v>
      </c>
      <c r="J1115" s="110" t="str">
        <f t="shared" si="34"/>
        <v/>
      </c>
      <c r="L1115" s="110" t="str">
        <f t="shared" si="35"/>
        <v/>
      </c>
    </row>
    <row r="1116" spans="8:12" ht="14.25" customHeight="1" x14ac:dyDescent="0.2">
      <c r="H1116" s="19" t="s">
        <v>1979</v>
      </c>
      <c r="J1116" s="110" t="str">
        <f t="shared" si="34"/>
        <v/>
      </c>
      <c r="L1116" s="110" t="str">
        <f t="shared" si="35"/>
        <v/>
      </c>
    </row>
    <row r="1117" spans="8:12" ht="14.25" customHeight="1" x14ac:dyDescent="0.2">
      <c r="H1117" s="19" t="s">
        <v>1979</v>
      </c>
      <c r="J1117" s="110" t="str">
        <f t="shared" si="34"/>
        <v/>
      </c>
      <c r="L1117" s="110" t="str">
        <f t="shared" si="35"/>
        <v/>
      </c>
    </row>
    <row r="1118" spans="8:12" ht="14.25" customHeight="1" x14ac:dyDescent="0.2">
      <c r="H1118" s="19" t="s">
        <v>1979</v>
      </c>
      <c r="J1118" s="110" t="str">
        <f t="shared" si="34"/>
        <v/>
      </c>
      <c r="L1118" s="110" t="str">
        <f t="shared" si="35"/>
        <v/>
      </c>
    </row>
    <row r="1119" spans="8:12" ht="14.25" customHeight="1" x14ac:dyDescent="0.2">
      <c r="H1119" s="19" t="s">
        <v>1979</v>
      </c>
      <c r="J1119" s="110" t="str">
        <f t="shared" si="34"/>
        <v/>
      </c>
      <c r="L1119" s="110" t="str">
        <f t="shared" si="35"/>
        <v/>
      </c>
    </row>
    <row r="1120" spans="8:12" ht="14.25" customHeight="1" x14ac:dyDescent="0.2">
      <c r="H1120" s="19" t="s">
        <v>1979</v>
      </c>
      <c r="J1120" s="110" t="str">
        <f t="shared" si="34"/>
        <v/>
      </c>
      <c r="L1120" s="110" t="str">
        <f t="shared" si="35"/>
        <v/>
      </c>
    </row>
    <row r="1121" spans="8:12" ht="14.25" customHeight="1" x14ac:dyDescent="0.2">
      <c r="H1121" s="19" t="s">
        <v>1979</v>
      </c>
      <c r="J1121" s="110" t="str">
        <f t="shared" si="34"/>
        <v/>
      </c>
      <c r="L1121" s="110" t="str">
        <f t="shared" si="35"/>
        <v/>
      </c>
    </row>
    <row r="1122" spans="8:12" ht="14.25" customHeight="1" x14ac:dyDescent="0.2">
      <c r="H1122" s="19" t="s">
        <v>1979</v>
      </c>
      <c r="J1122" s="110" t="str">
        <f t="shared" si="34"/>
        <v/>
      </c>
      <c r="L1122" s="110" t="str">
        <f t="shared" si="35"/>
        <v/>
      </c>
    </row>
    <row r="1123" spans="8:12" ht="14.25" customHeight="1" x14ac:dyDescent="0.2">
      <c r="H1123" s="19" t="s">
        <v>1979</v>
      </c>
      <c r="J1123" s="110" t="str">
        <f t="shared" si="34"/>
        <v/>
      </c>
      <c r="L1123" s="110" t="str">
        <f t="shared" si="35"/>
        <v/>
      </c>
    </row>
    <row r="1124" spans="8:12" ht="14.25" customHeight="1" x14ac:dyDescent="0.2">
      <c r="H1124" s="19" t="s">
        <v>1979</v>
      </c>
      <c r="J1124" s="110" t="str">
        <f t="shared" si="34"/>
        <v/>
      </c>
      <c r="L1124" s="110" t="str">
        <f t="shared" si="35"/>
        <v/>
      </c>
    </row>
    <row r="1125" spans="8:12" ht="14.25" customHeight="1" x14ac:dyDescent="0.2">
      <c r="H1125" s="19" t="s">
        <v>1979</v>
      </c>
      <c r="J1125" s="110" t="str">
        <f t="shared" si="34"/>
        <v/>
      </c>
      <c r="L1125" s="110" t="str">
        <f t="shared" si="35"/>
        <v/>
      </c>
    </row>
    <row r="1126" spans="8:12" ht="14.25" customHeight="1" x14ac:dyDescent="0.2">
      <c r="H1126" s="19" t="s">
        <v>1979</v>
      </c>
      <c r="J1126" s="110" t="str">
        <f t="shared" si="34"/>
        <v/>
      </c>
      <c r="L1126" s="110" t="str">
        <f t="shared" si="35"/>
        <v/>
      </c>
    </row>
    <row r="1127" spans="8:12" ht="14.25" customHeight="1" x14ac:dyDescent="0.2">
      <c r="H1127" s="19" t="s">
        <v>1979</v>
      </c>
      <c r="J1127" s="110" t="str">
        <f t="shared" si="34"/>
        <v/>
      </c>
      <c r="L1127" s="110" t="str">
        <f t="shared" si="35"/>
        <v/>
      </c>
    </row>
    <row r="1128" spans="8:12" ht="14.25" customHeight="1" x14ac:dyDescent="0.2">
      <c r="H1128" s="19" t="s">
        <v>1979</v>
      </c>
      <c r="J1128" s="110" t="str">
        <f t="shared" si="34"/>
        <v/>
      </c>
      <c r="L1128" s="110" t="str">
        <f t="shared" si="35"/>
        <v/>
      </c>
    </row>
    <row r="1129" spans="8:12" ht="14.25" customHeight="1" x14ac:dyDescent="0.2">
      <c r="H1129" s="19" t="s">
        <v>1979</v>
      </c>
      <c r="J1129" s="110" t="str">
        <f t="shared" si="34"/>
        <v/>
      </c>
      <c r="L1129" s="110" t="str">
        <f t="shared" si="35"/>
        <v/>
      </c>
    </row>
    <row r="1130" spans="8:12" ht="14.25" customHeight="1" x14ac:dyDescent="0.2">
      <c r="H1130" s="19" t="s">
        <v>1979</v>
      </c>
      <c r="J1130" s="110" t="str">
        <f t="shared" si="34"/>
        <v/>
      </c>
      <c r="L1130" s="110" t="str">
        <f t="shared" si="35"/>
        <v/>
      </c>
    </row>
    <row r="1131" spans="8:12" ht="14.25" customHeight="1" x14ac:dyDescent="0.2">
      <c r="H1131" s="19" t="s">
        <v>1979</v>
      </c>
      <c r="J1131" s="110" t="str">
        <f t="shared" si="34"/>
        <v/>
      </c>
      <c r="L1131" s="110" t="str">
        <f t="shared" si="35"/>
        <v/>
      </c>
    </row>
    <row r="1132" spans="8:12" ht="14.25" customHeight="1" x14ac:dyDescent="0.2">
      <c r="H1132" s="19" t="s">
        <v>1979</v>
      </c>
      <c r="J1132" s="110" t="str">
        <f t="shared" si="34"/>
        <v/>
      </c>
      <c r="L1132" s="110" t="str">
        <f t="shared" si="35"/>
        <v/>
      </c>
    </row>
    <row r="1133" spans="8:12" ht="14.25" customHeight="1" x14ac:dyDescent="0.2">
      <c r="H1133" s="19" t="s">
        <v>1979</v>
      </c>
      <c r="J1133" s="110" t="str">
        <f t="shared" si="34"/>
        <v/>
      </c>
      <c r="L1133" s="110" t="str">
        <f t="shared" si="35"/>
        <v/>
      </c>
    </row>
    <row r="1134" spans="8:12" ht="14.25" customHeight="1" x14ac:dyDescent="0.2">
      <c r="H1134" s="19" t="s">
        <v>1979</v>
      </c>
      <c r="J1134" s="110" t="str">
        <f t="shared" si="34"/>
        <v/>
      </c>
      <c r="L1134" s="110" t="str">
        <f t="shared" si="35"/>
        <v/>
      </c>
    </row>
    <row r="1135" spans="8:12" ht="14.25" customHeight="1" x14ac:dyDescent="0.2">
      <c r="H1135" s="19" t="s">
        <v>1979</v>
      </c>
      <c r="J1135" s="110" t="str">
        <f t="shared" si="34"/>
        <v/>
      </c>
      <c r="L1135" s="110" t="str">
        <f t="shared" si="35"/>
        <v/>
      </c>
    </row>
    <row r="1136" spans="8:12" ht="14.25" customHeight="1" x14ac:dyDescent="0.2">
      <c r="H1136" s="19" t="s">
        <v>1979</v>
      </c>
      <c r="J1136" s="110" t="str">
        <f t="shared" si="34"/>
        <v/>
      </c>
      <c r="L1136" s="110" t="str">
        <f t="shared" si="35"/>
        <v/>
      </c>
    </row>
    <row r="1137" spans="8:12" ht="14.25" customHeight="1" x14ac:dyDescent="0.2">
      <c r="H1137" s="19" t="s">
        <v>1979</v>
      </c>
      <c r="J1137" s="110" t="str">
        <f t="shared" si="34"/>
        <v/>
      </c>
      <c r="L1137" s="110" t="str">
        <f t="shared" si="35"/>
        <v/>
      </c>
    </row>
    <row r="1138" spans="8:12" ht="14.25" customHeight="1" x14ac:dyDescent="0.2">
      <c r="H1138" s="19" t="s">
        <v>1979</v>
      </c>
      <c r="J1138" s="110" t="str">
        <f t="shared" si="34"/>
        <v/>
      </c>
      <c r="L1138" s="110" t="str">
        <f t="shared" si="35"/>
        <v/>
      </c>
    </row>
    <row r="1139" spans="8:12" ht="14.25" customHeight="1" x14ac:dyDescent="0.2">
      <c r="H1139" s="19" t="s">
        <v>1979</v>
      </c>
      <c r="J1139" s="110" t="str">
        <f t="shared" si="34"/>
        <v/>
      </c>
      <c r="L1139" s="110" t="str">
        <f t="shared" si="35"/>
        <v/>
      </c>
    </row>
    <row r="1140" spans="8:12" ht="14.25" customHeight="1" x14ac:dyDescent="0.2">
      <c r="H1140" s="19" t="s">
        <v>1979</v>
      </c>
      <c r="J1140" s="110" t="str">
        <f t="shared" si="34"/>
        <v/>
      </c>
      <c r="L1140" s="110" t="str">
        <f t="shared" si="35"/>
        <v/>
      </c>
    </row>
    <row r="1141" spans="8:12" ht="14.25" customHeight="1" x14ac:dyDescent="0.2">
      <c r="H1141" s="19" t="s">
        <v>1979</v>
      </c>
      <c r="J1141" s="110" t="str">
        <f t="shared" si="34"/>
        <v/>
      </c>
      <c r="L1141" s="110" t="str">
        <f t="shared" si="35"/>
        <v/>
      </c>
    </row>
    <row r="1142" spans="8:12" ht="14.25" customHeight="1" x14ac:dyDescent="0.2">
      <c r="H1142" s="19" t="s">
        <v>1979</v>
      </c>
      <c r="J1142" s="110" t="str">
        <f t="shared" si="34"/>
        <v/>
      </c>
      <c r="L1142" s="110" t="str">
        <f t="shared" si="35"/>
        <v/>
      </c>
    </row>
    <row r="1143" spans="8:12" ht="14.25" customHeight="1" x14ac:dyDescent="0.2">
      <c r="H1143" s="19" t="s">
        <v>1979</v>
      </c>
      <c r="J1143" s="110" t="str">
        <f t="shared" si="34"/>
        <v/>
      </c>
      <c r="L1143" s="110" t="str">
        <f t="shared" si="35"/>
        <v/>
      </c>
    </row>
    <row r="1144" spans="8:12" ht="14.25" customHeight="1" x14ac:dyDescent="0.2">
      <c r="H1144" s="19" t="s">
        <v>1979</v>
      </c>
      <c r="J1144" s="110" t="str">
        <f t="shared" si="34"/>
        <v/>
      </c>
      <c r="L1144" s="110" t="str">
        <f t="shared" si="35"/>
        <v/>
      </c>
    </row>
    <row r="1145" spans="8:12" ht="14.25" customHeight="1" x14ac:dyDescent="0.2">
      <c r="H1145" s="19" t="s">
        <v>1979</v>
      </c>
      <c r="J1145" s="110" t="str">
        <f t="shared" si="34"/>
        <v/>
      </c>
      <c r="L1145" s="110" t="str">
        <f t="shared" si="35"/>
        <v/>
      </c>
    </row>
    <row r="1146" spans="8:12" ht="14.25" customHeight="1" x14ac:dyDescent="0.2">
      <c r="H1146" s="19" t="s">
        <v>1979</v>
      </c>
      <c r="J1146" s="110" t="str">
        <f t="shared" si="34"/>
        <v/>
      </c>
      <c r="L1146" s="110" t="str">
        <f t="shared" si="35"/>
        <v/>
      </c>
    </row>
    <row r="1147" spans="8:12" ht="14.25" customHeight="1" x14ac:dyDescent="0.2">
      <c r="H1147" s="19" t="s">
        <v>1979</v>
      </c>
      <c r="J1147" s="110" t="str">
        <f t="shared" si="34"/>
        <v/>
      </c>
      <c r="L1147" s="110" t="str">
        <f t="shared" si="35"/>
        <v/>
      </c>
    </row>
    <row r="1148" spans="8:12" ht="14.25" customHeight="1" x14ac:dyDescent="0.2">
      <c r="H1148" s="19" t="s">
        <v>1979</v>
      </c>
      <c r="J1148" s="110" t="str">
        <f t="shared" si="34"/>
        <v/>
      </c>
      <c r="L1148" s="110" t="str">
        <f t="shared" si="35"/>
        <v/>
      </c>
    </row>
    <row r="1149" spans="8:12" ht="14.25" customHeight="1" x14ac:dyDescent="0.2">
      <c r="H1149" s="19" t="s">
        <v>1979</v>
      </c>
      <c r="J1149" s="110" t="str">
        <f t="shared" si="34"/>
        <v/>
      </c>
      <c r="L1149" s="110" t="str">
        <f t="shared" si="35"/>
        <v/>
      </c>
    </row>
    <row r="1150" spans="8:12" ht="14.25" customHeight="1" x14ac:dyDescent="0.2">
      <c r="H1150" s="19" t="s">
        <v>1979</v>
      </c>
      <c r="J1150" s="110" t="str">
        <f t="shared" si="34"/>
        <v/>
      </c>
      <c r="L1150" s="110" t="str">
        <f t="shared" si="35"/>
        <v/>
      </c>
    </row>
    <row r="1151" spans="8:12" ht="14.25" customHeight="1" x14ac:dyDescent="0.2">
      <c r="H1151" s="19" t="s">
        <v>1979</v>
      </c>
      <c r="J1151" s="110" t="str">
        <f t="shared" si="34"/>
        <v/>
      </c>
      <c r="L1151" s="110" t="str">
        <f t="shared" si="35"/>
        <v/>
      </c>
    </row>
    <row r="1152" spans="8:12" ht="14.25" customHeight="1" x14ac:dyDescent="0.2">
      <c r="H1152" s="19" t="s">
        <v>1979</v>
      </c>
      <c r="J1152" s="110" t="str">
        <f t="shared" si="34"/>
        <v/>
      </c>
      <c r="L1152" s="110" t="str">
        <f t="shared" si="35"/>
        <v/>
      </c>
    </row>
    <row r="1153" spans="8:12" ht="14.25" customHeight="1" x14ac:dyDescent="0.2">
      <c r="H1153" s="19" t="s">
        <v>1979</v>
      </c>
      <c r="J1153" s="110" t="str">
        <f t="shared" si="34"/>
        <v/>
      </c>
      <c r="L1153" s="110" t="str">
        <f t="shared" si="35"/>
        <v/>
      </c>
    </row>
    <row r="1154" spans="8:12" ht="14.25" customHeight="1" x14ac:dyDescent="0.2">
      <c r="H1154" s="19" t="s">
        <v>1979</v>
      </c>
      <c r="J1154" s="110" t="str">
        <f t="shared" si="34"/>
        <v/>
      </c>
      <c r="L1154" s="110" t="str">
        <f t="shared" si="35"/>
        <v/>
      </c>
    </row>
    <row r="1155" spans="8:12" ht="14.25" customHeight="1" x14ac:dyDescent="0.2">
      <c r="H1155" s="19" t="s">
        <v>1979</v>
      </c>
      <c r="J1155" s="110" t="str">
        <f t="shared" ref="J1155:J1218" si="36">IF(K1155="","", K1155/PI())</f>
        <v/>
      </c>
      <c r="L1155" s="110" t="str">
        <f t="shared" ref="L1155:L1218" si="37">IF(OR(P1155="", N1155="", O1155=""), "", TAN(P1155*PI()/180)*N1155 +O1155)</f>
        <v/>
      </c>
    </row>
    <row r="1156" spans="8:12" ht="14.25" customHeight="1" x14ac:dyDescent="0.2">
      <c r="H1156" s="19" t="s">
        <v>1979</v>
      </c>
      <c r="J1156" s="110" t="str">
        <f t="shared" si="36"/>
        <v/>
      </c>
      <c r="L1156" s="110" t="str">
        <f t="shared" si="37"/>
        <v/>
      </c>
    </row>
    <row r="1157" spans="8:12" ht="14.25" customHeight="1" x14ac:dyDescent="0.2">
      <c r="H1157" s="19" t="s">
        <v>1979</v>
      </c>
      <c r="J1157" s="110" t="str">
        <f t="shared" si="36"/>
        <v/>
      </c>
      <c r="L1157" s="110" t="str">
        <f t="shared" si="37"/>
        <v/>
      </c>
    </row>
    <row r="1158" spans="8:12" ht="14.25" customHeight="1" x14ac:dyDescent="0.2">
      <c r="H1158" s="19" t="s">
        <v>1979</v>
      </c>
      <c r="J1158" s="110" t="str">
        <f t="shared" si="36"/>
        <v/>
      </c>
      <c r="L1158" s="110" t="str">
        <f t="shared" si="37"/>
        <v/>
      </c>
    </row>
    <row r="1159" spans="8:12" ht="14.25" customHeight="1" x14ac:dyDescent="0.2">
      <c r="H1159" s="19" t="s">
        <v>1979</v>
      </c>
      <c r="J1159" s="110" t="str">
        <f t="shared" si="36"/>
        <v/>
      </c>
      <c r="L1159" s="110" t="str">
        <f t="shared" si="37"/>
        <v/>
      </c>
    </row>
    <row r="1160" spans="8:12" ht="14.25" customHeight="1" x14ac:dyDescent="0.2">
      <c r="H1160" s="19" t="s">
        <v>1979</v>
      </c>
      <c r="J1160" s="110" t="str">
        <f t="shared" si="36"/>
        <v/>
      </c>
      <c r="L1160" s="110" t="str">
        <f t="shared" si="37"/>
        <v/>
      </c>
    </row>
    <row r="1161" spans="8:12" ht="14.25" customHeight="1" x14ac:dyDescent="0.2">
      <c r="H1161" s="19" t="s">
        <v>1979</v>
      </c>
      <c r="J1161" s="110" t="str">
        <f t="shared" si="36"/>
        <v/>
      </c>
      <c r="L1161" s="110" t="str">
        <f t="shared" si="37"/>
        <v/>
      </c>
    </row>
    <row r="1162" spans="8:12" ht="14.25" customHeight="1" x14ac:dyDescent="0.2">
      <c r="H1162" s="19" t="s">
        <v>1979</v>
      </c>
      <c r="J1162" s="110" t="str">
        <f t="shared" si="36"/>
        <v/>
      </c>
      <c r="L1162" s="110" t="str">
        <f t="shared" si="37"/>
        <v/>
      </c>
    </row>
    <row r="1163" spans="8:12" ht="14.25" customHeight="1" x14ac:dyDescent="0.2">
      <c r="H1163" s="19" t="s">
        <v>1979</v>
      </c>
      <c r="J1163" s="110" t="str">
        <f t="shared" si="36"/>
        <v/>
      </c>
      <c r="L1163" s="110" t="str">
        <f t="shared" si="37"/>
        <v/>
      </c>
    </row>
    <row r="1164" spans="8:12" ht="14.25" customHeight="1" x14ac:dyDescent="0.2">
      <c r="H1164" s="19" t="s">
        <v>1979</v>
      </c>
      <c r="J1164" s="110" t="str">
        <f t="shared" si="36"/>
        <v/>
      </c>
      <c r="L1164" s="110" t="str">
        <f t="shared" si="37"/>
        <v/>
      </c>
    </row>
    <row r="1165" spans="8:12" ht="14.25" customHeight="1" x14ac:dyDescent="0.2">
      <c r="H1165" s="19" t="s">
        <v>1979</v>
      </c>
      <c r="J1165" s="110" t="str">
        <f t="shared" si="36"/>
        <v/>
      </c>
      <c r="L1165" s="110" t="str">
        <f t="shared" si="37"/>
        <v/>
      </c>
    </row>
    <row r="1166" spans="8:12" ht="14.25" customHeight="1" x14ac:dyDescent="0.2">
      <c r="H1166" s="19" t="s">
        <v>1979</v>
      </c>
      <c r="J1166" s="110" t="str">
        <f t="shared" si="36"/>
        <v/>
      </c>
      <c r="L1166" s="110" t="str">
        <f t="shared" si="37"/>
        <v/>
      </c>
    </row>
    <row r="1167" spans="8:12" ht="14.25" customHeight="1" x14ac:dyDescent="0.2">
      <c r="H1167" s="19" t="s">
        <v>1979</v>
      </c>
      <c r="J1167" s="110" t="str">
        <f t="shared" si="36"/>
        <v/>
      </c>
      <c r="L1167" s="110" t="str">
        <f t="shared" si="37"/>
        <v/>
      </c>
    </row>
    <row r="1168" spans="8:12" ht="14.25" customHeight="1" x14ac:dyDescent="0.2">
      <c r="H1168" s="19" t="s">
        <v>1979</v>
      </c>
      <c r="J1168" s="110" t="str">
        <f t="shared" si="36"/>
        <v/>
      </c>
      <c r="L1168" s="110" t="str">
        <f t="shared" si="37"/>
        <v/>
      </c>
    </row>
    <row r="1169" spans="8:12" ht="14.25" customHeight="1" x14ac:dyDescent="0.2">
      <c r="H1169" s="19" t="s">
        <v>1979</v>
      </c>
      <c r="J1169" s="110" t="str">
        <f t="shared" si="36"/>
        <v/>
      </c>
      <c r="L1169" s="110" t="str">
        <f t="shared" si="37"/>
        <v/>
      </c>
    </row>
    <row r="1170" spans="8:12" ht="14.25" customHeight="1" x14ac:dyDescent="0.2">
      <c r="H1170" s="19" t="s">
        <v>1979</v>
      </c>
      <c r="J1170" s="110" t="str">
        <f t="shared" si="36"/>
        <v/>
      </c>
      <c r="L1170" s="110" t="str">
        <f t="shared" si="37"/>
        <v/>
      </c>
    </row>
    <row r="1171" spans="8:12" ht="14.25" customHeight="1" x14ac:dyDescent="0.2">
      <c r="H1171" s="19" t="s">
        <v>1979</v>
      </c>
      <c r="J1171" s="110" t="str">
        <f t="shared" si="36"/>
        <v/>
      </c>
      <c r="L1171" s="110" t="str">
        <f t="shared" si="37"/>
        <v/>
      </c>
    </row>
    <row r="1172" spans="8:12" ht="14.25" customHeight="1" x14ac:dyDescent="0.2">
      <c r="H1172" s="19" t="s">
        <v>1979</v>
      </c>
      <c r="J1172" s="110" t="str">
        <f t="shared" si="36"/>
        <v/>
      </c>
      <c r="L1172" s="110" t="str">
        <f t="shared" si="37"/>
        <v/>
      </c>
    </row>
    <row r="1173" spans="8:12" ht="14.25" customHeight="1" x14ac:dyDescent="0.2">
      <c r="H1173" s="19" t="s">
        <v>1979</v>
      </c>
      <c r="J1173" s="110" t="str">
        <f t="shared" si="36"/>
        <v/>
      </c>
      <c r="L1173" s="110" t="str">
        <f t="shared" si="37"/>
        <v/>
      </c>
    </row>
    <row r="1174" spans="8:12" ht="14.25" customHeight="1" x14ac:dyDescent="0.2">
      <c r="H1174" s="19" t="s">
        <v>1979</v>
      </c>
      <c r="J1174" s="110" t="str">
        <f t="shared" si="36"/>
        <v/>
      </c>
      <c r="L1174" s="110" t="str">
        <f t="shared" si="37"/>
        <v/>
      </c>
    </row>
    <row r="1175" spans="8:12" ht="14.25" customHeight="1" x14ac:dyDescent="0.2">
      <c r="H1175" s="19" t="s">
        <v>1979</v>
      </c>
      <c r="J1175" s="110" t="str">
        <f t="shared" si="36"/>
        <v/>
      </c>
      <c r="L1175" s="110" t="str">
        <f t="shared" si="37"/>
        <v/>
      </c>
    </row>
    <row r="1176" spans="8:12" ht="14.25" customHeight="1" x14ac:dyDescent="0.2">
      <c r="H1176" s="19" t="s">
        <v>1979</v>
      </c>
      <c r="J1176" s="110" t="str">
        <f t="shared" si="36"/>
        <v/>
      </c>
      <c r="L1176" s="110" t="str">
        <f t="shared" si="37"/>
        <v/>
      </c>
    </row>
    <row r="1177" spans="8:12" ht="14.25" customHeight="1" x14ac:dyDescent="0.2">
      <c r="H1177" s="19" t="s">
        <v>1979</v>
      </c>
      <c r="J1177" s="110" t="str">
        <f t="shared" si="36"/>
        <v/>
      </c>
      <c r="L1177" s="110" t="str">
        <f t="shared" si="37"/>
        <v/>
      </c>
    </row>
    <row r="1178" spans="8:12" ht="14.25" customHeight="1" x14ac:dyDescent="0.2">
      <c r="H1178" s="19" t="s">
        <v>1979</v>
      </c>
      <c r="J1178" s="110" t="str">
        <f t="shared" si="36"/>
        <v/>
      </c>
      <c r="L1178" s="110" t="str">
        <f t="shared" si="37"/>
        <v/>
      </c>
    </row>
    <row r="1179" spans="8:12" ht="14.25" customHeight="1" x14ac:dyDescent="0.2">
      <c r="H1179" s="19" t="s">
        <v>1979</v>
      </c>
      <c r="J1179" s="110" t="str">
        <f t="shared" si="36"/>
        <v/>
      </c>
      <c r="L1179" s="110" t="str">
        <f t="shared" si="37"/>
        <v/>
      </c>
    </row>
    <row r="1180" spans="8:12" ht="14.25" customHeight="1" x14ac:dyDescent="0.2">
      <c r="H1180" s="19" t="s">
        <v>1979</v>
      </c>
      <c r="J1180" s="110" t="str">
        <f t="shared" si="36"/>
        <v/>
      </c>
      <c r="L1180" s="110" t="str">
        <f t="shared" si="37"/>
        <v/>
      </c>
    </row>
    <row r="1181" spans="8:12" ht="14.25" customHeight="1" x14ac:dyDescent="0.2">
      <c r="H1181" s="19" t="s">
        <v>1979</v>
      </c>
      <c r="J1181" s="110" t="str">
        <f t="shared" si="36"/>
        <v/>
      </c>
      <c r="L1181" s="110" t="str">
        <f t="shared" si="37"/>
        <v/>
      </c>
    </row>
    <row r="1182" spans="8:12" ht="14.25" customHeight="1" x14ac:dyDescent="0.2">
      <c r="H1182" s="19" t="s">
        <v>1979</v>
      </c>
      <c r="J1182" s="110" t="str">
        <f t="shared" si="36"/>
        <v/>
      </c>
      <c r="L1182" s="110" t="str">
        <f t="shared" si="37"/>
        <v/>
      </c>
    </row>
    <row r="1183" spans="8:12" ht="14.25" customHeight="1" x14ac:dyDescent="0.2">
      <c r="H1183" s="19" t="s">
        <v>1979</v>
      </c>
      <c r="J1183" s="110" t="str">
        <f t="shared" si="36"/>
        <v/>
      </c>
      <c r="L1183" s="110" t="str">
        <f t="shared" si="37"/>
        <v/>
      </c>
    </row>
    <row r="1184" spans="8:12" ht="14.25" customHeight="1" x14ac:dyDescent="0.2">
      <c r="H1184" s="19" t="s">
        <v>1979</v>
      </c>
      <c r="J1184" s="110" t="str">
        <f t="shared" si="36"/>
        <v/>
      </c>
      <c r="L1184" s="110" t="str">
        <f t="shared" si="37"/>
        <v/>
      </c>
    </row>
    <row r="1185" spans="8:12" ht="14.25" customHeight="1" x14ac:dyDescent="0.2">
      <c r="H1185" s="19" t="s">
        <v>1979</v>
      </c>
      <c r="J1185" s="110" t="str">
        <f t="shared" si="36"/>
        <v/>
      </c>
      <c r="L1185" s="110" t="str">
        <f t="shared" si="37"/>
        <v/>
      </c>
    </row>
    <row r="1186" spans="8:12" ht="14.25" customHeight="1" x14ac:dyDescent="0.2">
      <c r="H1186" s="19" t="s">
        <v>1979</v>
      </c>
      <c r="J1186" s="110" t="str">
        <f t="shared" si="36"/>
        <v/>
      </c>
      <c r="L1186" s="110" t="str">
        <f t="shared" si="37"/>
        <v/>
      </c>
    </row>
    <row r="1187" spans="8:12" ht="14.25" customHeight="1" x14ac:dyDescent="0.2">
      <c r="H1187" s="19" t="s">
        <v>1979</v>
      </c>
      <c r="J1187" s="110" t="str">
        <f t="shared" si="36"/>
        <v/>
      </c>
      <c r="L1187" s="110" t="str">
        <f t="shared" si="37"/>
        <v/>
      </c>
    </row>
    <row r="1188" spans="8:12" ht="14.25" customHeight="1" x14ac:dyDescent="0.2">
      <c r="H1188" s="19" t="s">
        <v>1979</v>
      </c>
      <c r="J1188" s="110" t="str">
        <f t="shared" si="36"/>
        <v/>
      </c>
      <c r="L1188" s="110" t="str">
        <f t="shared" si="37"/>
        <v/>
      </c>
    </row>
    <row r="1189" spans="8:12" ht="14.25" customHeight="1" x14ac:dyDescent="0.2">
      <c r="H1189" s="19" t="s">
        <v>1979</v>
      </c>
      <c r="J1189" s="110" t="str">
        <f t="shared" si="36"/>
        <v/>
      </c>
      <c r="L1189" s="110" t="str">
        <f t="shared" si="37"/>
        <v/>
      </c>
    </row>
    <row r="1190" spans="8:12" ht="14.25" customHeight="1" x14ac:dyDescent="0.2">
      <c r="H1190" s="19" t="s">
        <v>1979</v>
      </c>
      <c r="J1190" s="110" t="str">
        <f t="shared" si="36"/>
        <v/>
      </c>
      <c r="L1190" s="110" t="str">
        <f t="shared" si="37"/>
        <v/>
      </c>
    </row>
    <row r="1191" spans="8:12" ht="14.25" customHeight="1" x14ac:dyDescent="0.2">
      <c r="H1191" s="19" t="s">
        <v>1979</v>
      </c>
      <c r="J1191" s="110" t="str">
        <f t="shared" si="36"/>
        <v/>
      </c>
      <c r="L1191" s="110" t="str">
        <f t="shared" si="37"/>
        <v/>
      </c>
    </row>
    <row r="1192" spans="8:12" ht="14.25" customHeight="1" x14ac:dyDescent="0.2">
      <c r="H1192" s="19" t="s">
        <v>1979</v>
      </c>
      <c r="J1192" s="110" t="str">
        <f t="shared" si="36"/>
        <v/>
      </c>
      <c r="L1192" s="110" t="str">
        <f t="shared" si="37"/>
        <v/>
      </c>
    </row>
    <row r="1193" spans="8:12" ht="14.25" customHeight="1" x14ac:dyDescent="0.2">
      <c r="H1193" s="19" t="s">
        <v>1979</v>
      </c>
      <c r="J1193" s="110" t="str">
        <f t="shared" si="36"/>
        <v/>
      </c>
      <c r="L1193" s="110" t="str">
        <f t="shared" si="37"/>
        <v/>
      </c>
    </row>
    <row r="1194" spans="8:12" ht="14.25" customHeight="1" x14ac:dyDescent="0.2">
      <c r="H1194" s="19" t="s">
        <v>1979</v>
      </c>
      <c r="J1194" s="110" t="str">
        <f t="shared" si="36"/>
        <v/>
      </c>
      <c r="L1194" s="110" t="str">
        <f t="shared" si="37"/>
        <v/>
      </c>
    </row>
    <row r="1195" spans="8:12" ht="14.25" customHeight="1" x14ac:dyDescent="0.2">
      <c r="H1195" s="19" t="s">
        <v>1979</v>
      </c>
      <c r="J1195" s="110" t="str">
        <f t="shared" si="36"/>
        <v/>
      </c>
      <c r="L1195" s="110" t="str">
        <f t="shared" si="37"/>
        <v/>
      </c>
    </row>
    <row r="1196" spans="8:12" ht="14.25" customHeight="1" x14ac:dyDescent="0.2">
      <c r="H1196" s="19" t="s">
        <v>1979</v>
      </c>
      <c r="J1196" s="110" t="str">
        <f t="shared" si="36"/>
        <v/>
      </c>
      <c r="L1196" s="110" t="str">
        <f t="shared" si="37"/>
        <v/>
      </c>
    </row>
    <row r="1197" spans="8:12" ht="14.25" customHeight="1" x14ac:dyDescent="0.2">
      <c r="H1197" s="19" t="s">
        <v>1979</v>
      </c>
      <c r="J1197" s="110" t="str">
        <f t="shared" si="36"/>
        <v/>
      </c>
      <c r="L1197" s="110" t="str">
        <f t="shared" si="37"/>
        <v/>
      </c>
    </row>
    <row r="1198" spans="8:12" ht="14.25" customHeight="1" x14ac:dyDescent="0.2">
      <c r="H1198" s="19" t="s">
        <v>1979</v>
      </c>
      <c r="J1198" s="110" t="str">
        <f t="shared" si="36"/>
        <v/>
      </c>
      <c r="L1198" s="110" t="str">
        <f t="shared" si="37"/>
        <v/>
      </c>
    </row>
    <row r="1199" spans="8:12" ht="14.25" customHeight="1" x14ac:dyDescent="0.2">
      <c r="H1199" s="19" t="s">
        <v>1979</v>
      </c>
      <c r="J1199" s="110" t="str">
        <f t="shared" si="36"/>
        <v/>
      </c>
      <c r="L1199" s="110" t="str">
        <f t="shared" si="37"/>
        <v/>
      </c>
    </row>
    <row r="1200" spans="8:12" ht="14.25" customHeight="1" x14ac:dyDescent="0.2">
      <c r="H1200" s="19" t="s">
        <v>1979</v>
      </c>
      <c r="J1200" s="110" t="str">
        <f t="shared" si="36"/>
        <v/>
      </c>
      <c r="L1200" s="110" t="str">
        <f t="shared" si="37"/>
        <v/>
      </c>
    </row>
    <row r="1201" spans="8:12" ht="14.25" customHeight="1" x14ac:dyDescent="0.2">
      <c r="H1201" s="19" t="s">
        <v>1979</v>
      </c>
      <c r="J1201" s="110" t="str">
        <f t="shared" si="36"/>
        <v/>
      </c>
      <c r="L1201" s="110" t="str">
        <f t="shared" si="37"/>
        <v/>
      </c>
    </row>
    <row r="1202" spans="8:12" ht="14.25" customHeight="1" x14ac:dyDescent="0.2">
      <c r="H1202" s="19" t="s">
        <v>1979</v>
      </c>
      <c r="J1202" s="110" t="str">
        <f t="shared" si="36"/>
        <v/>
      </c>
      <c r="L1202" s="110" t="str">
        <f t="shared" si="37"/>
        <v/>
      </c>
    </row>
    <row r="1203" spans="8:12" ht="14.25" customHeight="1" x14ac:dyDescent="0.2">
      <c r="H1203" s="19" t="s">
        <v>1979</v>
      </c>
      <c r="J1203" s="110" t="str">
        <f t="shared" si="36"/>
        <v/>
      </c>
      <c r="L1203" s="110" t="str">
        <f t="shared" si="37"/>
        <v/>
      </c>
    </row>
    <row r="1204" spans="8:12" ht="14.25" customHeight="1" x14ac:dyDescent="0.2">
      <c r="H1204" s="19" t="s">
        <v>1979</v>
      </c>
      <c r="J1204" s="110" t="str">
        <f t="shared" si="36"/>
        <v/>
      </c>
      <c r="L1204" s="110" t="str">
        <f t="shared" si="37"/>
        <v/>
      </c>
    </row>
    <row r="1205" spans="8:12" ht="14.25" customHeight="1" x14ac:dyDescent="0.2">
      <c r="H1205" s="19" t="s">
        <v>1979</v>
      </c>
      <c r="J1205" s="110" t="str">
        <f t="shared" si="36"/>
        <v/>
      </c>
      <c r="L1205" s="110" t="str">
        <f t="shared" si="37"/>
        <v/>
      </c>
    </row>
    <row r="1206" spans="8:12" ht="14.25" customHeight="1" x14ac:dyDescent="0.2">
      <c r="H1206" s="19" t="s">
        <v>1979</v>
      </c>
      <c r="J1206" s="110" t="str">
        <f t="shared" si="36"/>
        <v/>
      </c>
      <c r="L1206" s="110" t="str">
        <f t="shared" si="37"/>
        <v/>
      </c>
    </row>
    <row r="1207" spans="8:12" ht="14.25" customHeight="1" x14ac:dyDescent="0.2">
      <c r="H1207" s="19" t="s">
        <v>1979</v>
      </c>
      <c r="J1207" s="110" t="str">
        <f t="shared" si="36"/>
        <v/>
      </c>
      <c r="L1207" s="110" t="str">
        <f t="shared" si="37"/>
        <v/>
      </c>
    </row>
    <row r="1208" spans="8:12" ht="14.25" customHeight="1" x14ac:dyDescent="0.2">
      <c r="H1208" s="19" t="s">
        <v>1979</v>
      </c>
      <c r="J1208" s="110" t="str">
        <f t="shared" si="36"/>
        <v/>
      </c>
      <c r="L1208" s="110" t="str">
        <f t="shared" si="37"/>
        <v/>
      </c>
    </row>
    <row r="1209" spans="8:12" ht="14.25" customHeight="1" x14ac:dyDescent="0.2">
      <c r="H1209" s="19" t="s">
        <v>1979</v>
      </c>
      <c r="J1209" s="110" t="str">
        <f t="shared" si="36"/>
        <v/>
      </c>
      <c r="L1209" s="110" t="str">
        <f t="shared" si="37"/>
        <v/>
      </c>
    </row>
    <row r="1210" spans="8:12" ht="14.25" customHeight="1" x14ac:dyDescent="0.2">
      <c r="H1210" s="19" t="s">
        <v>1979</v>
      </c>
      <c r="J1210" s="110" t="str">
        <f t="shared" si="36"/>
        <v/>
      </c>
      <c r="L1210" s="110" t="str">
        <f t="shared" si="37"/>
        <v/>
      </c>
    </row>
    <row r="1211" spans="8:12" ht="14.25" customHeight="1" x14ac:dyDescent="0.2">
      <c r="H1211" s="19" t="s">
        <v>1979</v>
      </c>
      <c r="J1211" s="110" t="str">
        <f t="shared" si="36"/>
        <v/>
      </c>
      <c r="L1211" s="110" t="str">
        <f t="shared" si="37"/>
        <v/>
      </c>
    </row>
    <row r="1212" spans="8:12" ht="14.25" customHeight="1" x14ac:dyDescent="0.2">
      <c r="H1212" s="19" t="s">
        <v>1979</v>
      </c>
      <c r="J1212" s="110" t="str">
        <f t="shared" si="36"/>
        <v/>
      </c>
      <c r="L1212" s="110" t="str">
        <f t="shared" si="37"/>
        <v/>
      </c>
    </row>
    <row r="1213" spans="8:12" ht="14.25" customHeight="1" x14ac:dyDescent="0.2">
      <c r="H1213" s="19" t="s">
        <v>1979</v>
      </c>
      <c r="J1213" s="110" t="str">
        <f t="shared" si="36"/>
        <v/>
      </c>
      <c r="L1213" s="110" t="str">
        <f t="shared" si="37"/>
        <v/>
      </c>
    </row>
    <row r="1214" spans="8:12" ht="14.25" customHeight="1" x14ac:dyDescent="0.2">
      <c r="H1214" s="19" t="s">
        <v>1979</v>
      </c>
      <c r="J1214" s="110" t="str">
        <f t="shared" si="36"/>
        <v/>
      </c>
      <c r="L1214" s="110" t="str">
        <f t="shared" si="37"/>
        <v/>
      </c>
    </row>
    <row r="1215" spans="8:12" ht="14.25" customHeight="1" x14ac:dyDescent="0.2">
      <c r="H1215" s="19" t="s">
        <v>1979</v>
      </c>
      <c r="J1215" s="110" t="str">
        <f t="shared" si="36"/>
        <v/>
      </c>
      <c r="L1215" s="110" t="str">
        <f t="shared" si="37"/>
        <v/>
      </c>
    </row>
    <row r="1216" spans="8:12" ht="14.25" customHeight="1" x14ac:dyDescent="0.2">
      <c r="H1216" s="19" t="s">
        <v>1979</v>
      </c>
      <c r="J1216" s="110" t="str">
        <f t="shared" si="36"/>
        <v/>
      </c>
      <c r="L1216" s="110" t="str">
        <f t="shared" si="37"/>
        <v/>
      </c>
    </row>
    <row r="1217" spans="8:12" ht="14.25" customHeight="1" x14ac:dyDescent="0.2">
      <c r="H1217" s="19" t="s">
        <v>1979</v>
      </c>
      <c r="J1217" s="110" t="str">
        <f t="shared" si="36"/>
        <v/>
      </c>
      <c r="L1217" s="110" t="str">
        <f t="shared" si="37"/>
        <v/>
      </c>
    </row>
    <row r="1218" spans="8:12" ht="14.25" customHeight="1" x14ac:dyDescent="0.2">
      <c r="H1218" s="19" t="s">
        <v>1979</v>
      </c>
      <c r="J1218" s="110" t="str">
        <f t="shared" si="36"/>
        <v/>
      </c>
      <c r="L1218" s="110" t="str">
        <f t="shared" si="37"/>
        <v/>
      </c>
    </row>
    <row r="1219" spans="8:12" ht="14.25" customHeight="1" x14ac:dyDescent="0.2">
      <c r="H1219" s="19" t="s">
        <v>1979</v>
      </c>
      <c r="J1219" s="110" t="str">
        <f t="shared" ref="J1219:J1282" si="38">IF(K1219="","", K1219/PI())</f>
        <v/>
      </c>
      <c r="L1219" s="110" t="str">
        <f t="shared" ref="L1219:L1282" si="39">IF(OR(P1219="", N1219="", O1219=""), "", TAN(P1219*PI()/180)*N1219 +O1219)</f>
        <v/>
      </c>
    </row>
    <row r="1220" spans="8:12" ht="14.25" customHeight="1" x14ac:dyDescent="0.2">
      <c r="H1220" s="19" t="s">
        <v>1979</v>
      </c>
      <c r="J1220" s="110" t="str">
        <f t="shared" si="38"/>
        <v/>
      </c>
      <c r="L1220" s="110" t="str">
        <f t="shared" si="39"/>
        <v/>
      </c>
    </row>
    <row r="1221" spans="8:12" ht="14.25" customHeight="1" x14ac:dyDescent="0.2">
      <c r="H1221" s="19" t="s">
        <v>1979</v>
      </c>
      <c r="J1221" s="110" t="str">
        <f t="shared" si="38"/>
        <v/>
      </c>
      <c r="L1221" s="110" t="str">
        <f t="shared" si="39"/>
        <v/>
      </c>
    </row>
    <row r="1222" spans="8:12" ht="14.25" customHeight="1" x14ac:dyDescent="0.2">
      <c r="H1222" s="19" t="s">
        <v>1979</v>
      </c>
      <c r="J1222" s="110" t="str">
        <f t="shared" si="38"/>
        <v/>
      </c>
      <c r="L1222" s="110" t="str">
        <f t="shared" si="39"/>
        <v/>
      </c>
    </row>
    <row r="1223" spans="8:12" ht="14.25" customHeight="1" x14ac:dyDescent="0.2">
      <c r="H1223" s="19" t="s">
        <v>1979</v>
      </c>
      <c r="J1223" s="110" t="str">
        <f t="shared" si="38"/>
        <v/>
      </c>
      <c r="L1223" s="110" t="str">
        <f t="shared" si="39"/>
        <v/>
      </c>
    </row>
    <row r="1224" spans="8:12" ht="14.25" customHeight="1" x14ac:dyDescent="0.2">
      <c r="H1224" s="19" t="s">
        <v>1979</v>
      </c>
      <c r="J1224" s="110" t="str">
        <f t="shared" si="38"/>
        <v/>
      </c>
      <c r="L1224" s="110" t="str">
        <f t="shared" si="39"/>
        <v/>
      </c>
    </row>
    <row r="1225" spans="8:12" ht="14.25" customHeight="1" x14ac:dyDescent="0.2">
      <c r="H1225" s="19" t="s">
        <v>1979</v>
      </c>
      <c r="J1225" s="110" t="str">
        <f t="shared" si="38"/>
        <v/>
      </c>
      <c r="L1225" s="110" t="str">
        <f t="shared" si="39"/>
        <v/>
      </c>
    </row>
    <row r="1226" spans="8:12" ht="14.25" customHeight="1" x14ac:dyDescent="0.2">
      <c r="H1226" s="19" t="s">
        <v>1979</v>
      </c>
      <c r="J1226" s="110" t="str">
        <f t="shared" si="38"/>
        <v/>
      </c>
      <c r="L1226" s="110" t="str">
        <f t="shared" si="39"/>
        <v/>
      </c>
    </row>
    <row r="1227" spans="8:12" ht="14.25" customHeight="1" x14ac:dyDescent="0.2">
      <c r="H1227" s="19" t="s">
        <v>1979</v>
      </c>
      <c r="J1227" s="110" t="str">
        <f t="shared" si="38"/>
        <v/>
      </c>
      <c r="L1227" s="110" t="str">
        <f t="shared" si="39"/>
        <v/>
      </c>
    </row>
    <row r="1228" spans="8:12" ht="14.25" customHeight="1" x14ac:dyDescent="0.2">
      <c r="H1228" s="19" t="s">
        <v>1979</v>
      </c>
      <c r="J1228" s="110" t="str">
        <f t="shared" si="38"/>
        <v/>
      </c>
      <c r="L1228" s="110" t="str">
        <f t="shared" si="39"/>
        <v/>
      </c>
    </row>
    <row r="1229" spans="8:12" ht="14.25" customHeight="1" x14ac:dyDescent="0.2">
      <c r="H1229" s="19" t="s">
        <v>1979</v>
      </c>
      <c r="J1229" s="110" t="str">
        <f t="shared" si="38"/>
        <v/>
      </c>
      <c r="L1229" s="110" t="str">
        <f t="shared" si="39"/>
        <v/>
      </c>
    </row>
    <row r="1230" spans="8:12" ht="14.25" customHeight="1" x14ac:dyDescent="0.2">
      <c r="H1230" s="19" t="s">
        <v>1979</v>
      </c>
      <c r="J1230" s="110" t="str">
        <f t="shared" si="38"/>
        <v/>
      </c>
      <c r="L1230" s="110" t="str">
        <f t="shared" si="39"/>
        <v/>
      </c>
    </row>
    <row r="1231" spans="8:12" ht="14.25" customHeight="1" x14ac:dyDescent="0.2">
      <c r="H1231" s="19" t="s">
        <v>1979</v>
      </c>
      <c r="J1231" s="110" t="str">
        <f t="shared" si="38"/>
        <v/>
      </c>
      <c r="L1231" s="110" t="str">
        <f t="shared" si="39"/>
        <v/>
      </c>
    </row>
    <row r="1232" spans="8:12" ht="14.25" customHeight="1" x14ac:dyDescent="0.2">
      <c r="H1232" s="19" t="s">
        <v>1979</v>
      </c>
      <c r="J1232" s="110" t="str">
        <f t="shared" si="38"/>
        <v/>
      </c>
      <c r="L1232" s="110" t="str">
        <f t="shared" si="39"/>
        <v/>
      </c>
    </row>
    <row r="1233" spans="8:12" ht="14.25" customHeight="1" x14ac:dyDescent="0.2">
      <c r="H1233" s="19" t="s">
        <v>1979</v>
      </c>
      <c r="J1233" s="110" t="str">
        <f t="shared" si="38"/>
        <v/>
      </c>
      <c r="L1233" s="110" t="str">
        <f t="shared" si="39"/>
        <v/>
      </c>
    </row>
    <row r="1234" spans="8:12" ht="14.25" customHeight="1" x14ac:dyDescent="0.2">
      <c r="H1234" s="19" t="s">
        <v>1979</v>
      </c>
      <c r="J1234" s="110" t="str">
        <f t="shared" si="38"/>
        <v/>
      </c>
      <c r="L1234" s="110" t="str">
        <f t="shared" si="39"/>
        <v/>
      </c>
    </row>
    <row r="1235" spans="8:12" ht="14.25" customHeight="1" x14ac:dyDescent="0.2">
      <c r="H1235" s="19" t="s">
        <v>1979</v>
      </c>
      <c r="J1235" s="110" t="str">
        <f t="shared" si="38"/>
        <v/>
      </c>
      <c r="L1235" s="110" t="str">
        <f t="shared" si="39"/>
        <v/>
      </c>
    </row>
    <row r="1236" spans="8:12" ht="14.25" customHeight="1" x14ac:dyDescent="0.2">
      <c r="H1236" s="19" t="s">
        <v>1979</v>
      </c>
      <c r="J1236" s="110" t="str">
        <f t="shared" si="38"/>
        <v/>
      </c>
      <c r="L1236" s="110" t="str">
        <f t="shared" si="39"/>
        <v/>
      </c>
    </row>
    <row r="1237" spans="8:12" ht="14.25" customHeight="1" x14ac:dyDescent="0.2">
      <c r="H1237" s="19" t="s">
        <v>1979</v>
      </c>
      <c r="J1237" s="110" t="str">
        <f t="shared" si="38"/>
        <v/>
      </c>
      <c r="L1237" s="110" t="str">
        <f t="shared" si="39"/>
        <v/>
      </c>
    </row>
    <row r="1238" spans="8:12" ht="14.25" customHeight="1" x14ac:dyDescent="0.2">
      <c r="H1238" s="19" t="s">
        <v>1979</v>
      </c>
      <c r="J1238" s="110" t="str">
        <f t="shared" si="38"/>
        <v/>
      </c>
      <c r="L1238" s="110" t="str">
        <f t="shared" si="39"/>
        <v/>
      </c>
    </row>
    <row r="1239" spans="8:12" ht="14.25" customHeight="1" x14ac:dyDescent="0.2">
      <c r="H1239" s="19" t="s">
        <v>1979</v>
      </c>
      <c r="J1239" s="110" t="str">
        <f t="shared" si="38"/>
        <v/>
      </c>
      <c r="L1239" s="110" t="str">
        <f t="shared" si="39"/>
        <v/>
      </c>
    </row>
    <row r="1240" spans="8:12" ht="14.25" customHeight="1" x14ac:dyDescent="0.2">
      <c r="H1240" s="19" t="s">
        <v>1979</v>
      </c>
      <c r="J1240" s="110" t="str">
        <f t="shared" si="38"/>
        <v/>
      </c>
      <c r="L1240" s="110" t="str">
        <f t="shared" si="39"/>
        <v/>
      </c>
    </row>
    <row r="1241" spans="8:12" ht="14.25" customHeight="1" x14ac:dyDescent="0.2">
      <c r="H1241" s="19" t="s">
        <v>1979</v>
      </c>
      <c r="J1241" s="110" t="str">
        <f t="shared" si="38"/>
        <v/>
      </c>
      <c r="L1241" s="110" t="str">
        <f t="shared" si="39"/>
        <v/>
      </c>
    </row>
    <row r="1242" spans="8:12" ht="14.25" customHeight="1" x14ac:dyDescent="0.2">
      <c r="H1242" s="19" t="s">
        <v>1979</v>
      </c>
      <c r="J1242" s="110" t="str">
        <f t="shared" si="38"/>
        <v/>
      </c>
      <c r="L1242" s="110" t="str">
        <f t="shared" si="39"/>
        <v/>
      </c>
    </row>
    <row r="1243" spans="8:12" ht="14.25" customHeight="1" x14ac:dyDescent="0.2">
      <c r="H1243" s="19" t="s">
        <v>1979</v>
      </c>
      <c r="J1243" s="110" t="str">
        <f t="shared" si="38"/>
        <v/>
      </c>
      <c r="L1243" s="110" t="str">
        <f t="shared" si="39"/>
        <v/>
      </c>
    </row>
    <row r="1244" spans="8:12" ht="14.25" customHeight="1" x14ac:dyDescent="0.2">
      <c r="H1244" s="19" t="s">
        <v>1979</v>
      </c>
      <c r="J1244" s="110" t="str">
        <f t="shared" si="38"/>
        <v/>
      </c>
      <c r="L1244" s="110" t="str">
        <f t="shared" si="39"/>
        <v/>
      </c>
    </row>
    <row r="1245" spans="8:12" ht="14.25" customHeight="1" x14ac:dyDescent="0.2">
      <c r="H1245" s="19" t="s">
        <v>1979</v>
      </c>
      <c r="J1245" s="110" t="str">
        <f t="shared" si="38"/>
        <v/>
      </c>
      <c r="L1245" s="110" t="str">
        <f t="shared" si="39"/>
        <v/>
      </c>
    </row>
    <row r="1246" spans="8:12" ht="14.25" customHeight="1" x14ac:dyDescent="0.2">
      <c r="H1246" s="19" t="s">
        <v>1979</v>
      </c>
      <c r="J1246" s="110" t="str">
        <f t="shared" si="38"/>
        <v/>
      </c>
      <c r="L1246" s="110" t="str">
        <f t="shared" si="39"/>
        <v/>
      </c>
    </row>
    <row r="1247" spans="8:12" ht="14.25" customHeight="1" x14ac:dyDescent="0.2">
      <c r="H1247" s="19" t="s">
        <v>1979</v>
      </c>
      <c r="J1247" s="110" t="str">
        <f t="shared" si="38"/>
        <v/>
      </c>
      <c r="L1247" s="110" t="str">
        <f t="shared" si="39"/>
        <v/>
      </c>
    </row>
    <row r="1248" spans="8:12" ht="14.25" customHeight="1" x14ac:dyDescent="0.2">
      <c r="H1248" s="19" t="s">
        <v>1979</v>
      </c>
      <c r="J1248" s="110" t="str">
        <f t="shared" si="38"/>
        <v/>
      </c>
      <c r="L1248" s="110" t="str">
        <f t="shared" si="39"/>
        <v/>
      </c>
    </row>
    <row r="1249" spans="8:12" ht="14.25" customHeight="1" x14ac:dyDescent="0.2">
      <c r="H1249" s="19" t="s">
        <v>1979</v>
      </c>
      <c r="J1249" s="110" t="str">
        <f t="shared" si="38"/>
        <v/>
      </c>
      <c r="L1249" s="110" t="str">
        <f t="shared" si="39"/>
        <v/>
      </c>
    </row>
    <row r="1250" spans="8:12" ht="14.25" customHeight="1" x14ac:dyDescent="0.2">
      <c r="H1250" s="19" t="s">
        <v>1979</v>
      </c>
      <c r="J1250" s="110" t="str">
        <f t="shared" si="38"/>
        <v/>
      </c>
      <c r="L1250" s="110" t="str">
        <f t="shared" si="39"/>
        <v/>
      </c>
    </row>
    <row r="1251" spans="8:12" ht="14.25" customHeight="1" x14ac:dyDescent="0.2">
      <c r="H1251" s="19" t="s">
        <v>1979</v>
      </c>
      <c r="J1251" s="110" t="str">
        <f t="shared" si="38"/>
        <v/>
      </c>
      <c r="L1251" s="110" t="str">
        <f t="shared" si="39"/>
        <v/>
      </c>
    </row>
    <row r="1252" spans="8:12" ht="14.25" customHeight="1" x14ac:dyDescent="0.2">
      <c r="H1252" s="19" t="s">
        <v>1979</v>
      </c>
      <c r="J1252" s="110" t="str">
        <f t="shared" si="38"/>
        <v/>
      </c>
      <c r="L1252" s="110" t="str">
        <f t="shared" si="39"/>
        <v/>
      </c>
    </row>
    <row r="1253" spans="8:12" ht="14.25" customHeight="1" x14ac:dyDescent="0.2">
      <c r="H1253" s="19" t="s">
        <v>1979</v>
      </c>
      <c r="J1253" s="110" t="str">
        <f t="shared" si="38"/>
        <v/>
      </c>
      <c r="L1253" s="110" t="str">
        <f t="shared" si="39"/>
        <v/>
      </c>
    </row>
    <row r="1254" spans="8:12" ht="14.25" customHeight="1" x14ac:dyDescent="0.2">
      <c r="H1254" s="19" t="s">
        <v>1979</v>
      </c>
      <c r="J1254" s="110" t="str">
        <f t="shared" si="38"/>
        <v/>
      </c>
      <c r="L1254" s="110" t="str">
        <f t="shared" si="39"/>
        <v/>
      </c>
    </row>
    <row r="1255" spans="8:12" ht="14.25" customHeight="1" x14ac:dyDescent="0.2">
      <c r="H1255" s="19" t="s">
        <v>1979</v>
      </c>
      <c r="J1255" s="110" t="str">
        <f t="shared" si="38"/>
        <v/>
      </c>
      <c r="L1255" s="110" t="str">
        <f t="shared" si="39"/>
        <v/>
      </c>
    </row>
    <row r="1256" spans="8:12" ht="14.25" customHeight="1" x14ac:dyDescent="0.2">
      <c r="H1256" s="19" t="s">
        <v>1979</v>
      </c>
      <c r="J1256" s="110" t="str">
        <f t="shared" si="38"/>
        <v/>
      </c>
      <c r="L1256" s="110" t="str">
        <f t="shared" si="39"/>
        <v/>
      </c>
    </row>
    <row r="1257" spans="8:12" ht="14.25" customHeight="1" x14ac:dyDescent="0.2">
      <c r="H1257" s="19" t="s">
        <v>1979</v>
      </c>
      <c r="J1257" s="110" t="str">
        <f t="shared" si="38"/>
        <v/>
      </c>
      <c r="L1257" s="110" t="str">
        <f t="shared" si="39"/>
        <v/>
      </c>
    </row>
    <row r="1258" spans="8:12" ht="14.25" customHeight="1" x14ac:dyDescent="0.2">
      <c r="H1258" s="19" t="s">
        <v>1979</v>
      </c>
      <c r="J1258" s="110" t="str">
        <f t="shared" si="38"/>
        <v/>
      </c>
      <c r="L1258" s="110" t="str">
        <f t="shared" si="39"/>
        <v/>
      </c>
    </row>
    <row r="1259" spans="8:12" ht="14.25" customHeight="1" x14ac:dyDescent="0.2">
      <c r="H1259" s="19" t="s">
        <v>1979</v>
      </c>
      <c r="J1259" s="110" t="str">
        <f t="shared" si="38"/>
        <v/>
      </c>
      <c r="L1259" s="110" t="str">
        <f t="shared" si="39"/>
        <v/>
      </c>
    </row>
    <row r="1260" spans="8:12" ht="14.25" customHeight="1" x14ac:dyDescent="0.2">
      <c r="H1260" s="19" t="s">
        <v>1979</v>
      </c>
      <c r="J1260" s="110" t="str">
        <f t="shared" si="38"/>
        <v/>
      </c>
      <c r="L1260" s="110" t="str">
        <f t="shared" si="39"/>
        <v/>
      </c>
    </row>
    <row r="1261" spans="8:12" ht="14.25" customHeight="1" x14ac:dyDescent="0.2">
      <c r="H1261" s="19" t="s">
        <v>1979</v>
      </c>
      <c r="J1261" s="110" t="str">
        <f t="shared" si="38"/>
        <v/>
      </c>
      <c r="L1261" s="110" t="str">
        <f t="shared" si="39"/>
        <v/>
      </c>
    </row>
    <row r="1262" spans="8:12" ht="14.25" customHeight="1" x14ac:dyDescent="0.2">
      <c r="H1262" s="19" t="s">
        <v>1979</v>
      </c>
      <c r="J1262" s="110" t="str">
        <f t="shared" si="38"/>
        <v/>
      </c>
      <c r="L1262" s="110" t="str">
        <f t="shared" si="39"/>
        <v/>
      </c>
    </row>
    <row r="1263" spans="8:12" ht="14.25" customHeight="1" x14ac:dyDescent="0.2">
      <c r="H1263" s="19" t="s">
        <v>1979</v>
      </c>
      <c r="J1263" s="110" t="str">
        <f t="shared" si="38"/>
        <v/>
      </c>
      <c r="L1263" s="110" t="str">
        <f t="shared" si="39"/>
        <v/>
      </c>
    </row>
    <row r="1264" spans="8:12" ht="14.25" customHeight="1" x14ac:dyDescent="0.2">
      <c r="H1264" s="19" t="s">
        <v>1979</v>
      </c>
      <c r="J1264" s="110" t="str">
        <f t="shared" si="38"/>
        <v/>
      </c>
      <c r="L1264" s="110" t="str">
        <f t="shared" si="39"/>
        <v/>
      </c>
    </row>
    <row r="1265" spans="8:12" ht="14.25" customHeight="1" x14ac:dyDescent="0.2">
      <c r="H1265" s="19" t="s">
        <v>1979</v>
      </c>
      <c r="J1265" s="110" t="str">
        <f t="shared" si="38"/>
        <v/>
      </c>
      <c r="L1265" s="110" t="str">
        <f t="shared" si="39"/>
        <v/>
      </c>
    </row>
    <row r="1266" spans="8:12" ht="14.25" customHeight="1" x14ac:dyDescent="0.2">
      <c r="H1266" s="19" t="s">
        <v>1979</v>
      </c>
      <c r="J1266" s="110" t="str">
        <f t="shared" si="38"/>
        <v/>
      </c>
      <c r="L1266" s="110" t="str">
        <f t="shared" si="39"/>
        <v/>
      </c>
    </row>
    <row r="1267" spans="8:12" ht="14.25" customHeight="1" x14ac:dyDescent="0.2">
      <c r="H1267" s="19" t="s">
        <v>1979</v>
      </c>
      <c r="J1267" s="110" t="str">
        <f t="shared" si="38"/>
        <v/>
      </c>
      <c r="L1267" s="110" t="str">
        <f t="shared" si="39"/>
        <v/>
      </c>
    </row>
    <row r="1268" spans="8:12" ht="14.25" customHeight="1" x14ac:dyDescent="0.2">
      <c r="H1268" s="19" t="s">
        <v>1979</v>
      </c>
      <c r="J1268" s="110" t="str">
        <f t="shared" si="38"/>
        <v/>
      </c>
      <c r="L1268" s="110" t="str">
        <f t="shared" si="39"/>
        <v/>
      </c>
    </row>
    <row r="1269" spans="8:12" ht="14.25" customHeight="1" x14ac:dyDescent="0.2">
      <c r="H1269" s="19" t="s">
        <v>1979</v>
      </c>
      <c r="J1269" s="110" t="str">
        <f t="shared" si="38"/>
        <v/>
      </c>
      <c r="L1269" s="110" t="str">
        <f t="shared" si="39"/>
        <v/>
      </c>
    </row>
    <row r="1270" spans="8:12" ht="14.25" customHeight="1" x14ac:dyDescent="0.2">
      <c r="H1270" s="19" t="s">
        <v>1979</v>
      </c>
      <c r="J1270" s="110" t="str">
        <f t="shared" si="38"/>
        <v/>
      </c>
      <c r="L1270" s="110" t="str">
        <f t="shared" si="39"/>
        <v/>
      </c>
    </row>
    <row r="1271" spans="8:12" ht="14.25" customHeight="1" x14ac:dyDescent="0.2">
      <c r="H1271" s="19" t="s">
        <v>1979</v>
      </c>
      <c r="J1271" s="110" t="str">
        <f t="shared" si="38"/>
        <v/>
      </c>
      <c r="L1271" s="110" t="str">
        <f t="shared" si="39"/>
        <v/>
      </c>
    </row>
    <row r="1272" spans="8:12" ht="14.25" customHeight="1" x14ac:dyDescent="0.2">
      <c r="H1272" s="19" t="s">
        <v>1979</v>
      </c>
      <c r="J1272" s="110" t="str">
        <f t="shared" si="38"/>
        <v/>
      </c>
      <c r="L1272" s="110" t="str">
        <f t="shared" si="39"/>
        <v/>
      </c>
    </row>
    <row r="1273" spans="8:12" ht="14.25" customHeight="1" x14ac:dyDescent="0.2">
      <c r="H1273" s="19" t="s">
        <v>1979</v>
      </c>
      <c r="J1273" s="110" t="str">
        <f t="shared" si="38"/>
        <v/>
      </c>
      <c r="L1273" s="110" t="str">
        <f t="shared" si="39"/>
        <v/>
      </c>
    </row>
    <row r="1274" spans="8:12" ht="14.25" customHeight="1" x14ac:dyDescent="0.2">
      <c r="H1274" s="19" t="s">
        <v>1979</v>
      </c>
      <c r="J1274" s="110" t="str">
        <f t="shared" si="38"/>
        <v/>
      </c>
      <c r="L1274" s="110" t="str">
        <f t="shared" si="39"/>
        <v/>
      </c>
    </row>
    <row r="1275" spans="8:12" ht="14.25" customHeight="1" x14ac:dyDescent="0.2">
      <c r="H1275" s="19" t="s">
        <v>1979</v>
      </c>
      <c r="J1275" s="110" t="str">
        <f t="shared" si="38"/>
        <v/>
      </c>
      <c r="L1275" s="110" t="str">
        <f t="shared" si="39"/>
        <v/>
      </c>
    </row>
    <row r="1276" spans="8:12" ht="14.25" customHeight="1" x14ac:dyDescent="0.2">
      <c r="H1276" s="19" t="s">
        <v>1979</v>
      </c>
      <c r="J1276" s="110" t="str">
        <f t="shared" si="38"/>
        <v/>
      </c>
      <c r="L1276" s="110" t="str">
        <f t="shared" si="39"/>
        <v/>
      </c>
    </row>
    <row r="1277" spans="8:12" ht="14.25" customHeight="1" x14ac:dyDescent="0.2">
      <c r="H1277" s="19" t="s">
        <v>1979</v>
      </c>
      <c r="J1277" s="110" t="str">
        <f t="shared" si="38"/>
        <v/>
      </c>
      <c r="L1277" s="110" t="str">
        <f t="shared" si="39"/>
        <v/>
      </c>
    </row>
    <row r="1278" spans="8:12" ht="14.25" customHeight="1" x14ac:dyDescent="0.2">
      <c r="H1278" s="19" t="s">
        <v>1979</v>
      </c>
      <c r="J1278" s="110" t="str">
        <f t="shared" si="38"/>
        <v/>
      </c>
      <c r="L1278" s="110" t="str">
        <f t="shared" si="39"/>
        <v/>
      </c>
    </row>
    <row r="1279" spans="8:12" ht="14.25" customHeight="1" x14ac:dyDescent="0.2">
      <c r="H1279" s="19" t="s">
        <v>1979</v>
      </c>
      <c r="J1279" s="110" t="str">
        <f t="shared" si="38"/>
        <v/>
      </c>
      <c r="L1279" s="110" t="str">
        <f t="shared" si="39"/>
        <v/>
      </c>
    </row>
    <row r="1280" spans="8:12" ht="14.25" customHeight="1" x14ac:dyDescent="0.2">
      <c r="H1280" s="19" t="s">
        <v>1979</v>
      </c>
      <c r="J1280" s="110" t="str">
        <f t="shared" si="38"/>
        <v/>
      </c>
      <c r="L1280" s="110" t="str">
        <f t="shared" si="39"/>
        <v/>
      </c>
    </row>
    <row r="1281" spans="8:12" ht="14.25" customHeight="1" x14ac:dyDescent="0.2">
      <c r="H1281" s="19" t="s">
        <v>1979</v>
      </c>
      <c r="J1281" s="110" t="str">
        <f t="shared" si="38"/>
        <v/>
      </c>
      <c r="L1281" s="110" t="str">
        <f t="shared" si="39"/>
        <v/>
      </c>
    </row>
    <row r="1282" spans="8:12" ht="14.25" customHeight="1" x14ac:dyDescent="0.2">
      <c r="H1282" s="19" t="s">
        <v>1979</v>
      </c>
      <c r="J1282" s="110" t="str">
        <f t="shared" si="38"/>
        <v/>
      </c>
      <c r="L1282" s="110" t="str">
        <f t="shared" si="39"/>
        <v/>
      </c>
    </row>
    <row r="1283" spans="8:12" ht="14.25" customHeight="1" x14ac:dyDescent="0.2">
      <c r="H1283" s="19" t="s">
        <v>1979</v>
      </c>
      <c r="J1283" s="110" t="str">
        <f t="shared" ref="J1283:J1346" si="40">IF(K1283="","", K1283/PI())</f>
        <v/>
      </c>
      <c r="L1283" s="110" t="str">
        <f t="shared" ref="L1283:L1346" si="41">IF(OR(P1283="", N1283="", O1283=""), "", TAN(P1283*PI()/180)*N1283 +O1283)</f>
        <v/>
      </c>
    </row>
    <row r="1284" spans="8:12" ht="14.25" customHeight="1" x14ac:dyDescent="0.2">
      <c r="H1284" s="19" t="s">
        <v>1979</v>
      </c>
      <c r="J1284" s="110" t="str">
        <f t="shared" si="40"/>
        <v/>
      </c>
      <c r="L1284" s="110" t="str">
        <f t="shared" si="41"/>
        <v/>
      </c>
    </row>
    <row r="1285" spans="8:12" ht="14.25" customHeight="1" x14ac:dyDescent="0.2">
      <c r="H1285" s="19" t="s">
        <v>1979</v>
      </c>
      <c r="J1285" s="110" t="str">
        <f t="shared" si="40"/>
        <v/>
      </c>
      <c r="L1285" s="110" t="str">
        <f t="shared" si="41"/>
        <v/>
      </c>
    </row>
    <row r="1286" spans="8:12" ht="14.25" customHeight="1" x14ac:dyDescent="0.2">
      <c r="H1286" s="19" t="s">
        <v>1979</v>
      </c>
      <c r="J1286" s="110" t="str">
        <f t="shared" si="40"/>
        <v/>
      </c>
      <c r="L1286" s="110" t="str">
        <f t="shared" si="41"/>
        <v/>
      </c>
    </row>
    <row r="1287" spans="8:12" ht="14.25" customHeight="1" x14ac:dyDescent="0.2">
      <c r="H1287" s="19" t="s">
        <v>1979</v>
      </c>
      <c r="J1287" s="110" t="str">
        <f t="shared" si="40"/>
        <v/>
      </c>
      <c r="L1287" s="110" t="str">
        <f t="shared" si="41"/>
        <v/>
      </c>
    </row>
    <row r="1288" spans="8:12" ht="14.25" customHeight="1" x14ac:dyDescent="0.2">
      <c r="H1288" s="19" t="s">
        <v>1979</v>
      </c>
      <c r="J1288" s="110" t="str">
        <f t="shared" si="40"/>
        <v/>
      </c>
      <c r="L1288" s="110" t="str">
        <f t="shared" si="41"/>
        <v/>
      </c>
    </row>
    <row r="1289" spans="8:12" ht="14.25" customHeight="1" x14ac:dyDescent="0.2">
      <c r="H1289" s="19" t="s">
        <v>1979</v>
      </c>
      <c r="J1289" s="110" t="str">
        <f t="shared" si="40"/>
        <v/>
      </c>
      <c r="L1289" s="110" t="str">
        <f t="shared" si="41"/>
        <v/>
      </c>
    </row>
    <row r="1290" spans="8:12" ht="14.25" customHeight="1" x14ac:dyDescent="0.2">
      <c r="H1290" s="19" t="s">
        <v>1979</v>
      </c>
      <c r="J1290" s="110" t="str">
        <f t="shared" si="40"/>
        <v/>
      </c>
      <c r="L1290" s="110" t="str">
        <f t="shared" si="41"/>
        <v/>
      </c>
    </row>
    <row r="1291" spans="8:12" ht="14.25" customHeight="1" x14ac:dyDescent="0.2">
      <c r="H1291" s="19" t="s">
        <v>1979</v>
      </c>
      <c r="J1291" s="110" t="str">
        <f t="shared" si="40"/>
        <v/>
      </c>
      <c r="L1291" s="110" t="str">
        <f t="shared" si="41"/>
        <v/>
      </c>
    </row>
    <row r="1292" spans="8:12" ht="14.25" customHeight="1" x14ac:dyDescent="0.2">
      <c r="H1292" s="19" t="s">
        <v>1979</v>
      </c>
      <c r="J1292" s="110" t="str">
        <f t="shared" si="40"/>
        <v/>
      </c>
      <c r="L1292" s="110" t="str">
        <f t="shared" si="41"/>
        <v/>
      </c>
    </row>
    <row r="1293" spans="8:12" ht="14.25" customHeight="1" x14ac:dyDescent="0.2">
      <c r="H1293" s="19" t="s">
        <v>1979</v>
      </c>
      <c r="J1293" s="110" t="str">
        <f t="shared" si="40"/>
        <v/>
      </c>
      <c r="L1293" s="110" t="str">
        <f t="shared" si="41"/>
        <v/>
      </c>
    </row>
    <row r="1294" spans="8:12" ht="14.25" customHeight="1" x14ac:dyDescent="0.2">
      <c r="H1294" s="19" t="s">
        <v>1979</v>
      </c>
      <c r="J1294" s="110" t="str">
        <f t="shared" si="40"/>
        <v/>
      </c>
      <c r="L1294" s="110" t="str">
        <f t="shared" si="41"/>
        <v/>
      </c>
    </row>
    <row r="1295" spans="8:12" ht="14.25" customHeight="1" x14ac:dyDescent="0.2">
      <c r="H1295" s="19" t="s">
        <v>1979</v>
      </c>
      <c r="J1295" s="110" t="str">
        <f t="shared" si="40"/>
        <v/>
      </c>
      <c r="L1295" s="110" t="str">
        <f t="shared" si="41"/>
        <v/>
      </c>
    </row>
    <row r="1296" spans="8:12" ht="14.25" customHeight="1" x14ac:dyDescent="0.2">
      <c r="H1296" s="19" t="s">
        <v>1979</v>
      </c>
      <c r="J1296" s="110" t="str">
        <f t="shared" si="40"/>
        <v/>
      </c>
      <c r="L1296" s="110" t="str">
        <f t="shared" si="41"/>
        <v/>
      </c>
    </row>
    <row r="1297" spans="8:12" ht="14.25" customHeight="1" x14ac:dyDescent="0.2">
      <c r="H1297" s="19" t="s">
        <v>1979</v>
      </c>
      <c r="J1297" s="110" t="str">
        <f t="shared" si="40"/>
        <v/>
      </c>
      <c r="L1297" s="110" t="str">
        <f t="shared" si="41"/>
        <v/>
      </c>
    </row>
    <row r="1298" spans="8:12" ht="14.25" customHeight="1" x14ac:dyDescent="0.2">
      <c r="H1298" s="19" t="s">
        <v>1979</v>
      </c>
      <c r="J1298" s="110" t="str">
        <f t="shared" si="40"/>
        <v/>
      </c>
      <c r="L1298" s="110" t="str">
        <f t="shared" si="41"/>
        <v/>
      </c>
    </row>
    <row r="1299" spans="8:12" ht="14.25" customHeight="1" x14ac:dyDescent="0.2">
      <c r="H1299" s="19" t="s">
        <v>1979</v>
      </c>
      <c r="J1299" s="110" t="str">
        <f t="shared" si="40"/>
        <v/>
      </c>
      <c r="L1299" s="110" t="str">
        <f t="shared" si="41"/>
        <v/>
      </c>
    </row>
    <row r="1300" spans="8:12" ht="14.25" customHeight="1" x14ac:dyDescent="0.2">
      <c r="H1300" s="19" t="s">
        <v>1979</v>
      </c>
      <c r="J1300" s="110" t="str">
        <f t="shared" si="40"/>
        <v/>
      </c>
      <c r="L1300" s="110" t="str">
        <f t="shared" si="41"/>
        <v/>
      </c>
    </row>
    <row r="1301" spans="8:12" ht="14.25" customHeight="1" x14ac:dyDescent="0.2">
      <c r="H1301" s="19" t="s">
        <v>1979</v>
      </c>
      <c r="J1301" s="110" t="str">
        <f t="shared" si="40"/>
        <v/>
      </c>
      <c r="L1301" s="110" t="str">
        <f t="shared" si="41"/>
        <v/>
      </c>
    </row>
    <row r="1302" spans="8:12" ht="14.25" customHeight="1" x14ac:dyDescent="0.2">
      <c r="H1302" s="19" t="s">
        <v>1979</v>
      </c>
      <c r="J1302" s="110" t="str">
        <f t="shared" si="40"/>
        <v/>
      </c>
      <c r="L1302" s="110" t="str">
        <f t="shared" si="41"/>
        <v/>
      </c>
    </row>
    <row r="1303" spans="8:12" ht="14.25" customHeight="1" x14ac:dyDescent="0.2">
      <c r="H1303" s="19" t="s">
        <v>1979</v>
      </c>
      <c r="J1303" s="110" t="str">
        <f t="shared" si="40"/>
        <v/>
      </c>
      <c r="L1303" s="110" t="str">
        <f t="shared" si="41"/>
        <v/>
      </c>
    </row>
    <row r="1304" spans="8:12" ht="14.25" customHeight="1" x14ac:dyDescent="0.2">
      <c r="H1304" s="19" t="s">
        <v>1979</v>
      </c>
      <c r="J1304" s="110" t="str">
        <f t="shared" si="40"/>
        <v/>
      </c>
      <c r="L1304" s="110" t="str">
        <f t="shared" si="41"/>
        <v/>
      </c>
    </row>
    <row r="1305" spans="8:12" ht="14.25" customHeight="1" x14ac:dyDescent="0.2">
      <c r="H1305" s="19" t="s">
        <v>1979</v>
      </c>
      <c r="J1305" s="110" t="str">
        <f t="shared" si="40"/>
        <v/>
      </c>
      <c r="L1305" s="110" t="str">
        <f t="shared" si="41"/>
        <v/>
      </c>
    </row>
    <row r="1306" spans="8:12" ht="14.25" customHeight="1" x14ac:dyDescent="0.2">
      <c r="H1306" s="19" t="s">
        <v>1979</v>
      </c>
      <c r="J1306" s="110" t="str">
        <f t="shared" si="40"/>
        <v/>
      </c>
      <c r="L1306" s="110" t="str">
        <f t="shared" si="41"/>
        <v/>
      </c>
    </row>
    <row r="1307" spans="8:12" ht="14.25" customHeight="1" x14ac:dyDescent="0.2">
      <c r="H1307" s="19" t="s">
        <v>1979</v>
      </c>
      <c r="J1307" s="110" t="str">
        <f t="shared" si="40"/>
        <v/>
      </c>
      <c r="L1307" s="110" t="str">
        <f t="shared" si="41"/>
        <v/>
      </c>
    </row>
    <row r="1308" spans="8:12" ht="14.25" customHeight="1" x14ac:dyDescent="0.2">
      <c r="H1308" s="19" t="s">
        <v>1979</v>
      </c>
      <c r="J1308" s="110" t="str">
        <f t="shared" si="40"/>
        <v/>
      </c>
      <c r="L1308" s="110" t="str">
        <f t="shared" si="41"/>
        <v/>
      </c>
    </row>
    <row r="1309" spans="8:12" ht="14.25" customHeight="1" x14ac:dyDescent="0.2">
      <c r="H1309" s="19" t="s">
        <v>1979</v>
      </c>
      <c r="J1309" s="110" t="str">
        <f t="shared" si="40"/>
        <v/>
      </c>
      <c r="L1309" s="110" t="str">
        <f t="shared" si="41"/>
        <v/>
      </c>
    </row>
    <row r="1310" spans="8:12" ht="14.25" customHeight="1" x14ac:dyDescent="0.2">
      <c r="H1310" s="19" t="s">
        <v>1979</v>
      </c>
      <c r="J1310" s="110" t="str">
        <f t="shared" si="40"/>
        <v/>
      </c>
      <c r="L1310" s="110" t="str">
        <f t="shared" si="41"/>
        <v/>
      </c>
    </row>
    <row r="1311" spans="8:12" ht="14.25" customHeight="1" x14ac:dyDescent="0.2">
      <c r="H1311" s="19" t="s">
        <v>1979</v>
      </c>
      <c r="J1311" s="110" t="str">
        <f t="shared" si="40"/>
        <v/>
      </c>
      <c r="L1311" s="110" t="str">
        <f t="shared" si="41"/>
        <v/>
      </c>
    </row>
    <row r="1312" spans="8:12" ht="14.25" customHeight="1" x14ac:dyDescent="0.2">
      <c r="H1312" s="19" t="s">
        <v>1979</v>
      </c>
      <c r="J1312" s="110" t="str">
        <f t="shared" si="40"/>
        <v/>
      </c>
      <c r="L1312" s="110" t="str">
        <f t="shared" si="41"/>
        <v/>
      </c>
    </row>
    <row r="1313" spans="8:12" ht="14.25" customHeight="1" x14ac:dyDescent="0.2">
      <c r="H1313" s="19" t="s">
        <v>1979</v>
      </c>
      <c r="J1313" s="110" t="str">
        <f t="shared" si="40"/>
        <v/>
      </c>
      <c r="L1313" s="110" t="str">
        <f t="shared" si="41"/>
        <v/>
      </c>
    </row>
    <row r="1314" spans="8:12" ht="14.25" customHeight="1" x14ac:dyDescent="0.2">
      <c r="H1314" s="19" t="s">
        <v>1979</v>
      </c>
      <c r="J1314" s="110" t="str">
        <f t="shared" si="40"/>
        <v/>
      </c>
      <c r="L1314" s="110" t="str">
        <f t="shared" si="41"/>
        <v/>
      </c>
    </row>
    <row r="1315" spans="8:12" ht="14.25" customHeight="1" x14ac:dyDescent="0.2">
      <c r="H1315" s="19" t="s">
        <v>1979</v>
      </c>
      <c r="J1315" s="110" t="str">
        <f t="shared" si="40"/>
        <v/>
      </c>
      <c r="L1315" s="110" t="str">
        <f t="shared" si="41"/>
        <v/>
      </c>
    </row>
    <row r="1316" spans="8:12" ht="14.25" customHeight="1" x14ac:dyDescent="0.2">
      <c r="H1316" s="19" t="s">
        <v>1979</v>
      </c>
      <c r="J1316" s="110" t="str">
        <f t="shared" si="40"/>
        <v/>
      </c>
      <c r="L1316" s="110" t="str">
        <f t="shared" si="41"/>
        <v/>
      </c>
    </row>
    <row r="1317" spans="8:12" ht="14.25" customHeight="1" x14ac:dyDescent="0.2">
      <c r="H1317" s="19" t="s">
        <v>1979</v>
      </c>
      <c r="J1317" s="110" t="str">
        <f t="shared" si="40"/>
        <v/>
      </c>
      <c r="L1317" s="110" t="str">
        <f t="shared" si="41"/>
        <v/>
      </c>
    </row>
    <row r="1318" spans="8:12" ht="14.25" customHeight="1" x14ac:dyDescent="0.2">
      <c r="H1318" s="19" t="s">
        <v>1979</v>
      </c>
      <c r="J1318" s="110" t="str">
        <f t="shared" si="40"/>
        <v/>
      </c>
      <c r="L1318" s="110" t="str">
        <f t="shared" si="41"/>
        <v/>
      </c>
    </row>
    <row r="1319" spans="8:12" ht="14.25" customHeight="1" x14ac:dyDescent="0.2">
      <c r="H1319" s="19" t="s">
        <v>1979</v>
      </c>
      <c r="J1319" s="110" t="str">
        <f t="shared" si="40"/>
        <v/>
      </c>
      <c r="L1319" s="110" t="str">
        <f t="shared" si="41"/>
        <v/>
      </c>
    </row>
    <row r="1320" spans="8:12" ht="14.25" customHeight="1" x14ac:dyDescent="0.2">
      <c r="H1320" s="19" t="s">
        <v>1979</v>
      </c>
      <c r="J1320" s="110" t="str">
        <f t="shared" si="40"/>
        <v/>
      </c>
      <c r="L1320" s="110" t="str">
        <f t="shared" si="41"/>
        <v/>
      </c>
    </row>
    <row r="1321" spans="8:12" ht="14.25" customHeight="1" x14ac:dyDescent="0.2">
      <c r="H1321" s="19" t="s">
        <v>1979</v>
      </c>
      <c r="J1321" s="110" t="str">
        <f t="shared" si="40"/>
        <v/>
      </c>
      <c r="L1321" s="110" t="str">
        <f t="shared" si="41"/>
        <v/>
      </c>
    </row>
    <row r="1322" spans="8:12" ht="14.25" customHeight="1" x14ac:dyDescent="0.2">
      <c r="H1322" s="19" t="s">
        <v>1979</v>
      </c>
      <c r="J1322" s="110" t="str">
        <f t="shared" si="40"/>
        <v/>
      </c>
      <c r="L1322" s="110" t="str">
        <f t="shared" si="41"/>
        <v/>
      </c>
    </row>
    <row r="1323" spans="8:12" ht="14.25" customHeight="1" x14ac:dyDescent="0.2">
      <c r="H1323" s="19" t="s">
        <v>1979</v>
      </c>
      <c r="J1323" s="110" t="str">
        <f t="shared" si="40"/>
        <v/>
      </c>
      <c r="L1323" s="110" t="str">
        <f t="shared" si="41"/>
        <v/>
      </c>
    </row>
    <row r="1324" spans="8:12" ht="14.25" customHeight="1" x14ac:dyDescent="0.2">
      <c r="H1324" s="19" t="s">
        <v>1979</v>
      </c>
      <c r="J1324" s="110" t="str">
        <f t="shared" si="40"/>
        <v/>
      </c>
      <c r="L1324" s="110" t="str">
        <f t="shared" si="41"/>
        <v/>
      </c>
    </row>
    <row r="1325" spans="8:12" ht="14.25" customHeight="1" x14ac:dyDescent="0.2">
      <c r="H1325" s="19" t="s">
        <v>1979</v>
      </c>
      <c r="J1325" s="110" t="str">
        <f t="shared" si="40"/>
        <v/>
      </c>
      <c r="L1325" s="110" t="str">
        <f t="shared" si="41"/>
        <v/>
      </c>
    </row>
    <row r="1326" spans="8:12" ht="14.25" customHeight="1" x14ac:dyDescent="0.2">
      <c r="H1326" s="19" t="s">
        <v>1979</v>
      </c>
      <c r="J1326" s="110" t="str">
        <f t="shared" si="40"/>
        <v/>
      </c>
      <c r="L1326" s="110" t="str">
        <f t="shared" si="41"/>
        <v/>
      </c>
    </row>
    <row r="1327" spans="8:12" ht="14.25" customHeight="1" x14ac:dyDescent="0.2">
      <c r="H1327" s="19" t="s">
        <v>1979</v>
      </c>
      <c r="J1327" s="110" t="str">
        <f t="shared" si="40"/>
        <v/>
      </c>
      <c r="L1327" s="110" t="str">
        <f t="shared" si="41"/>
        <v/>
      </c>
    </row>
    <row r="1328" spans="8:12" ht="14.25" customHeight="1" x14ac:dyDescent="0.2">
      <c r="H1328" s="19" t="s">
        <v>1979</v>
      </c>
      <c r="J1328" s="110" t="str">
        <f t="shared" si="40"/>
        <v/>
      </c>
      <c r="L1328" s="110" t="str">
        <f t="shared" si="41"/>
        <v/>
      </c>
    </row>
    <row r="1329" spans="8:12" ht="14.25" customHeight="1" x14ac:dyDescent="0.2">
      <c r="H1329" s="19" t="s">
        <v>1979</v>
      </c>
      <c r="J1329" s="110" t="str">
        <f t="shared" si="40"/>
        <v/>
      </c>
      <c r="L1329" s="110" t="str">
        <f t="shared" si="41"/>
        <v/>
      </c>
    </row>
    <row r="1330" spans="8:12" ht="14.25" customHeight="1" x14ac:dyDescent="0.2">
      <c r="H1330" s="19" t="s">
        <v>1979</v>
      </c>
      <c r="J1330" s="110" t="str">
        <f t="shared" si="40"/>
        <v/>
      </c>
      <c r="L1330" s="110" t="str">
        <f t="shared" si="41"/>
        <v/>
      </c>
    </row>
    <row r="1331" spans="8:12" ht="14.25" customHeight="1" x14ac:dyDescent="0.2">
      <c r="H1331" s="19" t="s">
        <v>1979</v>
      </c>
      <c r="J1331" s="110" t="str">
        <f t="shared" si="40"/>
        <v/>
      </c>
      <c r="L1331" s="110" t="str">
        <f t="shared" si="41"/>
        <v/>
      </c>
    </row>
    <row r="1332" spans="8:12" ht="14.25" customHeight="1" x14ac:dyDescent="0.2">
      <c r="H1332" s="19" t="s">
        <v>1979</v>
      </c>
      <c r="J1332" s="110" t="str">
        <f t="shared" si="40"/>
        <v/>
      </c>
      <c r="L1332" s="110" t="str">
        <f t="shared" si="41"/>
        <v/>
      </c>
    </row>
    <row r="1333" spans="8:12" ht="14.25" customHeight="1" x14ac:dyDescent="0.2">
      <c r="H1333" s="19" t="s">
        <v>1979</v>
      </c>
      <c r="J1333" s="110" t="str">
        <f t="shared" si="40"/>
        <v/>
      </c>
      <c r="L1333" s="110" t="str">
        <f t="shared" si="41"/>
        <v/>
      </c>
    </row>
    <row r="1334" spans="8:12" ht="14.25" customHeight="1" x14ac:dyDescent="0.2">
      <c r="H1334" s="19" t="s">
        <v>1979</v>
      </c>
      <c r="J1334" s="110" t="str">
        <f t="shared" si="40"/>
        <v/>
      </c>
      <c r="L1334" s="110" t="str">
        <f t="shared" si="41"/>
        <v/>
      </c>
    </row>
    <row r="1335" spans="8:12" ht="14.25" customHeight="1" x14ac:dyDescent="0.2">
      <c r="H1335" s="19" t="s">
        <v>1979</v>
      </c>
      <c r="J1335" s="110" t="str">
        <f t="shared" si="40"/>
        <v/>
      </c>
      <c r="L1335" s="110" t="str">
        <f t="shared" si="41"/>
        <v/>
      </c>
    </row>
    <row r="1336" spans="8:12" ht="14.25" customHeight="1" x14ac:dyDescent="0.2">
      <c r="H1336" s="19" t="s">
        <v>1979</v>
      </c>
      <c r="J1336" s="110" t="str">
        <f t="shared" si="40"/>
        <v/>
      </c>
      <c r="L1336" s="110" t="str">
        <f t="shared" si="41"/>
        <v/>
      </c>
    </row>
    <row r="1337" spans="8:12" ht="14.25" customHeight="1" x14ac:dyDescent="0.2">
      <c r="H1337" s="19" t="s">
        <v>1979</v>
      </c>
      <c r="J1337" s="110" t="str">
        <f t="shared" si="40"/>
        <v/>
      </c>
      <c r="L1337" s="110" t="str">
        <f t="shared" si="41"/>
        <v/>
      </c>
    </row>
    <row r="1338" spans="8:12" ht="14.25" customHeight="1" x14ac:dyDescent="0.2">
      <c r="H1338" s="19" t="s">
        <v>1979</v>
      </c>
      <c r="J1338" s="110" t="str">
        <f t="shared" si="40"/>
        <v/>
      </c>
      <c r="L1338" s="110" t="str">
        <f t="shared" si="41"/>
        <v/>
      </c>
    </row>
    <row r="1339" spans="8:12" ht="14.25" customHeight="1" x14ac:dyDescent="0.2">
      <c r="H1339" s="19" t="s">
        <v>1979</v>
      </c>
      <c r="J1339" s="110" t="str">
        <f t="shared" si="40"/>
        <v/>
      </c>
      <c r="L1339" s="110" t="str">
        <f t="shared" si="41"/>
        <v/>
      </c>
    </row>
    <row r="1340" spans="8:12" ht="14.25" customHeight="1" x14ac:dyDescent="0.2">
      <c r="H1340" s="19" t="s">
        <v>1979</v>
      </c>
      <c r="J1340" s="110" t="str">
        <f t="shared" si="40"/>
        <v/>
      </c>
      <c r="L1340" s="110" t="str">
        <f t="shared" si="41"/>
        <v/>
      </c>
    </row>
    <row r="1341" spans="8:12" ht="14.25" customHeight="1" x14ac:dyDescent="0.2">
      <c r="H1341" s="19" t="s">
        <v>1979</v>
      </c>
      <c r="J1341" s="110" t="str">
        <f t="shared" si="40"/>
        <v/>
      </c>
      <c r="L1341" s="110" t="str">
        <f t="shared" si="41"/>
        <v/>
      </c>
    </row>
    <row r="1342" spans="8:12" ht="14.25" customHeight="1" x14ac:dyDescent="0.2">
      <c r="H1342" s="19" t="s">
        <v>1979</v>
      </c>
      <c r="J1342" s="110" t="str">
        <f t="shared" si="40"/>
        <v/>
      </c>
      <c r="L1342" s="110" t="str">
        <f t="shared" si="41"/>
        <v/>
      </c>
    </row>
    <row r="1343" spans="8:12" ht="14.25" customHeight="1" x14ac:dyDescent="0.2">
      <c r="H1343" s="19" t="s">
        <v>1979</v>
      </c>
      <c r="J1343" s="110" t="str">
        <f t="shared" si="40"/>
        <v/>
      </c>
      <c r="L1343" s="110" t="str">
        <f t="shared" si="41"/>
        <v/>
      </c>
    </row>
    <row r="1344" spans="8:12" ht="14.25" customHeight="1" x14ac:dyDescent="0.2">
      <c r="H1344" s="19" t="s">
        <v>1979</v>
      </c>
      <c r="J1344" s="110" t="str">
        <f t="shared" si="40"/>
        <v/>
      </c>
      <c r="L1344" s="110" t="str">
        <f t="shared" si="41"/>
        <v/>
      </c>
    </row>
    <row r="1345" spans="8:12" ht="14.25" customHeight="1" x14ac:dyDescent="0.2">
      <c r="H1345" s="19" t="s">
        <v>1979</v>
      </c>
      <c r="J1345" s="110" t="str">
        <f t="shared" si="40"/>
        <v/>
      </c>
      <c r="L1345" s="110" t="str">
        <f t="shared" si="41"/>
        <v/>
      </c>
    </row>
    <row r="1346" spans="8:12" ht="14.25" customHeight="1" x14ac:dyDescent="0.2">
      <c r="H1346" s="19" t="s">
        <v>1979</v>
      </c>
      <c r="J1346" s="110" t="str">
        <f t="shared" si="40"/>
        <v/>
      </c>
      <c r="L1346" s="110" t="str">
        <f t="shared" si="41"/>
        <v/>
      </c>
    </row>
    <row r="1347" spans="8:12" ht="14.25" customHeight="1" x14ac:dyDescent="0.2">
      <c r="H1347" s="19" t="s">
        <v>1979</v>
      </c>
      <c r="J1347" s="110" t="str">
        <f t="shared" ref="J1347:J1410" si="42">IF(K1347="","", K1347/PI())</f>
        <v/>
      </c>
      <c r="L1347" s="110" t="str">
        <f t="shared" ref="L1347:L1410" si="43">IF(OR(P1347="", N1347="", O1347=""), "", TAN(P1347*PI()/180)*N1347 +O1347)</f>
        <v/>
      </c>
    </row>
    <row r="1348" spans="8:12" ht="14.25" customHeight="1" x14ac:dyDescent="0.2">
      <c r="H1348" s="19" t="s">
        <v>1979</v>
      </c>
      <c r="J1348" s="110" t="str">
        <f t="shared" si="42"/>
        <v/>
      </c>
      <c r="L1348" s="110" t="str">
        <f t="shared" si="43"/>
        <v/>
      </c>
    </row>
    <row r="1349" spans="8:12" ht="14.25" customHeight="1" x14ac:dyDescent="0.2">
      <c r="H1349" s="19" t="s">
        <v>1979</v>
      </c>
      <c r="J1349" s="110" t="str">
        <f t="shared" si="42"/>
        <v/>
      </c>
      <c r="L1349" s="110" t="str">
        <f t="shared" si="43"/>
        <v/>
      </c>
    </row>
    <row r="1350" spans="8:12" ht="14.25" customHeight="1" x14ac:dyDescent="0.2">
      <c r="H1350" s="19" t="s">
        <v>1979</v>
      </c>
      <c r="J1350" s="110" t="str">
        <f t="shared" si="42"/>
        <v/>
      </c>
      <c r="L1350" s="110" t="str">
        <f t="shared" si="43"/>
        <v/>
      </c>
    </row>
    <row r="1351" spans="8:12" ht="14.25" customHeight="1" x14ac:dyDescent="0.2">
      <c r="H1351" s="19" t="s">
        <v>1979</v>
      </c>
      <c r="J1351" s="110" t="str">
        <f t="shared" si="42"/>
        <v/>
      </c>
      <c r="L1351" s="110" t="str">
        <f t="shared" si="43"/>
        <v/>
      </c>
    </row>
    <row r="1352" spans="8:12" ht="14.25" customHeight="1" x14ac:dyDescent="0.2">
      <c r="H1352" s="19" t="s">
        <v>1979</v>
      </c>
      <c r="J1352" s="110" t="str">
        <f t="shared" si="42"/>
        <v/>
      </c>
      <c r="L1352" s="110" t="str">
        <f t="shared" si="43"/>
        <v/>
      </c>
    </row>
    <row r="1353" spans="8:12" ht="14.25" customHeight="1" x14ac:dyDescent="0.2">
      <c r="H1353" s="19" t="s">
        <v>1979</v>
      </c>
      <c r="J1353" s="110" t="str">
        <f t="shared" si="42"/>
        <v/>
      </c>
      <c r="L1353" s="110" t="str">
        <f t="shared" si="43"/>
        <v/>
      </c>
    </row>
    <row r="1354" spans="8:12" ht="14.25" customHeight="1" x14ac:dyDescent="0.2">
      <c r="H1354" s="19" t="s">
        <v>1979</v>
      </c>
      <c r="J1354" s="110" t="str">
        <f t="shared" si="42"/>
        <v/>
      </c>
      <c r="L1354" s="110" t="str">
        <f t="shared" si="43"/>
        <v/>
      </c>
    </row>
    <row r="1355" spans="8:12" ht="14.25" customHeight="1" x14ac:dyDescent="0.2">
      <c r="H1355" s="19" t="s">
        <v>1979</v>
      </c>
      <c r="J1355" s="110" t="str">
        <f t="shared" si="42"/>
        <v/>
      </c>
      <c r="L1355" s="110" t="str">
        <f t="shared" si="43"/>
        <v/>
      </c>
    </row>
    <row r="1356" spans="8:12" ht="14.25" customHeight="1" x14ac:dyDescent="0.2">
      <c r="H1356" s="19" t="s">
        <v>1979</v>
      </c>
      <c r="J1356" s="110" t="str">
        <f t="shared" si="42"/>
        <v/>
      </c>
      <c r="L1356" s="110" t="str">
        <f t="shared" si="43"/>
        <v/>
      </c>
    </row>
    <row r="1357" spans="8:12" ht="14.25" customHeight="1" x14ac:dyDescent="0.2">
      <c r="H1357" s="19" t="s">
        <v>1979</v>
      </c>
      <c r="J1357" s="110" t="str">
        <f t="shared" si="42"/>
        <v/>
      </c>
      <c r="L1357" s="110" t="str">
        <f t="shared" si="43"/>
        <v/>
      </c>
    </row>
    <row r="1358" spans="8:12" ht="14.25" customHeight="1" x14ac:dyDescent="0.2">
      <c r="H1358" s="19" t="s">
        <v>1979</v>
      </c>
      <c r="J1358" s="110" t="str">
        <f t="shared" si="42"/>
        <v/>
      </c>
      <c r="L1358" s="110" t="str">
        <f t="shared" si="43"/>
        <v/>
      </c>
    </row>
    <row r="1359" spans="8:12" ht="14.25" customHeight="1" x14ac:dyDescent="0.2">
      <c r="H1359" s="19" t="s">
        <v>1979</v>
      </c>
      <c r="J1359" s="110" t="str">
        <f t="shared" si="42"/>
        <v/>
      </c>
      <c r="L1359" s="110" t="str">
        <f t="shared" si="43"/>
        <v/>
      </c>
    </row>
    <row r="1360" spans="8:12" ht="14.25" customHeight="1" x14ac:dyDescent="0.2">
      <c r="H1360" s="19" t="s">
        <v>1979</v>
      </c>
      <c r="J1360" s="110" t="str">
        <f t="shared" si="42"/>
        <v/>
      </c>
      <c r="L1360" s="110" t="str">
        <f t="shared" si="43"/>
        <v/>
      </c>
    </row>
    <row r="1361" spans="8:12" ht="14.25" customHeight="1" x14ac:dyDescent="0.2">
      <c r="H1361" s="19" t="s">
        <v>1979</v>
      </c>
      <c r="J1361" s="110" t="str">
        <f t="shared" si="42"/>
        <v/>
      </c>
      <c r="L1361" s="110" t="str">
        <f t="shared" si="43"/>
        <v/>
      </c>
    </row>
    <row r="1362" spans="8:12" ht="14.25" customHeight="1" x14ac:dyDescent="0.2">
      <c r="H1362" s="19" t="s">
        <v>1979</v>
      </c>
      <c r="J1362" s="110" t="str">
        <f t="shared" si="42"/>
        <v/>
      </c>
      <c r="L1362" s="110" t="str">
        <f t="shared" si="43"/>
        <v/>
      </c>
    </row>
    <row r="1363" spans="8:12" ht="14.25" customHeight="1" x14ac:dyDescent="0.2">
      <c r="H1363" s="19" t="s">
        <v>1979</v>
      </c>
      <c r="J1363" s="110" t="str">
        <f t="shared" si="42"/>
        <v/>
      </c>
      <c r="L1363" s="110" t="str">
        <f t="shared" si="43"/>
        <v/>
      </c>
    </row>
    <row r="1364" spans="8:12" ht="14.25" customHeight="1" x14ac:dyDescent="0.2">
      <c r="H1364" s="19" t="s">
        <v>1979</v>
      </c>
      <c r="J1364" s="110" t="str">
        <f t="shared" si="42"/>
        <v/>
      </c>
      <c r="L1364" s="110" t="str">
        <f t="shared" si="43"/>
        <v/>
      </c>
    </row>
    <row r="1365" spans="8:12" ht="14.25" customHeight="1" x14ac:dyDescent="0.2">
      <c r="H1365" s="19" t="s">
        <v>1979</v>
      </c>
      <c r="J1365" s="110" t="str">
        <f t="shared" si="42"/>
        <v/>
      </c>
      <c r="L1365" s="110" t="str">
        <f t="shared" si="43"/>
        <v/>
      </c>
    </row>
    <row r="1366" spans="8:12" ht="14.25" customHeight="1" x14ac:dyDescent="0.2">
      <c r="H1366" s="19" t="s">
        <v>1979</v>
      </c>
      <c r="J1366" s="110" t="str">
        <f t="shared" si="42"/>
        <v/>
      </c>
      <c r="L1366" s="110" t="str">
        <f t="shared" si="43"/>
        <v/>
      </c>
    </row>
    <row r="1367" spans="8:12" ht="14.25" customHeight="1" x14ac:dyDescent="0.2">
      <c r="H1367" s="19" t="s">
        <v>1979</v>
      </c>
      <c r="J1367" s="110" t="str">
        <f t="shared" si="42"/>
        <v/>
      </c>
      <c r="L1367" s="110" t="str">
        <f t="shared" si="43"/>
        <v/>
      </c>
    </row>
    <row r="1368" spans="8:12" ht="14.25" customHeight="1" x14ac:dyDescent="0.2">
      <c r="H1368" s="19" t="s">
        <v>1979</v>
      </c>
      <c r="J1368" s="110" t="str">
        <f t="shared" si="42"/>
        <v/>
      </c>
      <c r="L1368" s="110" t="str">
        <f t="shared" si="43"/>
        <v/>
      </c>
    </row>
    <row r="1369" spans="8:12" ht="14.25" customHeight="1" x14ac:dyDescent="0.2">
      <c r="H1369" s="19" t="s">
        <v>1979</v>
      </c>
      <c r="J1369" s="110" t="str">
        <f t="shared" si="42"/>
        <v/>
      </c>
      <c r="L1369" s="110" t="str">
        <f t="shared" si="43"/>
        <v/>
      </c>
    </row>
    <row r="1370" spans="8:12" ht="14.25" customHeight="1" x14ac:dyDescent="0.2">
      <c r="H1370" s="19" t="s">
        <v>1979</v>
      </c>
      <c r="J1370" s="110" t="str">
        <f t="shared" si="42"/>
        <v/>
      </c>
      <c r="L1370" s="110" t="str">
        <f t="shared" si="43"/>
        <v/>
      </c>
    </row>
    <row r="1371" spans="8:12" ht="14.25" customHeight="1" x14ac:dyDescent="0.2">
      <c r="H1371" s="19" t="s">
        <v>1979</v>
      </c>
      <c r="J1371" s="110" t="str">
        <f t="shared" si="42"/>
        <v/>
      </c>
      <c r="L1371" s="110" t="str">
        <f t="shared" si="43"/>
        <v/>
      </c>
    </row>
    <row r="1372" spans="8:12" ht="14.25" customHeight="1" x14ac:dyDescent="0.2">
      <c r="H1372" s="19" t="s">
        <v>1979</v>
      </c>
      <c r="J1372" s="110" t="str">
        <f t="shared" si="42"/>
        <v/>
      </c>
      <c r="L1372" s="110" t="str">
        <f t="shared" si="43"/>
        <v/>
      </c>
    </row>
    <row r="1373" spans="8:12" ht="14.25" customHeight="1" x14ac:dyDescent="0.2">
      <c r="H1373" s="19" t="s">
        <v>1979</v>
      </c>
      <c r="J1373" s="110" t="str">
        <f t="shared" si="42"/>
        <v/>
      </c>
      <c r="L1373" s="110" t="str">
        <f t="shared" si="43"/>
        <v/>
      </c>
    </row>
    <row r="1374" spans="8:12" ht="14.25" customHeight="1" x14ac:dyDescent="0.2">
      <c r="H1374" s="19" t="s">
        <v>1979</v>
      </c>
      <c r="J1374" s="110" t="str">
        <f t="shared" si="42"/>
        <v/>
      </c>
      <c r="L1374" s="110" t="str">
        <f t="shared" si="43"/>
        <v/>
      </c>
    </row>
    <row r="1375" spans="8:12" ht="14.25" customHeight="1" x14ac:dyDescent="0.2">
      <c r="H1375" s="19" t="s">
        <v>1979</v>
      </c>
      <c r="J1375" s="110" t="str">
        <f t="shared" si="42"/>
        <v/>
      </c>
      <c r="L1375" s="110" t="str">
        <f t="shared" si="43"/>
        <v/>
      </c>
    </row>
    <row r="1376" spans="8:12" ht="14.25" customHeight="1" x14ac:dyDescent="0.2">
      <c r="H1376" s="19" t="s">
        <v>1979</v>
      </c>
      <c r="J1376" s="110" t="str">
        <f t="shared" si="42"/>
        <v/>
      </c>
      <c r="L1376" s="110" t="str">
        <f t="shared" si="43"/>
        <v/>
      </c>
    </row>
    <row r="1377" spans="8:12" ht="14.25" customHeight="1" x14ac:dyDescent="0.2">
      <c r="H1377" s="19" t="s">
        <v>1979</v>
      </c>
      <c r="J1377" s="110" t="str">
        <f t="shared" si="42"/>
        <v/>
      </c>
      <c r="L1377" s="110" t="str">
        <f t="shared" si="43"/>
        <v/>
      </c>
    </row>
    <row r="1378" spans="8:12" ht="14.25" customHeight="1" x14ac:dyDescent="0.2">
      <c r="H1378" s="19" t="s">
        <v>1979</v>
      </c>
      <c r="J1378" s="110" t="str">
        <f t="shared" si="42"/>
        <v/>
      </c>
      <c r="L1378" s="110" t="str">
        <f t="shared" si="43"/>
        <v/>
      </c>
    </row>
    <row r="1379" spans="8:12" ht="14.25" customHeight="1" x14ac:dyDescent="0.2">
      <c r="H1379" s="19" t="s">
        <v>1979</v>
      </c>
      <c r="J1379" s="110" t="str">
        <f t="shared" si="42"/>
        <v/>
      </c>
      <c r="L1379" s="110" t="str">
        <f t="shared" si="43"/>
        <v/>
      </c>
    </row>
    <row r="1380" spans="8:12" ht="14.25" customHeight="1" x14ac:dyDescent="0.2">
      <c r="H1380" s="19" t="s">
        <v>1979</v>
      </c>
      <c r="J1380" s="110" t="str">
        <f t="shared" si="42"/>
        <v/>
      </c>
      <c r="L1380" s="110" t="str">
        <f t="shared" si="43"/>
        <v/>
      </c>
    </row>
    <row r="1381" spans="8:12" ht="14.25" customHeight="1" x14ac:dyDescent="0.2">
      <c r="H1381" s="19" t="s">
        <v>1979</v>
      </c>
      <c r="J1381" s="110" t="str">
        <f t="shared" si="42"/>
        <v/>
      </c>
      <c r="L1381" s="110" t="str">
        <f t="shared" si="43"/>
        <v/>
      </c>
    </row>
    <row r="1382" spans="8:12" ht="14.25" customHeight="1" x14ac:dyDescent="0.2">
      <c r="H1382" s="19" t="s">
        <v>1979</v>
      </c>
      <c r="J1382" s="110" t="str">
        <f t="shared" si="42"/>
        <v/>
      </c>
      <c r="L1382" s="110" t="str">
        <f t="shared" si="43"/>
        <v/>
      </c>
    </row>
    <row r="1383" spans="8:12" ht="14.25" customHeight="1" x14ac:dyDescent="0.2">
      <c r="H1383" s="19" t="s">
        <v>1979</v>
      </c>
      <c r="J1383" s="110" t="str">
        <f t="shared" si="42"/>
        <v/>
      </c>
      <c r="L1383" s="110" t="str">
        <f t="shared" si="43"/>
        <v/>
      </c>
    </row>
    <row r="1384" spans="8:12" ht="14.25" customHeight="1" x14ac:dyDescent="0.2">
      <c r="H1384" s="19" t="s">
        <v>1979</v>
      </c>
      <c r="J1384" s="110" t="str">
        <f t="shared" si="42"/>
        <v/>
      </c>
      <c r="L1384" s="110" t="str">
        <f t="shared" si="43"/>
        <v/>
      </c>
    </row>
    <row r="1385" spans="8:12" ht="14.25" customHeight="1" x14ac:dyDescent="0.2">
      <c r="H1385" s="19" t="s">
        <v>1979</v>
      </c>
      <c r="J1385" s="110" t="str">
        <f t="shared" si="42"/>
        <v/>
      </c>
      <c r="L1385" s="110" t="str">
        <f t="shared" si="43"/>
        <v/>
      </c>
    </row>
    <row r="1386" spans="8:12" ht="14.25" customHeight="1" x14ac:dyDescent="0.2">
      <c r="H1386" s="19" t="s">
        <v>1979</v>
      </c>
      <c r="J1386" s="110" t="str">
        <f t="shared" si="42"/>
        <v/>
      </c>
      <c r="L1386" s="110" t="str">
        <f t="shared" si="43"/>
        <v/>
      </c>
    </row>
    <row r="1387" spans="8:12" ht="14.25" customHeight="1" x14ac:dyDescent="0.2">
      <c r="H1387" s="19" t="s">
        <v>1979</v>
      </c>
      <c r="J1387" s="110" t="str">
        <f t="shared" si="42"/>
        <v/>
      </c>
      <c r="L1387" s="110" t="str">
        <f t="shared" si="43"/>
        <v/>
      </c>
    </row>
    <row r="1388" spans="8:12" ht="14.25" customHeight="1" x14ac:dyDescent="0.2">
      <c r="H1388" s="19" t="s">
        <v>1979</v>
      </c>
      <c r="J1388" s="110" t="str">
        <f t="shared" si="42"/>
        <v/>
      </c>
      <c r="L1388" s="110" t="str">
        <f t="shared" si="43"/>
        <v/>
      </c>
    </row>
    <row r="1389" spans="8:12" ht="14.25" customHeight="1" x14ac:dyDescent="0.2">
      <c r="H1389" s="19" t="s">
        <v>1979</v>
      </c>
      <c r="J1389" s="110" t="str">
        <f t="shared" si="42"/>
        <v/>
      </c>
      <c r="L1389" s="110" t="str">
        <f t="shared" si="43"/>
        <v/>
      </c>
    </row>
    <row r="1390" spans="8:12" ht="14.25" customHeight="1" x14ac:dyDescent="0.2">
      <c r="H1390" s="19" t="s">
        <v>1979</v>
      </c>
      <c r="J1390" s="110" t="str">
        <f t="shared" si="42"/>
        <v/>
      </c>
      <c r="L1390" s="110" t="str">
        <f t="shared" si="43"/>
        <v/>
      </c>
    </row>
    <row r="1391" spans="8:12" ht="14.25" customHeight="1" x14ac:dyDescent="0.2">
      <c r="H1391" s="19" t="s">
        <v>1979</v>
      </c>
      <c r="J1391" s="110" t="str">
        <f t="shared" si="42"/>
        <v/>
      </c>
      <c r="L1391" s="110" t="str">
        <f t="shared" si="43"/>
        <v/>
      </c>
    </row>
    <row r="1392" spans="8:12" ht="14.25" customHeight="1" x14ac:dyDescent="0.2">
      <c r="H1392" s="19" t="s">
        <v>1979</v>
      </c>
      <c r="J1392" s="110" t="str">
        <f t="shared" si="42"/>
        <v/>
      </c>
      <c r="L1392" s="110" t="str">
        <f t="shared" si="43"/>
        <v/>
      </c>
    </row>
    <row r="1393" spans="8:12" ht="14.25" customHeight="1" x14ac:dyDescent="0.2">
      <c r="H1393" s="19" t="s">
        <v>1979</v>
      </c>
      <c r="J1393" s="110" t="str">
        <f t="shared" si="42"/>
        <v/>
      </c>
      <c r="L1393" s="110" t="str">
        <f t="shared" si="43"/>
        <v/>
      </c>
    </row>
    <row r="1394" spans="8:12" ht="14.25" customHeight="1" x14ac:dyDescent="0.2">
      <c r="H1394" s="19" t="s">
        <v>1979</v>
      </c>
      <c r="J1394" s="110" t="str">
        <f t="shared" si="42"/>
        <v/>
      </c>
      <c r="L1394" s="110" t="str">
        <f t="shared" si="43"/>
        <v/>
      </c>
    </row>
    <row r="1395" spans="8:12" ht="14.25" customHeight="1" x14ac:dyDescent="0.2">
      <c r="H1395" s="19" t="s">
        <v>1979</v>
      </c>
      <c r="J1395" s="110" t="str">
        <f t="shared" si="42"/>
        <v/>
      </c>
      <c r="L1395" s="110" t="str">
        <f t="shared" si="43"/>
        <v/>
      </c>
    </row>
    <row r="1396" spans="8:12" ht="14.25" customHeight="1" x14ac:dyDescent="0.2">
      <c r="H1396" s="19" t="s">
        <v>1979</v>
      </c>
      <c r="J1396" s="110" t="str">
        <f t="shared" si="42"/>
        <v/>
      </c>
      <c r="L1396" s="110" t="str">
        <f t="shared" si="43"/>
        <v/>
      </c>
    </row>
    <row r="1397" spans="8:12" ht="14.25" customHeight="1" x14ac:dyDescent="0.2">
      <c r="H1397" s="19" t="s">
        <v>1979</v>
      </c>
      <c r="J1397" s="110" t="str">
        <f t="shared" si="42"/>
        <v/>
      </c>
      <c r="L1397" s="110" t="str">
        <f t="shared" si="43"/>
        <v/>
      </c>
    </row>
    <row r="1398" spans="8:12" ht="14.25" customHeight="1" x14ac:dyDescent="0.2">
      <c r="H1398" s="19" t="s">
        <v>1979</v>
      </c>
      <c r="J1398" s="110" t="str">
        <f t="shared" si="42"/>
        <v/>
      </c>
      <c r="L1398" s="110" t="str">
        <f t="shared" si="43"/>
        <v/>
      </c>
    </row>
    <row r="1399" spans="8:12" ht="14.25" customHeight="1" x14ac:dyDescent="0.2">
      <c r="H1399" s="19" t="s">
        <v>1979</v>
      </c>
      <c r="J1399" s="110" t="str">
        <f t="shared" si="42"/>
        <v/>
      </c>
      <c r="L1399" s="110" t="str">
        <f t="shared" si="43"/>
        <v/>
      </c>
    </row>
    <row r="1400" spans="8:12" ht="14.25" customHeight="1" x14ac:dyDescent="0.2">
      <c r="H1400" s="19" t="s">
        <v>1979</v>
      </c>
      <c r="J1400" s="110" t="str">
        <f t="shared" si="42"/>
        <v/>
      </c>
      <c r="L1400" s="110" t="str">
        <f t="shared" si="43"/>
        <v/>
      </c>
    </row>
    <row r="1401" spans="8:12" ht="14.25" customHeight="1" x14ac:dyDescent="0.2">
      <c r="H1401" s="19" t="s">
        <v>1979</v>
      </c>
      <c r="J1401" s="110" t="str">
        <f t="shared" si="42"/>
        <v/>
      </c>
      <c r="L1401" s="110" t="str">
        <f t="shared" si="43"/>
        <v/>
      </c>
    </row>
    <row r="1402" spans="8:12" ht="14.25" customHeight="1" x14ac:dyDescent="0.2">
      <c r="H1402" s="19" t="s">
        <v>1979</v>
      </c>
      <c r="J1402" s="110" t="str">
        <f t="shared" si="42"/>
        <v/>
      </c>
      <c r="L1402" s="110" t="str">
        <f t="shared" si="43"/>
        <v/>
      </c>
    </row>
    <row r="1403" spans="8:12" ht="14.25" customHeight="1" x14ac:dyDescent="0.2">
      <c r="H1403" s="19" t="s">
        <v>1979</v>
      </c>
      <c r="J1403" s="110" t="str">
        <f t="shared" si="42"/>
        <v/>
      </c>
      <c r="L1403" s="110" t="str">
        <f t="shared" si="43"/>
        <v/>
      </c>
    </row>
    <row r="1404" spans="8:12" ht="14.25" customHeight="1" x14ac:dyDescent="0.2">
      <c r="H1404" s="19" t="s">
        <v>1979</v>
      </c>
      <c r="J1404" s="110" t="str">
        <f t="shared" si="42"/>
        <v/>
      </c>
      <c r="L1404" s="110" t="str">
        <f t="shared" si="43"/>
        <v/>
      </c>
    </row>
    <row r="1405" spans="8:12" ht="14.25" customHeight="1" x14ac:dyDescent="0.2">
      <c r="H1405" s="19" t="s">
        <v>1979</v>
      </c>
      <c r="J1405" s="110" t="str">
        <f t="shared" si="42"/>
        <v/>
      </c>
      <c r="L1405" s="110" t="str">
        <f t="shared" si="43"/>
        <v/>
      </c>
    </row>
    <row r="1406" spans="8:12" ht="14.25" customHeight="1" x14ac:dyDescent="0.2">
      <c r="H1406" s="19" t="s">
        <v>1979</v>
      </c>
      <c r="J1406" s="110" t="str">
        <f t="shared" si="42"/>
        <v/>
      </c>
      <c r="L1406" s="110" t="str">
        <f t="shared" si="43"/>
        <v/>
      </c>
    </row>
    <row r="1407" spans="8:12" ht="14.25" customHeight="1" x14ac:dyDescent="0.2">
      <c r="H1407" s="19" t="s">
        <v>1979</v>
      </c>
      <c r="J1407" s="110" t="str">
        <f t="shared" si="42"/>
        <v/>
      </c>
      <c r="L1407" s="110" t="str">
        <f t="shared" si="43"/>
        <v/>
      </c>
    </row>
    <row r="1408" spans="8:12" ht="14.25" customHeight="1" x14ac:dyDescent="0.2">
      <c r="H1408" s="19" t="s">
        <v>1979</v>
      </c>
      <c r="J1408" s="110" t="str">
        <f t="shared" si="42"/>
        <v/>
      </c>
      <c r="L1408" s="110" t="str">
        <f t="shared" si="43"/>
        <v/>
      </c>
    </row>
    <row r="1409" spans="8:12" ht="14.25" customHeight="1" x14ac:dyDescent="0.2">
      <c r="H1409" s="19" t="s">
        <v>1979</v>
      </c>
      <c r="J1409" s="110" t="str">
        <f t="shared" si="42"/>
        <v/>
      </c>
      <c r="L1409" s="110" t="str">
        <f t="shared" si="43"/>
        <v/>
      </c>
    </row>
    <row r="1410" spans="8:12" ht="14.25" customHeight="1" x14ac:dyDescent="0.2">
      <c r="H1410" s="19" t="s">
        <v>1979</v>
      </c>
      <c r="J1410" s="110" t="str">
        <f t="shared" si="42"/>
        <v/>
      </c>
      <c r="L1410" s="110" t="str">
        <f t="shared" si="43"/>
        <v/>
      </c>
    </row>
    <row r="1411" spans="8:12" ht="14.25" customHeight="1" x14ac:dyDescent="0.2">
      <c r="H1411" s="19" t="s">
        <v>1979</v>
      </c>
      <c r="J1411" s="110" t="str">
        <f t="shared" ref="J1411:J1474" si="44">IF(K1411="","", K1411/PI())</f>
        <v/>
      </c>
      <c r="L1411" s="110" t="str">
        <f t="shared" ref="L1411:L1474" si="45">IF(OR(P1411="", N1411="", O1411=""), "", TAN(P1411*PI()/180)*N1411 +O1411)</f>
        <v/>
      </c>
    </row>
    <row r="1412" spans="8:12" ht="14.25" customHeight="1" x14ac:dyDescent="0.2">
      <c r="H1412" s="19" t="s">
        <v>1979</v>
      </c>
      <c r="J1412" s="110" t="str">
        <f t="shared" si="44"/>
        <v/>
      </c>
      <c r="L1412" s="110" t="str">
        <f t="shared" si="45"/>
        <v/>
      </c>
    </row>
    <row r="1413" spans="8:12" ht="14.25" customHeight="1" x14ac:dyDescent="0.2">
      <c r="H1413" s="19" t="s">
        <v>1979</v>
      </c>
      <c r="J1413" s="110" t="str">
        <f t="shared" si="44"/>
        <v/>
      </c>
      <c r="L1413" s="110" t="str">
        <f t="shared" si="45"/>
        <v/>
      </c>
    </row>
    <row r="1414" spans="8:12" ht="14.25" customHeight="1" x14ac:dyDescent="0.2">
      <c r="H1414" s="19" t="s">
        <v>1979</v>
      </c>
      <c r="J1414" s="110" t="str">
        <f t="shared" si="44"/>
        <v/>
      </c>
      <c r="L1414" s="110" t="str">
        <f t="shared" si="45"/>
        <v/>
      </c>
    </row>
    <row r="1415" spans="8:12" ht="14.25" customHeight="1" x14ac:dyDescent="0.2">
      <c r="H1415" s="19" t="s">
        <v>1979</v>
      </c>
      <c r="J1415" s="110" t="str">
        <f t="shared" si="44"/>
        <v/>
      </c>
      <c r="L1415" s="110" t="str">
        <f t="shared" si="45"/>
        <v/>
      </c>
    </row>
    <row r="1416" spans="8:12" ht="14.25" customHeight="1" x14ac:dyDescent="0.2">
      <c r="H1416" s="19" t="s">
        <v>1979</v>
      </c>
      <c r="J1416" s="110" t="str">
        <f t="shared" si="44"/>
        <v/>
      </c>
      <c r="L1416" s="110" t="str">
        <f t="shared" si="45"/>
        <v/>
      </c>
    </row>
    <row r="1417" spans="8:12" ht="14.25" customHeight="1" x14ac:dyDescent="0.2">
      <c r="H1417" s="19" t="s">
        <v>1979</v>
      </c>
      <c r="J1417" s="110" t="str">
        <f t="shared" si="44"/>
        <v/>
      </c>
      <c r="L1417" s="110" t="str">
        <f t="shared" si="45"/>
        <v/>
      </c>
    </row>
    <row r="1418" spans="8:12" ht="14.25" customHeight="1" x14ac:dyDescent="0.2">
      <c r="H1418" s="19" t="s">
        <v>1979</v>
      </c>
      <c r="J1418" s="110" t="str">
        <f t="shared" si="44"/>
        <v/>
      </c>
      <c r="L1418" s="110" t="str">
        <f t="shared" si="45"/>
        <v/>
      </c>
    </row>
    <row r="1419" spans="8:12" ht="14.25" customHeight="1" x14ac:dyDescent="0.2">
      <c r="H1419" s="19" t="s">
        <v>1979</v>
      </c>
      <c r="J1419" s="110" t="str">
        <f t="shared" si="44"/>
        <v/>
      </c>
      <c r="L1419" s="110" t="str">
        <f t="shared" si="45"/>
        <v/>
      </c>
    </row>
    <row r="1420" spans="8:12" ht="14.25" customHeight="1" x14ac:dyDescent="0.2">
      <c r="H1420" s="19" t="s">
        <v>1979</v>
      </c>
      <c r="J1420" s="110" t="str">
        <f t="shared" si="44"/>
        <v/>
      </c>
      <c r="L1420" s="110" t="str">
        <f t="shared" si="45"/>
        <v/>
      </c>
    </row>
    <row r="1421" spans="8:12" ht="14.25" customHeight="1" x14ac:dyDescent="0.2">
      <c r="H1421" s="19" t="s">
        <v>1979</v>
      </c>
      <c r="J1421" s="110" t="str">
        <f t="shared" si="44"/>
        <v/>
      </c>
      <c r="L1421" s="110" t="str">
        <f t="shared" si="45"/>
        <v/>
      </c>
    </row>
    <row r="1422" spans="8:12" ht="14.25" customHeight="1" x14ac:dyDescent="0.2">
      <c r="H1422" s="19" t="s">
        <v>1979</v>
      </c>
      <c r="J1422" s="110" t="str">
        <f t="shared" si="44"/>
        <v/>
      </c>
      <c r="L1422" s="110" t="str">
        <f t="shared" si="45"/>
        <v/>
      </c>
    </row>
    <row r="1423" spans="8:12" ht="14.25" customHeight="1" x14ac:dyDescent="0.2">
      <c r="H1423" s="19" t="s">
        <v>1979</v>
      </c>
      <c r="J1423" s="110" t="str">
        <f t="shared" si="44"/>
        <v/>
      </c>
      <c r="L1423" s="110" t="str">
        <f t="shared" si="45"/>
        <v/>
      </c>
    </row>
    <row r="1424" spans="8:12" ht="14.25" customHeight="1" x14ac:dyDescent="0.2">
      <c r="H1424" s="19" t="s">
        <v>1979</v>
      </c>
      <c r="J1424" s="110" t="str">
        <f t="shared" si="44"/>
        <v/>
      </c>
      <c r="L1424" s="110" t="str">
        <f t="shared" si="45"/>
        <v/>
      </c>
    </row>
    <row r="1425" spans="8:12" ht="14.25" customHeight="1" x14ac:dyDescent="0.2">
      <c r="H1425" s="19" t="s">
        <v>1979</v>
      </c>
      <c r="J1425" s="110" t="str">
        <f t="shared" si="44"/>
        <v/>
      </c>
      <c r="L1425" s="110" t="str">
        <f t="shared" si="45"/>
        <v/>
      </c>
    </row>
    <row r="1426" spans="8:12" ht="14.25" customHeight="1" x14ac:dyDescent="0.2">
      <c r="H1426" s="19" t="s">
        <v>1979</v>
      </c>
      <c r="J1426" s="110" t="str">
        <f t="shared" si="44"/>
        <v/>
      </c>
      <c r="L1426" s="110" t="str">
        <f t="shared" si="45"/>
        <v/>
      </c>
    </row>
    <row r="1427" spans="8:12" ht="14.25" customHeight="1" x14ac:dyDescent="0.2">
      <c r="H1427" s="19" t="s">
        <v>1979</v>
      </c>
      <c r="J1427" s="110" t="str">
        <f t="shared" si="44"/>
        <v/>
      </c>
      <c r="L1427" s="110" t="str">
        <f t="shared" si="45"/>
        <v/>
      </c>
    </row>
    <row r="1428" spans="8:12" ht="14.25" customHeight="1" x14ac:dyDescent="0.2">
      <c r="H1428" s="19" t="s">
        <v>1979</v>
      </c>
      <c r="J1428" s="110" t="str">
        <f t="shared" si="44"/>
        <v/>
      </c>
      <c r="L1428" s="110" t="str">
        <f t="shared" si="45"/>
        <v/>
      </c>
    </row>
    <row r="1429" spans="8:12" ht="14.25" customHeight="1" x14ac:dyDescent="0.2">
      <c r="H1429" s="19" t="s">
        <v>1979</v>
      </c>
      <c r="J1429" s="110" t="str">
        <f t="shared" si="44"/>
        <v/>
      </c>
      <c r="L1429" s="110" t="str">
        <f t="shared" si="45"/>
        <v/>
      </c>
    </row>
    <row r="1430" spans="8:12" ht="14.25" customHeight="1" x14ac:dyDescent="0.2">
      <c r="H1430" s="19" t="s">
        <v>1979</v>
      </c>
      <c r="J1430" s="110" t="str">
        <f t="shared" si="44"/>
        <v/>
      </c>
      <c r="L1430" s="110" t="str">
        <f t="shared" si="45"/>
        <v/>
      </c>
    </row>
    <row r="1431" spans="8:12" ht="14.25" customHeight="1" x14ac:dyDescent="0.2">
      <c r="H1431" s="19" t="s">
        <v>1979</v>
      </c>
      <c r="J1431" s="110" t="str">
        <f t="shared" si="44"/>
        <v/>
      </c>
      <c r="L1431" s="110" t="str">
        <f t="shared" si="45"/>
        <v/>
      </c>
    </row>
    <row r="1432" spans="8:12" ht="14.25" customHeight="1" x14ac:dyDescent="0.2">
      <c r="H1432" s="19" t="s">
        <v>1979</v>
      </c>
      <c r="J1432" s="110" t="str">
        <f t="shared" si="44"/>
        <v/>
      </c>
      <c r="L1432" s="110" t="str">
        <f t="shared" si="45"/>
        <v/>
      </c>
    </row>
    <row r="1433" spans="8:12" ht="14.25" customHeight="1" x14ac:dyDescent="0.2">
      <c r="H1433" s="19" t="s">
        <v>1979</v>
      </c>
      <c r="J1433" s="110" t="str">
        <f t="shared" si="44"/>
        <v/>
      </c>
      <c r="L1433" s="110" t="str">
        <f t="shared" si="45"/>
        <v/>
      </c>
    </row>
    <row r="1434" spans="8:12" ht="14.25" customHeight="1" x14ac:dyDescent="0.2">
      <c r="H1434" s="19" t="s">
        <v>1979</v>
      </c>
      <c r="J1434" s="110" t="str">
        <f t="shared" si="44"/>
        <v/>
      </c>
      <c r="L1434" s="110" t="str">
        <f t="shared" si="45"/>
        <v/>
      </c>
    </row>
    <row r="1435" spans="8:12" ht="14.25" customHeight="1" x14ac:dyDescent="0.2">
      <c r="H1435" s="19" t="s">
        <v>1979</v>
      </c>
      <c r="J1435" s="110" t="str">
        <f t="shared" si="44"/>
        <v/>
      </c>
      <c r="L1435" s="110" t="str">
        <f t="shared" si="45"/>
        <v/>
      </c>
    </row>
    <row r="1436" spans="8:12" ht="14.25" customHeight="1" x14ac:dyDescent="0.2">
      <c r="H1436" s="19" t="s">
        <v>1979</v>
      </c>
      <c r="J1436" s="110" t="str">
        <f t="shared" si="44"/>
        <v/>
      </c>
      <c r="L1436" s="110" t="str">
        <f t="shared" si="45"/>
        <v/>
      </c>
    </row>
    <row r="1437" spans="8:12" ht="14.25" customHeight="1" x14ac:dyDescent="0.2">
      <c r="H1437" s="19" t="s">
        <v>1979</v>
      </c>
      <c r="J1437" s="110" t="str">
        <f t="shared" si="44"/>
        <v/>
      </c>
      <c r="L1437" s="110" t="str">
        <f t="shared" si="45"/>
        <v/>
      </c>
    </row>
    <row r="1438" spans="8:12" ht="14.25" customHeight="1" x14ac:dyDescent="0.2">
      <c r="H1438" s="19" t="s">
        <v>1979</v>
      </c>
      <c r="J1438" s="110" t="str">
        <f t="shared" si="44"/>
        <v/>
      </c>
      <c r="L1438" s="110" t="str">
        <f t="shared" si="45"/>
        <v/>
      </c>
    </row>
    <row r="1439" spans="8:12" ht="14.25" customHeight="1" x14ac:dyDescent="0.2">
      <c r="H1439" s="19" t="s">
        <v>1979</v>
      </c>
      <c r="J1439" s="110" t="str">
        <f t="shared" si="44"/>
        <v/>
      </c>
      <c r="L1439" s="110" t="str">
        <f t="shared" si="45"/>
        <v/>
      </c>
    </row>
    <row r="1440" spans="8:12" ht="14.25" customHeight="1" x14ac:dyDescent="0.2">
      <c r="H1440" s="19" t="s">
        <v>1979</v>
      </c>
      <c r="J1440" s="110" t="str">
        <f t="shared" si="44"/>
        <v/>
      </c>
      <c r="L1440" s="110" t="str">
        <f t="shared" si="45"/>
        <v/>
      </c>
    </row>
    <row r="1441" spans="8:12" ht="14.25" customHeight="1" x14ac:dyDescent="0.2">
      <c r="H1441" s="19" t="s">
        <v>1979</v>
      </c>
      <c r="J1441" s="110" t="str">
        <f t="shared" si="44"/>
        <v/>
      </c>
      <c r="L1441" s="110" t="str">
        <f t="shared" si="45"/>
        <v/>
      </c>
    </row>
    <row r="1442" spans="8:12" ht="14.25" customHeight="1" x14ac:dyDescent="0.2">
      <c r="H1442" s="19" t="s">
        <v>1979</v>
      </c>
      <c r="J1442" s="110" t="str">
        <f t="shared" si="44"/>
        <v/>
      </c>
      <c r="L1442" s="110" t="str">
        <f t="shared" si="45"/>
        <v/>
      </c>
    </row>
    <row r="1443" spans="8:12" ht="14.25" customHeight="1" x14ac:dyDescent="0.2">
      <c r="H1443" s="19" t="s">
        <v>1979</v>
      </c>
      <c r="J1443" s="110" t="str">
        <f t="shared" si="44"/>
        <v/>
      </c>
      <c r="L1443" s="110" t="str">
        <f t="shared" si="45"/>
        <v/>
      </c>
    </row>
    <row r="1444" spans="8:12" ht="14.25" customHeight="1" x14ac:dyDescent="0.2">
      <c r="H1444" s="19" t="s">
        <v>1979</v>
      </c>
      <c r="J1444" s="110" t="str">
        <f t="shared" si="44"/>
        <v/>
      </c>
      <c r="L1444" s="110" t="str">
        <f t="shared" si="45"/>
        <v/>
      </c>
    </row>
    <row r="1445" spans="8:12" ht="14.25" customHeight="1" x14ac:dyDescent="0.2">
      <c r="H1445" s="19" t="s">
        <v>1979</v>
      </c>
      <c r="J1445" s="110" t="str">
        <f t="shared" si="44"/>
        <v/>
      </c>
      <c r="L1445" s="110" t="str">
        <f t="shared" si="45"/>
        <v/>
      </c>
    </row>
    <row r="1446" spans="8:12" ht="14.25" customHeight="1" x14ac:dyDescent="0.2">
      <c r="H1446" s="19" t="s">
        <v>1979</v>
      </c>
      <c r="J1446" s="110" t="str">
        <f t="shared" si="44"/>
        <v/>
      </c>
      <c r="L1446" s="110" t="str">
        <f t="shared" si="45"/>
        <v/>
      </c>
    </row>
    <row r="1447" spans="8:12" ht="14.25" customHeight="1" x14ac:dyDescent="0.2">
      <c r="H1447" s="19" t="s">
        <v>1979</v>
      </c>
      <c r="J1447" s="110" t="str">
        <f t="shared" si="44"/>
        <v/>
      </c>
      <c r="L1447" s="110" t="str">
        <f t="shared" si="45"/>
        <v/>
      </c>
    </row>
    <row r="1448" spans="8:12" ht="14.25" customHeight="1" x14ac:dyDescent="0.2">
      <c r="H1448" s="19" t="s">
        <v>1979</v>
      </c>
      <c r="J1448" s="110" t="str">
        <f t="shared" si="44"/>
        <v/>
      </c>
      <c r="L1448" s="110" t="str">
        <f t="shared" si="45"/>
        <v/>
      </c>
    </row>
    <row r="1449" spans="8:12" ht="14.25" customHeight="1" x14ac:dyDescent="0.2">
      <c r="H1449" s="19" t="s">
        <v>1979</v>
      </c>
      <c r="J1449" s="110" t="str">
        <f t="shared" si="44"/>
        <v/>
      </c>
      <c r="L1449" s="110" t="str">
        <f t="shared" si="45"/>
        <v/>
      </c>
    </row>
    <row r="1450" spans="8:12" ht="14.25" customHeight="1" x14ac:dyDescent="0.2">
      <c r="H1450" s="19" t="s">
        <v>1979</v>
      </c>
      <c r="J1450" s="110" t="str">
        <f t="shared" si="44"/>
        <v/>
      </c>
      <c r="L1450" s="110" t="str">
        <f t="shared" si="45"/>
        <v/>
      </c>
    </row>
    <row r="1451" spans="8:12" ht="14.25" customHeight="1" x14ac:dyDescent="0.2">
      <c r="H1451" s="19" t="s">
        <v>1979</v>
      </c>
      <c r="J1451" s="110" t="str">
        <f t="shared" si="44"/>
        <v/>
      </c>
      <c r="L1451" s="110" t="str">
        <f t="shared" si="45"/>
        <v/>
      </c>
    </row>
    <row r="1452" spans="8:12" ht="14.25" customHeight="1" x14ac:dyDescent="0.2">
      <c r="H1452" s="19" t="s">
        <v>1979</v>
      </c>
      <c r="J1452" s="110" t="str">
        <f t="shared" si="44"/>
        <v/>
      </c>
      <c r="L1452" s="110" t="str">
        <f t="shared" si="45"/>
        <v/>
      </c>
    </row>
    <row r="1453" spans="8:12" ht="14.25" customHeight="1" x14ac:dyDescent="0.2">
      <c r="H1453" s="19" t="s">
        <v>1979</v>
      </c>
      <c r="J1453" s="110" t="str">
        <f t="shared" si="44"/>
        <v/>
      </c>
      <c r="L1453" s="110" t="str">
        <f t="shared" si="45"/>
        <v/>
      </c>
    </row>
    <row r="1454" spans="8:12" ht="14.25" customHeight="1" x14ac:dyDescent="0.2">
      <c r="H1454" s="19" t="s">
        <v>1979</v>
      </c>
      <c r="J1454" s="110" t="str">
        <f t="shared" si="44"/>
        <v/>
      </c>
      <c r="L1454" s="110" t="str">
        <f t="shared" si="45"/>
        <v/>
      </c>
    </row>
    <row r="1455" spans="8:12" ht="14.25" customHeight="1" x14ac:dyDescent="0.2">
      <c r="H1455" s="19" t="s">
        <v>1979</v>
      </c>
      <c r="J1455" s="110" t="str">
        <f t="shared" si="44"/>
        <v/>
      </c>
      <c r="L1455" s="110" t="str">
        <f t="shared" si="45"/>
        <v/>
      </c>
    </row>
    <row r="1456" spans="8:12" ht="14.25" customHeight="1" x14ac:dyDescent="0.2">
      <c r="H1456" s="19" t="s">
        <v>1979</v>
      </c>
      <c r="J1456" s="110" t="str">
        <f t="shared" si="44"/>
        <v/>
      </c>
      <c r="L1456" s="110" t="str">
        <f t="shared" si="45"/>
        <v/>
      </c>
    </row>
    <row r="1457" spans="8:12" ht="14.25" customHeight="1" x14ac:dyDescent="0.2">
      <c r="H1457" s="19" t="s">
        <v>1979</v>
      </c>
      <c r="J1457" s="110" t="str">
        <f t="shared" si="44"/>
        <v/>
      </c>
      <c r="L1457" s="110" t="str">
        <f t="shared" si="45"/>
        <v/>
      </c>
    </row>
    <row r="1458" spans="8:12" ht="14.25" customHeight="1" x14ac:dyDescent="0.2">
      <c r="H1458" s="19" t="s">
        <v>1979</v>
      </c>
      <c r="J1458" s="110" t="str">
        <f t="shared" si="44"/>
        <v/>
      </c>
      <c r="L1458" s="110" t="str">
        <f t="shared" si="45"/>
        <v/>
      </c>
    </row>
    <row r="1459" spans="8:12" ht="14.25" customHeight="1" x14ac:dyDescent="0.2">
      <c r="H1459" s="19" t="s">
        <v>1979</v>
      </c>
      <c r="J1459" s="110" t="str">
        <f t="shared" si="44"/>
        <v/>
      </c>
      <c r="L1459" s="110" t="str">
        <f t="shared" si="45"/>
        <v/>
      </c>
    </row>
    <row r="1460" spans="8:12" ht="14.25" customHeight="1" x14ac:dyDescent="0.2">
      <c r="H1460" s="19" t="s">
        <v>1979</v>
      </c>
      <c r="J1460" s="110" t="str">
        <f t="shared" si="44"/>
        <v/>
      </c>
      <c r="L1460" s="110" t="str">
        <f t="shared" si="45"/>
        <v/>
      </c>
    </row>
    <row r="1461" spans="8:12" ht="14.25" customHeight="1" x14ac:dyDescent="0.2">
      <c r="H1461" s="19" t="s">
        <v>1979</v>
      </c>
      <c r="J1461" s="110" t="str">
        <f t="shared" si="44"/>
        <v/>
      </c>
      <c r="L1461" s="110" t="str">
        <f t="shared" si="45"/>
        <v/>
      </c>
    </row>
    <row r="1462" spans="8:12" ht="14.25" customHeight="1" x14ac:dyDescent="0.2">
      <c r="H1462" s="19" t="s">
        <v>1979</v>
      </c>
      <c r="J1462" s="110" t="str">
        <f t="shared" si="44"/>
        <v/>
      </c>
      <c r="L1462" s="110" t="str">
        <f t="shared" si="45"/>
        <v/>
      </c>
    </row>
    <row r="1463" spans="8:12" ht="14.25" customHeight="1" x14ac:dyDescent="0.2">
      <c r="H1463" s="19" t="s">
        <v>1979</v>
      </c>
      <c r="J1463" s="110" t="str">
        <f t="shared" si="44"/>
        <v/>
      </c>
      <c r="L1463" s="110" t="str">
        <f t="shared" si="45"/>
        <v/>
      </c>
    </row>
    <row r="1464" spans="8:12" ht="14.25" customHeight="1" x14ac:dyDescent="0.2">
      <c r="H1464" s="19" t="s">
        <v>1979</v>
      </c>
      <c r="J1464" s="110" t="str">
        <f t="shared" si="44"/>
        <v/>
      </c>
      <c r="L1464" s="110" t="str">
        <f t="shared" si="45"/>
        <v/>
      </c>
    </row>
    <row r="1465" spans="8:12" ht="14.25" customHeight="1" x14ac:dyDescent="0.2">
      <c r="H1465" s="19" t="s">
        <v>1979</v>
      </c>
      <c r="J1465" s="110" t="str">
        <f t="shared" si="44"/>
        <v/>
      </c>
      <c r="L1465" s="110" t="str">
        <f t="shared" si="45"/>
        <v/>
      </c>
    </row>
    <row r="1466" spans="8:12" ht="14.25" customHeight="1" x14ac:dyDescent="0.2">
      <c r="H1466" s="19" t="s">
        <v>1979</v>
      </c>
      <c r="J1466" s="110" t="str">
        <f t="shared" si="44"/>
        <v/>
      </c>
      <c r="L1466" s="110" t="str">
        <f t="shared" si="45"/>
        <v/>
      </c>
    </row>
    <row r="1467" spans="8:12" ht="14.25" customHeight="1" x14ac:dyDescent="0.2">
      <c r="H1467" s="19" t="s">
        <v>1979</v>
      </c>
      <c r="J1467" s="110" t="str">
        <f t="shared" si="44"/>
        <v/>
      </c>
      <c r="L1467" s="110" t="str">
        <f t="shared" si="45"/>
        <v/>
      </c>
    </row>
    <row r="1468" spans="8:12" ht="14.25" customHeight="1" x14ac:dyDescent="0.2">
      <c r="H1468" s="19" t="s">
        <v>1979</v>
      </c>
      <c r="J1468" s="110" t="str">
        <f t="shared" si="44"/>
        <v/>
      </c>
      <c r="L1468" s="110" t="str">
        <f t="shared" si="45"/>
        <v/>
      </c>
    </row>
    <row r="1469" spans="8:12" ht="14.25" customHeight="1" x14ac:dyDescent="0.2">
      <c r="H1469" s="19" t="s">
        <v>1979</v>
      </c>
      <c r="J1469" s="110" t="str">
        <f t="shared" si="44"/>
        <v/>
      </c>
      <c r="L1469" s="110" t="str">
        <f t="shared" si="45"/>
        <v/>
      </c>
    </row>
    <row r="1470" spans="8:12" ht="14.25" customHeight="1" x14ac:dyDescent="0.2">
      <c r="H1470" s="19" t="s">
        <v>1979</v>
      </c>
      <c r="J1470" s="110" t="str">
        <f t="shared" si="44"/>
        <v/>
      </c>
      <c r="L1470" s="110" t="str">
        <f t="shared" si="45"/>
        <v/>
      </c>
    </row>
    <row r="1471" spans="8:12" ht="14.25" customHeight="1" x14ac:dyDescent="0.2">
      <c r="H1471" s="19" t="s">
        <v>1979</v>
      </c>
      <c r="J1471" s="110" t="str">
        <f t="shared" si="44"/>
        <v/>
      </c>
      <c r="L1471" s="110" t="str">
        <f t="shared" si="45"/>
        <v/>
      </c>
    </row>
    <row r="1472" spans="8:12" ht="14.25" customHeight="1" x14ac:dyDescent="0.2">
      <c r="H1472" s="19" t="s">
        <v>1979</v>
      </c>
      <c r="J1472" s="110" t="str">
        <f t="shared" si="44"/>
        <v/>
      </c>
      <c r="L1472" s="110" t="str">
        <f t="shared" si="45"/>
        <v/>
      </c>
    </row>
    <row r="1473" spans="8:12" ht="14.25" customHeight="1" x14ac:dyDescent="0.2">
      <c r="H1473" s="19" t="s">
        <v>1979</v>
      </c>
      <c r="J1473" s="110" t="str">
        <f t="shared" si="44"/>
        <v/>
      </c>
      <c r="L1473" s="110" t="str">
        <f t="shared" si="45"/>
        <v/>
      </c>
    </row>
    <row r="1474" spans="8:12" ht="14.25" customHeight="1" x14ac:dyDescent="0.2">
      <c r="H1474" s="19" t="s">
        <v>1979</v>
      </c>
      <c r="J1474" s="110" t="str">
        <f t="shared" si="44"/>
        <v/>
      </c>
      <c r="L1474" s="110" t="str">
        <f t="shared" si="45"/>
        <v/>
      </c>
    </row>
    <row r="1475" spans="8:12" ht="14.25" customHeight="1" x14ac:dyDescent="0.2">
      <c r="H1475" s="19" t="s">
        <v>1979</v>
      </c>
      <c r="J1475" s="110" t="str">
        <f t="shared" ref="J1475:J1538" si="46">IF(K1475="","", K1475/PI())</f>
        <v/>
      </c>
      <c r="L1475" s="110" t="str">
        <f t="shared" ref="L1475:L1538" si="47">IF(OR(P1475="", N1475="", O1475=""), "", TAN(P1475*PI()/180)*N1475 +O1475)</f>
        <v/>
      </c>
    </row>
    <row r="1476" spans="8:12" ht="14.25" customHeight="1" x14ac:dyDescent="0.2">
      <c r="H1476" s="19" t="s">
        <v>1979</v>
      </c>
      <c r="J1476" s="110" t="str">
        <f t="shared" si="46"/>
        <v/>
      </c>
      <c r="L1476" s="110" t="str">
        <f t="shared" si="47"/>
        <v/>
      </c>
    </row>
    <row r="1477" spans="8:12" ht="14.25" customHeight="1" x14ac:dyDescent="0.2">
      <c r="H1477" s="19" t="s">
        <v>1979</v>
      </c>
      <c r="J1477" s="110" t="str">
        <f t="shared" si="46"/>
        <v/>
      </c>
      <c r="L1477" s="110" t="str">
        <f t="shared" si="47"/>
        <v/>
      </c>
    </row>
    <row r="1478" spans="8:12" ht="14.25" customHeight="1" x14ac:dyDescent="0.2">
      <c r="H1478" s="19" t="s">
        <v>1979</v>
      </c>
      <c r="J1478" s="110" t="str">
        <f t="shared" si="46"/>
        <v/>
      </c>
      <c r="L1478" s="110" t="str">
        <f t="shared" si="47"/>
        <v/>
      </c>
    </row>
    <row r="1479" spans="8:12" ht="14.25" customHeight="1" x14ac:dyDescent="0.2">
      <c r="H1479" s="19" t="s">
        <v>1979</v>
      </c>
      <c r="J1479" s="110" t="str">
        <f t="shared" si="46"/>
        <v/>
      </c>
      <c r="L1479" s="110" t="str">
        <f t="shared" si="47"/>
        <v/>
      </c>
    </row>
    <row r="1480" spans="8:12" ht="14.25" customHeight="1" x14ac:dyDescent="0.2">
      <c r="H1480" s="19" t="s">
        <v>1979</v>
      </c>
      <c r="J1480" s="110" t="str">
        <f t="shared" si="46"/>
        <v/>
      </c>
      <c r="L1480" s="110" t="str">
        <f t="shared" si="47"/>
        <v/>
      </c>
    </row>
    <row r="1481" spans="8:12" ht="14.25" customHeight="1" x14ac:dyDescent="0.2">
      <c r="H1481" s="19" t="s">
        <v>1979</v>
      </c>
      <c r="J1481" s="110" t="str">
        <f t="shared" si="46"/>
        <v/>
      </c>
      <c r="L1481" s="110" t="str">
        <f t="shared" si="47"/>
        <v/>
      </c>
    </row>
    <row r="1482" spans="8:12" ht="14.25" customHeight="1" x14ac:dyDescent="0.2">
      <c r="H1482" s="19" t="s">
        <v>1979</v>
      </c>
      <c r="J1482" s="110" t="str">
        <f t="shared" si="46"/>
        <v/>
      </c>
      <c r="L1482" s="110" t="str">
        <f t="shared" si="47"/>
        <v/>
      </c>
    </row>
    <row r="1483" spans="8:12" ht="14.25" customHeight="1" x14ac:dyDescent="0.2">
      <c r="H1483" s="19" t="s">
        <v>1979</v>
      </c>
      <c r="J1483" s="110" t="str">
        <f t="shared" si="46"/>
        <v/>
      </c>
      <c r="L1483" s="110" t="str">
        <f t="shared" si="47"/>
        <v/>
      </c>
    </row>
    <row r="1484" spans="8:12" ht="14.25" customHeight="1" x14ac:dyDescent="0.2">
      <c r="H1484" s="19" t="s">
        <v>1979</v>
      </c>
      <c r="J1484" s="110" t="str">
        <f t="shared" si="46"/>
        <v/>
      </c>
      <c r="L1484" s="110" t="str">
        <f t="shared" si="47"/>
        <v/>
      </c>
    </row>
    <row r="1485" spans="8:12" ht="14.25" customHeight="1" x14ac:dyDescent="0.2">
      <c r="H1485" s="19" t="s">
        <v>1979</v>
      </c>
      <c r="J1485" s="110" t="str">
        <f t="shared" si="46"/>
        <v/>
      </c>
      <c r="L1485" s="110" t="str">
        <f t="shared" si="47"/>
        <v/>
      </c>
    </row>
    <row r="1486" spans="8:12" ht="14.25" customHeight="1" x14ac:dyDescent="0.2">
      <c r="H1486" s="19" t="s">
        <v>1979</v>
      </c>
      <c r="J1486" s="110" t="str">
        <f t="shared" si="46"/>
        <v/>
      </c>
      <c r="L1486" s="110" t="str">
        <f t="shared" si="47"/>
        <v/>
      </c>
    </row>
    <row r="1487" spans="8:12" ht="14.25" customHeight="1" x14ac:dyDescent="0.2">
      <c r="H1487" s="19" t="s">
        <v>1979</v>
      </c>
      <c r="J1487" s="110" t="str">
        <f t="shared" si="46"/>
        <v/>
      </c>
      <c r="L1487" s="110" t="str">
        <f t="shared" si="47"/>
        <v/>
      </c>
    </row>
    <row r="1488" spans="8:12" ht="14.25" customHeight="1" x14ac:dyDescent="0.2">
      <c r="H1488" s="19" t="s">
        <v>1979</v>
      </c>
      <c r="J1488" s="110" t="str">
        <f t="shared" si="46"/>
        <v/>
      </c>
      <c r="L1488" s="110" t="str">
        <f t="shared" si="47"/>
        <v/>
      </c>
    </row>
    <row r="1489" spans="8:12" ht="14.25" customHeight="1" x14ac:dyDescent="0.2">
      <c r="H1489" s="19" t="s">
        <v>1979</v>
      </c>
      <c r="J1489" s="110" t="str">
        <f t="shared" si="46"/>
        <v/>
      </c>
      <c r="L1489" s="110" t="str">
        <f t="shared" si="47"/>
        <v/>
      </c>
    </row>
    <row r="1490" spans="8:12" ht="14.25" customHeight="1" x14ac:dyDescent="0.2">
      <c r="H1490" s="19" t="s">
        <v>1979</v>
      </c>
      <c r="J1490" s="110" t="str">
        <f t="shared" si="46"/>
        <v/>
      </c>
      <c r="L1490" s="110" t="str">
        <f t="shared" si="47"/>
        <v/>
      </c>
    </row>
    <row r="1491" spans="8:12" ht="14.25" customHeight="1" x14ac:dyDescent="0.2">
      <c r="H1491" s="19" t="s">
        <v>1979</v>
      </c>
      <c r="J1491" s="110" t="str">
        <f t="shared" si="46"/>
        <v/>
      </c>
      <c r="L1491" s="110" t="str">
        <f t="shared" si="47"/>
        <v/>
      </c>
    </row>
    <row r="1492" spans="8:12" ht="14.25" customHeight="1" x14ac:dyDescent="0.2">
      <c r="H1492" s="19" t="s">
        <v>1979</v>
      </c>
      <c r="J1492" s="110" t="str">
        <f t="shared" si="46"/>
        <v/>
      </c>
      <c r="L1492" s="110" t="str">
        <f t="shared" si="47"/>
        <v/>
      </c>
    </row>
    <row r="1493" spans="8:12" ht="14.25" customHeight="1" x14ac:dyDescent="0.2">
      <c r="H1493" s="19" t="s">
        <v>1979</v>
      </c>
      <c r="J1493" s="110" t="str">
        <f t="shared" si="46"/>
        <v/>
      </c>
      <c r="L1493" s="110" t="str">
        <f t="shared" si="47"/>
        <v/>
      </c>
    </row>
    <row r="1494" spans="8:12" ht="14.25" customHeight="1" x14ac:dyDescent="0.2">
      <c r="H1494" s="19" t="s">
        <v>1979</v>
      </c>
      <c r="J1494" s="110" t="str">
        <f t="shared" si="46"/>
        <v/>
      </c>
      <c r="L1494" s="110" t="str">
        <f t="shared" si="47"/>
        <v/>
      </c>
    </row>
    <row r="1495" spans="8:12" ht="14.25" customHeight="1" x14ac:dyDescent="0.2">
      <c r="H1495" s="19" t="s">
        <v>1979</v>
      </c>
      <c r="J1495" s="110" t="str">
        <f t="shared" si="46"/>
        <v/>
      </c>
      <c r="L1495" s="110" t="str">
        <f t="shared" si="47"/>
        <v/>
      </c>
    </row>
    <row r="1496" spans="8:12" ht="14.25" customHeight="1" x14ac:dyDescent="0.2">
      <c r="H1496" s="19" t="s">
        <v>1979</v>
      </c>
      <c r="J1496" s="110" t="str">
        <f t="shared" si="46"/>
        <v/>
      </c>
      <c r="L1496" s="110" t="str">
        <f t="shared" si="47"/>
        <v/>
      </c>
    </row>
    <row r="1497" spans="8:12" ht="14.25" customHeight="1" x14ac:dyDescent="0.2">
      <c r="H1497" s="19" t="s">
        <v>1979</v>
      </c>
      <c r="J1497" s="110" t="str">
        <f t="shared" si="46"/>
        <v/>
      </c>
      <c r="L1497" s="110" t="str">
        <f t="shared" si="47"/>
        <v/>
      </c>
    </row>
    <row r="1498" spans="8:12" ht="14.25" customHeight="1" x14ac:dyDescent="0.2">
      <c r="H1498" s="19" t="s">
        <v>1979</v>
      </c>
      <c r="J1498" s="110" t="str">
        <f t="shared" si="46"/>
        <v/>
      </c>
      <c r="L1498" s="110" t="str">
        <f t="shared" si="47"/>
        <v/>
      </c>
    </row>
    <row r="1499" spans="8:12" ht="14.25" customHeight="1" x14ac:dyDescent="0.2">
      <c r="H1499" s="19" t="s">
        <v>1979</v>
      </c>
      <c r="J1499" s="110" t="str">
        <f t="shared" si="46"/>
        <v/>
      </c>
      <c r="L1499" s="110" t="str">
        <f t="shared" si="47"/>
        <v/>
      </c>
    </row>
    <row r="1500" spans="8:12" ht="14.25" customHeight="1" x14ac:dyDescent="0.2">
      <c r="H1500" s="19" t="s">
        <v>1979</v>
      </c>
      <c r="J1500" s="110" t="str">
        <f t="shared" si="46"/>
        <v/>
      </c>
      <c r="L1500" s="110" t="str">
        <f t="shared" si="47"/>
        <v/>
      </c>
    </row>
    <row r="1501" spans="8:12" ht="14.25" customHeight="1" x14ac:dyDescent="0.2">
      <c r="H1501" s="19" t="s">
        <v>1979</v>
      </c>
      <c r="J1501" s="110" t="str">
        <f t="shared" si="46"/>
        <v/>
      </c>
      <c r="L1501" s="110" t="str">
        <f t="shared" si="47"/>
        <v/>
      </c>
    </row>
    <row r="1502" spans="8:12" ht="14.25" customHeight="1" x14ac:dyDescent="0.2">
      <c r="H1502" s="19" t="s">
        <v>1979</v>
      </c>
      <c r="J1502" s="110" t="str">
        <f t="shared" si="46"/>
        <v/>
      </c>
      <c r="L1502" s="110" t="str">
        <f t="shared" si="47"/>
        <v/>
      </c>
    </row>
    <row r="1503" spans="8:12" ht="14.25" customHeight="1" x14ac:dyDescent="0.2">
      <c r="H1503" s="19" t="s">
        <v>1979</v>
      </c>
      <c r="J1503" s="110" t="str">
        <f t="shared" si="46"/>
        <v/>
      </c>
      <c r="L1503" s="110" t="str">
        <f t="shared" si="47"/>
        <v/>
      </c>
    </row>
    <row r="1504" spans="8:12" ht="14.25" customHeight="1" x14ac:dyDescent="0.2">
      <c r="H1504" s="19" t="s">
        <v>1979</v>
      </c>
      <c r="J1504" s="110" t="str">
        <f t="shared" si="46"/>
        <v/>
      </c>
      <c r="L1504" s="110" t="str">
        <f t="shared" si="47"/>
        <v/>
      </c>
    </row>
    <row r="1505" spans="8:12" ht="14.25" customHeight="1" x14ac:dyDescent="0.2">
      <c r="H1505" s="19" t="s">
        <v>1979</v>
      </c>
      <c r="J1505" s="110" t="str">
        <f t="shared" si="46"/>
        <v/>
      </c>
      <c r="L1505" s="110" t="str">
        <f t="shared" si="47"/>
        <v/>
      </c>
    </row>
    <row r="1506" spans="8:12" ht="14.25" customHeight="1" x14ac:dyDescent="0.2">
      <c r="H1506" s="19" t="s">
        <v>1979</v>
      </c>
      <c r="J1506" s="110" t="str">
        <f t="shared" si="46"/>
        <v/>
      </c>
      <c r="L1506" s="110" t="str">
        <f t="shared" si="47"/>
        <v/>
      </c>
    </row>
    <row r="1507" spans="8:12" ht="14.25" customHeight="1" x14ac:dyDescent="0.2">
      <c r="H1507" s="19" t="s">
        <v>1979</v>
      </c>
      <c r="J1507" s="110" t="str">
        <f t="shared" si="46"/>
        <v/>
      </c>
      <c r="L1507" s="110" t="str">
        <f t="shared" si="47"/>
        <v/>
      </c>
    </row>
    <row r="1508" spans="8:12" ht="14.25" customHeight="1" x14ac:dyDescent="0.2">
      <c r="H1508" s="19" t="s">
        <v>1979</v>
      </c>
      <c r="J1508" s="110" t="str">
        <f t="shared" si="46"/>
        <v/>
      </c>
      <c r="L1508" s="110" t="str">
        <f t="shared" si="47"/>
        <v/>
      </c>
    </row>
    <row r="1509" spans="8:12" ht="14.25" customHeight="1" x14ac:dyDescent="0.2">
      <c r="H1509" s="19" t="s">
        <v>1979</v>
      </c>
      <c r="J1509" s="110" t="str">
        <f t="shared" si="46"/>
        <v/>
      </c>
      <c r="L1509" s="110" t="str">
        <f t="shared" si="47"/>
        <v/>
      </c>
    </row>
    <row r="1510" spans="8:12" ht="14.25" customHeight="1" x14ac:dyDescent="0.2">
      <c r="H1510" s="19" t="s">
        <v>1979</v>
      </c>
      <c r="J1510" s="110" t="str">
        <f t="shared" si="46"/>
        <v/>
      </c>
      <c r="L1510" s="110" t="str">
        <f t="shared" si="47"/>
        <v/>
      </c>
    </row>
    <row r="1511" spans="8:12" ht="14.25" customHeight="1" x14ac:dyDescent="0.2">
      <c r="H1511" s="19" t="s">
        <v>1979</v>
      </c>
      <c r="J1511" s="110" t="str">
        <f t="shared" si="46"/>
        <v/>
      </c>
      <c r="L1511" s="110" t="str">
        <f t="shared" si="47"/>
        <v/>
      </c>
    </row>
    <row r="1512" spans="8:12" ht="14.25" customHeight="1" x14ac:dyDescent="0.2">
      <c r="H1512" s="19" t="s">
        <v>1979</v>
      </c>
      <c r="J1512" s="110" t="str">
        <f t="shared" si="46"/>
        <v/>
      </c>
      <c r="L1512" s="110" t="str">
        <f t="shared" si="47"/>
        <v/>
      </c>
    </row>
    <row r="1513" spans="8:12" ht="14.25" customHeight="1" x14ac:dyDescent="0.2">
      <c r="H1513" s="19" t="s">
        <v>1979</v>
      </c>
      <c r="J1513" s="110" t="str">
        <f t="shared" si="46"/>
        <v/>
      </c>
      <c r="L1513" s="110" t="str">
        <f t="shared" si="47"/>
        <v/>
      </c>
    </row>
    <row r="1514" spans="8:12" ht="14.25" customHeight="1" x14ac:dyDescent="0.2">
      <c r="H1514" s="19" t="s">
        <v>1979</v>
      </c>
      <c r="J1514" s="110" t="str">
        <f t="shared" si="46"/>
        <v/>
      </c>
      <c r="L1514" s="110" t="str">
        <f t="shared" si="47"/>
        <v/>
      </c>
    </row>
    <row r="1515" spans="8:12" ht="14.25" customHeight="1" x14ac:dyDescent="0.2">
      <c r="H1515" s="19" t="s">
        <v>1979</v>
      </c>
      <c r="J1515" s="110" t="str">
        <f t="shared" si="46"/>
        <v/>
      </c>
      <c r="L1515" s="110" t="str">
        <f t="shared" si="47"/>
        <v/>
      </c>
    </row>
    <row r="1516" spans="8:12" ht="14.25" customHeight="1" x14ac:dyDescent="0.2">
      <c r="H1516" s="19" t="s">
        <v>1979</v>
      </c>
      <c r="J1516" s="110" t="str">
        <f t="shared" si="46"/>
        <v/>
      </c>
      <c r="L1516" s="110" t="str">
        <f t="shared" si="47"/>
        <v/>
      </c>
    </row>
    <row r="1517" spans="8:12" ht="14.25" customHeight="1" x14ac:dyDescent="0.2">
      <c r="H1517" s="19" t="s">
        <v>1979</v>
      </c>
      <c r="J1517" s="110" t="str">
        <f t="shared" si="46"/>
        <v/>
      </c>
      <c r="L1517" s="110" t="str">
        <f t="shared" si="47"/>
        <v/>
      </c>
    </row>
    <row r="1518" spans="8:12" ht="14.25" customHeight="1" x14ac:dyDescent="0.2">
      <c r="H1518" s="19" t="s">
        <v>1979</v>
      </c>
      <c r="J1518" s="110" t="str">
        <f t="shared" si="46"/>
        <v/>
      </c>
      <c r="L1518" s="110" t="str">
        <f t="shared" si="47"/>
        <v/>
      </c>
    </row>
    <row r="1519" spans="8:12" ht="14.25" customHeight="1" x14ac:dyDescent="0.2">
      <c r="H1519" s="19" t="s">
        <v>1979</v>
      </c>
      <c r="J1519" s="110" t="str">
        <f t="shared" si="46"/>
        <v/>
      </c>
      <c r="L1519" s="110" t="str">
        <f t="shared" si="47"/>
        <v/>
      </c>
    </row>
    <row r="1520" spans="8:12" ht="14.25" customHeight="1" x14ac:dyDescent="0.2">
      <c r="H1520" s="19" t="s">
        <v>1979</v>
      </c>
      <c r="J1520" s="110" t="str">
        <f t="shared" si="46"/>
        <v/>
      </c>
      <c r="L1520" s="110" t="str">
        <f t="shared" si="47"/>
        <v/>
      </c>
    </row>
    <row r="1521" spans="8:12" ht="14.25" customHeight="1" x14ac:dyDescent="0.2">
      <c r="H1521" s="19" t="s">
        <v>1979</v>
      </c>
      <c r="J1521" s="110" t="str">
        <f t="shared" si="46"/>
        <v/>
      </c>
      <c r="L1521" s="110" t="str">
        <f t="shared" si="47"/>
        <v/>
      </c>
    </row>
    <row r="1522" spans="8:12" ht="14.25" customHeight="1" x14ac:dyDescent="0.2">
      <c r="H1522" s="19" t="s">
        <v>1979</v>
      </c>
      <c r="J1522" s="110" t="str">
        <f t="shared" si="46"/>
        <v/>
      </c>
      <c r="L1522" s="110" t="str">
        <f t="shared" si="47"/>
        <v/>
      </c>
    </row>
    <row r="1523" spans="8:12" ht="14.25" customHeight="1" x14ac:dyDescent="0.2">
      <c r="H1523" s="19" t="s">
        <v>1979</v>
      </c>
      <c r="J1523" s="110" t="str">
        <f t="shared" si="46"/>
        <v/>
      </c>
      <c r="L1523" s="110" t="str">
        <f t="shared" si="47"/>
        <v/>
      </c>
    </row>
    <row r="1524" spans="8:12" ht="14.25" customHeight="1" x14ac:dyDescent="0.2">
      <c r="H1524" s="19" t="s">
        <v>1979</v>
      </c>
      <c r="J1524" s="110" t="str">
        <f t="shared" si="46"/>
        <v/>
      </c>
      <c r="L1524" s="110" t="str">
        <f t="shared" si="47"/>
        <v/>
      </c>
    </row>
    <row r="1525" spans="8:12" ht="14.25" customHeight="1" x14ac:dyDescent="0.2">
      <c r="H1525" s="19" t="s">
        <v>1979</v>
      </c>
      <c r="J1525" s="110" t="str">
        <f t="shared" si="46"/>
        <v/>
      </c>
      <c r="L1525" s="110" t="str">
        <f t="shared" si="47"/>
        <v/>
      </c>
    </row>
    <row r="1526" spans="8:12" ht="14.25" customHeight="1" x14ac:dyDescent="0.2">
      <c r="H1526" s="19" t="s">
        <v>1979</v>
      </c>
      <c r="J1526" s="110" t="str">
        <f t="shared" si="46"/>
        <v/>
      </c>
      <c r="L1526" s="110" t="str">
        <f t="shared" si="47"/>
        <v/>
      </c>
    </row>
    <row r="1527" spans="8:12" ht="14.25" customHeight="1" x14ac:dyDescent="0.2">
      <c r="H1527" s="19" t="s">
        <v>1979</v>
      </c>
      <c r="J1527" s="110" t="str">
        <f t="shared" si="46"/>
        <v/>
      </c>
      <c r="L1527" s="110" t="str">
        <f t="shared" si="47"/>
        <v/>
      </c>
    </row>
    <row r="1528" spans="8:12" ht="14.25" customHeight="1" x14ac:dyDescent="0.2">
      <c r="H1528" s="19" t="s">
        <v>1979</v>
      </c>
      <c r="J1528" s="110" t="str">
        <f t="shared" si="46"/>
        <v/>
      </c>
      <c r="L1528" s="110" t="str">
        <f t="shared" si="47"/>
        <v/>
      </c>
    </row>
    <row r="1529" spans="8:12" ht="14.25" customHeight="1" x14ac:dyDescent="0.2">
      <c r="H1529" s="19" t="s">
        <v>1979</v>
      </c>
      <c r="J1529" s="110" t="str">
        <f t="shared" si="46"/>
        <v/>
      </c>
      <c r="L1529" s="110" t="str">
        <f t="shared" si="47"/>
        <v/>
      </c>
    </row>
    <row r="1530" spans="8:12" ht="14.25" customHeight="1" x14ac:dyDescent="0.2">
      <c r="H1530" s="19" t="s">
        <v>1979</v>
      </c>
      <c r="J1530" s="110" t="str">
        <f t="shared" si="46"/>
        <v/>
      </c>
      <c r="L1530" s="110" t="str">
        <f t="shared" si="47"/>
        <v/>
      </c>
    </row>
    <row r="1531" spans="8:12" ht="14.25" customHeight="1" x14ac:dyDescent="0.2">
      <c r="H1531" s="19" t="s">
        <v>1979</v>
      </c>
      <c r="J1531" s="110" t="str">
        <f t="shared" si="46"/>
        <v/>
      </c>
      <c r="L1531" s="110" t="str">
        <f t="shared" si="47"/>
        <v/>
      </c>
    </row>
    <row r="1532" spans="8:12" ht="14.25" customHeight="1" x14ac:dyDescent="0.2">
      <c r="H1532" s="19" t="s">
        <v>1979</v>
      </c>
      <c r="J1532" s="110" t="str">
        <f t="shared" si="46"/>
        <v/>
      </c>
      <c r="L1532" s="110" t="str">
        <f t="shared" si="47"/>
        <v/>
      </c>
    </row>
    <row r="1533" spans="8:12" ht="14.25" customHeight="1" x14ac:dyDescent="0.2">
      <c r="H1533" s="19" t="s">
        <v>1979</v>
      </c>
      <c r="J1533" s="110" t="str">
        <f t="shared" si="46"/>
        <v/>
      </c>
      <c r="L1533" s="110" t="str">
        <f t="shared" si="47"/>
        <v/>
      </c>
    </row>
    <row r="1534" spans="8:12" ht="14.25" customHeight="1" x14ac:dyDescent="0.2">
      <c r="H1534" s="19" t="s">
        <v>1979</v>
      </c>
      <c r="J1534" s="110" t="str">
        <f t="shared" si="46"/>
        <v/>
      </c>
      <c r="L1534" s="110" t="str">
        <f t="shared" si="47"/>
        <v/>
      </c>
    </row>
    <row r="1535" spans="8:12" ht="14.25" customHeight="1" x14ac:dyDescent="0.2">
      <c r="H1535" s="19" t="s">
        <v>1979</v>
      </c>
      <c r="J1535" s="110" t="str">
        <f t="shared" si="46"/>
        <v/>
      </c>
      <c r="L1535" s="110" t="str">
        <f t="shared" si="47"/>
        <v/>
      </c>
    </row>
    <row r="1536" spans="8:12" ht="14.25" customHeight="1" x14ac:dyDescent="0.2">
      <c r="H1536" s="19" t="s">
        <v>1979</v>
      </c>
      <c r="J1536" s="110" t="str">
        <f t="shared" si="46"/>
        <v/>
      </c>
      <c r="L1536" s="110" t="str">
        <f t="shared" si="47"/>
        <v/>
      </c>
    </row>
    <row r="1537" spans="8:12" ht="14.25" customHeight="1" x14ac:dyDescent="0.2">
      <c r="H1537" s="19" t="s">
        <v>1979</v>
      </c>
      <c r="J1537" s="110" t="str">
        <f t="shared" si="46"/>
        <v/>
      </c>
      <c r="L1537" s="110" t="str">
        <f t="shared" si="47"/>
        <v/>
      </c>
    </row>
    <row r="1538" spans="8:12" ht="14.25" customHeight="1" x14ac:dyDescent="0.2">
      <c r="H1538" s="19" t="s">
        <v>1979</v>
      </c>
      <c r="J1538" s="110" t="str">
        <f t="shared" si="46"/>
        <v/>
      </c>
      <c r="L1538" s="110" t="str">
        <f t="shared" si="47"/>
        <v/>
      </c>
    </row>
    <row r="1539" spans="8:12" ht="14.25" customHeight="1" x14ac:dyDescent="0.2">
      <c r="H1539" s="19" t="s">
        <v>1979</v>
      </c>
      <c r="J1539" s="110" t="str">
        <f t="shared" ref="J1539:J1602" si="48">IF(K1539="","", K1539/PI())</f>
        <v/>
      </c>
      <c r="L1539" s="110" t="str">
        <f t="shared" ref="L1539:L1602" si="49">IF(OR(P1539="", N1539="", O1539=""), "", TAN(P1539*PI()/180)*N1539 +O1539)</f>
        <v/>
      </c>
    </row>
    <row r="1540" spans="8:12" ht="14.25" customHeight="1" x14ac:dyDescent="0.2">
      <c r="H1540" s="19" t="s">
        <v>1979</v>
      </c>
      <c r="J1540" s="110" t="str">
        <f t="shared" si="48"/>
        <v/>
      </c>
      <c r="L1540" s="110" t="str">
        <f t="shared" si="49"/>
        <v/>
      </c>
    </row>
    <row r="1541" spans="8:12" ht="14.25" customHeight="1" x14ac:dyDescent="0.2">
      <c r="H1541" s="19" t="s">
        <v>1979</v>
      </c>
      <c r="J1541" s="110" t="str">
        <f t="shared" si="48"/>
        <v/>
      </c>
      <c r="L1541" s="110" t="str">
        <f t="shared" si="49"/>
        <v/>
      </c>
    </row>
    <row r="1542" spans="8:12" ht="14.25" customHeight="1" x14ac:dyDescent="0.2">
      <c r="H1542" s="19" t="s">
        <v>1979</v>
      </c>
      <c r="J1542" s="110" t="str">
        <f t="shared" si="48"/>
        <v/>
      </c>
      <c r="L1542" s="110" t="str">
        <f t="shared" si="49"/>
        <v/>
      </c>
    </row>
    <row r="1543" spans="8:12" ht="14.25" customHeight="1" x14ac:dyDescent="0.2">
      <c r="H1543" s="19" t="s">
        <v>1979</v>
      </c>
      <c r="J1543" s="110" t="str">
        <f t="shared" si="48"/>
        <v/>
      </c>
      <c r="L1543" s="110" t="str">
        <f t="shared" si="49"/>
        <v/>
      </c>
    </row>
    <row r="1544" spans="8:12" ht="14.25" customHeight="1" x14ac:dyDescent="0.2">
      <c r="H1544" s="19" t="s">
        <v>1979</v>
      </c>
      <c r="J1544" s="110" t="str">
        <f t="shared" si="48"/>
        <v/>
      </c>
      <c r="L1544" s="110" t="str">
        <f t="shared" si="49"/>
        <v/>
      </c>
    </row>
    <row r="1545" spans="8:12" ht="14.25" customHeight="1" x14ac:dyDescent="0.2">
      <c r="H1545" s="19" t="s">
        <v>1979</v>
      </c>
      <c r="J1545" s="110" t="str">
        <f t="shared" si="48"/>
        <v/>
      </c>
      <c r="L1545" s="110" t="str">
        <f t="shared" si="49"/>
        <v/>
      </c>
    </row>
    <row r="1546" spans="8:12" ht="14.25" customHeight="1" x14ac:dyDescent="0.2">
      <c r="H1546" s="19" t="s">
        <v>1979</v>
      </c>
      <c r="J1546" s="110" t="str">
        <f t="shared" si="48"/>
        <v/>
      </c>
      <c r="L1546" s="110" t="str">
        <f t="shared" si="49"/>
        <v/>
      </c>
    </row>
    <row r="1547" spans="8:12" ht="14.25" customHeight="1" x14ac:dyDescent="0.2">
      <c r="H1547" s="19" t="s">
        <v>1979</v>
      </c>
      <c r="J1547" s="110" t="str">
        <f t="shared" si="48"/>
        <v/>
      </c>
      <c r="L1547" s="110" t="str">
        <f t="shared" si="49"/>
        <v/>
      </c>
    </row>
    <row r="1548" spans="8:12" ht="14.25" customHeight="1" x14ac:dyDescent="0.2">
      <c r="H1548" s="19" t="s">
        <v>1979</v>
      </c>
      <c r="J1548" s="110" t="str">
        <f t="shared" si="48"/>
        <v/>
      </c>
      <c r="L1548" s="110" t="str">
        <f t="shared" si="49"/>
        <v/>
      </c>
    </row>
    <row r="1549" spans="8:12" ht="14.25" customHeight="1" x14ac:dyDescent="0.2">
      <c r="H1549" s="19" t="s">
        <v>1979</v>
      </c>
      <c r="J1549" s="110" t="str">
        <f t="shared" si="48"/>
        <v/>
      </c>
      <c r="L1549" s="110" t="str">
        <f t="shared" si="49"/>
        <v/>
      </c>
    </row>
    <row r="1550" spans="8:12" ht="14.25" customHeight="1" x14ac:dyDescent="0.2">
      <c r="H1550" s="19" t="s">
        <v>1979</v>
      </c>
      <c r="J1550" s="110" t="str">
        <f t="shared" si="48"/>
        <v/>
      </c>
      <c r="L1550" s="110" t="str">
        <f t="shared" si="49"/>
        <v/>
      </c>
    </row>
    <row r="1551" spans="8:12" ht="14.25" customHeight="1" x14ac:dyDescent="0.2">
      <c r="H1551" s="19" t="s">
        <v>1979</v>
      </c>
      <c r="J1551" s="110" t="str">
        <f t="shared" si="48"/>
        <v/>
      </c>
      <c r="L1551" s="110" t="str">
        <f t="shared" si="49"/>
        <v/>
      </c>
    </row>
    <row r="1552" spans="8:12" ht="14.25" customHeight="1" x14ac:dyDescent="0.2">
      <c r="H1552" s="19" t="s">
        <v>1979</v>
      </c>
      <c r="J1552" s="110" t="str">
        <f t="shared" si="48"/>
        <v/>
      </c>
      <c r="L1552" s="110" t="str">
        <f t="shared" si="49"/>
        <v/>
      </c>
    </row>
    <row r="1553" spans="8:12" ht="14.25" customHeight="1" x14ac:dyDescent="0.2">
      <c r="H1553" s="19" t="s">
        <v>1979</v>
      </c>
      <c r="J1553" s="110" t="str">
        <f t="shared" si="48"/>
        <v/>
      </c>
      <c r="L1553" s="110" t="str">
        <f t="shared" si="49"/>
        <v/>
      </c>
    </row>
    <row r="1554" spans="8:12" ht="14.25" customHeight="1" x14ac:dyDescent="0.2">
      <c r="H1554" s="19" t="s">
        <v>1979</v>
      </c>
      <c r="J1554" s="110" t="str">
        <f t="shared" si="48"/>
        <v/>
      </c>
      <c r="L1554" s="110" t="str">
        <f t="shared" si="49"/>
        <v/>
      </c>
    </row>
    <row r="1555" spans="8:12" ht="14.25" customHeight="1" x14ac:dyDescent="0.2">
      <c r="H1555" s="19" t="s">
        <v>1979</v>
      </c>
      <c r="J1555" s="110" t="str">
        <f t="shared" si="48"/>
        <v/>
      </c>
      <c r="L1555" s="110" t="str">
        <f t="shared" si="49"/>
        <v/>
      </c>
    </row>
    <row r="1556" spans="8:12" ht="14.25" customHeight="1" x14ac:dyDescent="0.2">
      <c r="H1556" s="19" t="s">
        <v>1979</v>
      </c>
      <c r="J1556" s="110" t="str">
        <f t="shared" si="48"/>
        <v/>
      </c>
      <c r="L1556" s="110" t="str">
        <f t="shared" si="49"/>
        <v/>
      </c>
    </row>
    <row r="1557" spans="8:12" ht="14.25" customHeight="1" x14ac:dyDescent="0.2">
      <c r="H1557" s="19" t="s">
        <v>1979</v>
      </c>
      <c r="J1557" s="110" t="str">
        <f t="shared" si="48"/>
        <v/>
      </c>
      <c r="L1557" s="110" t="str">
        <f t="shared" si="49"/>
        <v/>
      </c>
    </row>
    <row r="1558" spans="8:12" ht="14.25" customHeight="1" x14ac:dyDescent="0.2">
      <c r="H1558" s="19" t="s">
        <v>1979</v>
      </c>
      <c r="J1558" s="110" t="str">
        <f t="shared" si="48"/>
        <v/>
      </c>
      <c r="L1558" s="110" t="str">
        <f t="shared" si="49"/>
        <v/>
      </c>
    </row>
    <row r="1559" spans="8:12" ht="14.25" customHeight="1" x14ac:dyDescent="0.2">
      <c r="H1559" s="19" t="s">
        <v>1979</v>
      </c>
      <c r="J1559" s="110" t="str">
        <f t="shared" si="48"/>
        <v/>
      </c>
      <c r="L1559" s="110" t="str">
        <f t="shared" si="49"/>
        <v/>
      </c>
    </row>
    <row r="1560" spans="8:12" ht="14.25" customHeight="1" x14ac:dyDescent="0.2">
      <c r="H1560" s="19" t="s">
        <v>1979</v>
      </c>
      <c r="J1560" s="110" t="str">
        <f t="shared" si="48"/>
        <v/>
      </c>
      <c r="L1560" s="110" t="str">
        <f t="shared" si="49"/>
        <v/>
      </c>
    </row>
    <row r="1561" spans="8:12" ht="14.25" customHeight="1" x14ac:dyDescent="0.2">
      <c r="H1561" s="19" t="s">
        <v>1979</v>
      </c>
      <c r="J1561" s="110" t="str">
        <f t="shared" si="48"/>
        <v/>
      </c>
      <c r="L1561" s="110" t="str">
        <f t="shared" si="49"/>
        <v/>
      </c>
    </row>
    <row r="1562" spans="8:12" ht="14.25" customHeight="1" x14ac:dyDescent="0.2">
      <c r="H1562" s="19" t="s">
        <v>1979</v>
      </c>
      <c r="J1562" s="110" t="str">
        <f t="shared" si="48"/>
        <v/>
      </c>
      <c r="L1562" s="110" t="str">
        <f t="shared" si="49"/>
        <v/>
      </c>
    </row>
    <row r="1563" spans="8:12" ht="14.25" customHeight="1" x14ac:dyDescent="0.2">
      <c r="H1563" s="19" t="s">
        <v>1979</v>
      </c>
      <c r="J1563" s="110" t="str">
        <f t="shared" si="48"/>
        <v/>
      </c>
      <c r="L1563" s="110" t="str">
        <f t="shared" si="49"/>
        <v/>
      </c>
    </row>
    <row r="1564" spans="8:12" ht="14.25" customHeight="1" x14ac:dyDescent="0.2">
      <c r="H1564" s="19" t="s">
        <v>1979</v>
      </c>
      <c r="J1564" s="110" t="str">
        <f t="shared" si="48"/>
        <v/>
      </c>
      <c r="L1564" s="110" t="str">
        <f t="shared" si="49"/>
        <v/>
      </c>
    </row>
    <row r="1565" spans="8:12" ht="14.25" customHeight="1" x14ac:dyDescent="0.2">
      <c r="H1565" s="19" t="s">
        <v>1979</v>
      </c>
      <c r="J1565" s="110" t="str">
        <f t="shared" si="48"/>
        <v/>
      </c>
      <c r="L1565" s="110" t="str">
        <f t="shared" si="49"/>
        <v/>
      </c>
    </row>
    <row r="1566" spans="8:12" ht="14.25" customHeight="1" x14ac:dyDescent="0.2">
      <c r="H1566" s="19" t="s">
        <v>1979</v>
      </c>
      <c r="J1566" s="110" t="str">
        <f t="shared" si="48"/>
        <v/>
      </c>
      <c r="L1566" s="110" t="str">
        <f t="shared" si="49"/>
        <v/>
      </c>
    </row>
    <row r="1567" spans="8:12" ht="14.25" customHeight="1" x14ac:dyDescent="0.2">
      <c r="H1567" s="19" t="s">
        <v>1979</v>
      </c>
      <c r="J1567" s="110" t="str">
        <f t="shared" si="48"/>
        <v/>
      </c>
      <c r="L1567" s="110" t="str">
        <f t="shared" si="49"/>
        <v/>
      </c>
    </row>
    <row r="1568" spans="8:12" ht="14.25" customHeight="1" x14ac:dyDescent="0.2">
      <c r="H1568" s="19" t="s">
        <v>1979</v>
      </c>
      <c r="J1568" s="110" t="str">
        <f t="shared" si="48"/>
        <v/>
      </c>
      <c r="L1568" s="110" t="str">
        <f t="shared" si="49"/>
        <v/>
      </c>
    </row>
    <row r="1569" spans="8:12" ht="14.25" customHeight="1" x14ac:dyDescent="0.2">
      <c r="H1569" s="19" t="s">
        <v>1979</v>
      </c>
      <c r="J1569" s="110" t="str">
        <f t="shared" si="48"/>
        <v/>
      </c>
      <c r="L1569" s="110" t="str">
        <f t="shared" si="49"/>
        <v/>
      </c>
    </row>
    <row r="1570" spans="8:12" ht="14.25" customHeight="1" x14ac:dyDescent="0.2">
      <c r="H1570" s="19" t="s">
        <v>1979</v>
      </c>
      <c r="J1570" s="110" t="str">
        <f t="shared" si="48"/>
        <v/>
      </c>
      <c r="L1570" s="110" t="str">
        <f t="shared" si="49"/>
        <v/>
      </c>
    </row>
    <row r="1571" spans="8:12" ht="14.25" customHeight="1" x14ac:dyDescent="0.2">
      <c r="H1571" s="19" t="s">
        <v>1979</v>
      </c>
      <c r="J1571" s="110" t="str">
        <f t="shared" si="48"/>
        <v/>
      </c>
      <c r="L1571" s="110" t="str">
        <f t="shared" si="49"/>
        <v/>
      </c>
    </row>
    <row r="1572" spans="8:12" ht="14.25" customHeight="1" x14ac:dyDescent="0.2">
      <c r="H1572" s="19" t="s">
        <v>1979</v>
      </c>
      <c r="J1572" s="110" t="str">
        <f t="shared" si="48"/>
        <v/>
      </c>
      <c r="L1572" s="110" t="str">
        <f t="shared" si="49"/>
        <v/>
      </c>
    </row>
    <row r="1573" spans="8:12" ht="14.25" customHeight="1" x14ac:dyDescent="0.2">
      <c r="H1573" s="19" t="s">
        <v>1979</v>
      </c>
      <c r="J1573" s="110" t="str">
        <f t="shared" si="48"/>
        <v/>
      </c>
      <c r="L1573" s="110" t="str">
        <f t="shared" si="49"/>
        <v/>
      </c>
    </row>
    <row r="1574" spans="8:12" ht="14.25" customHeight="1" x14ac:dyDescent="0.2">
      <c r="H1574" s="19" t="s">
        <v>1979</v>
      </c>
      <c r="J1574" s="110" t="str">
        <f t="shared" si="48"/>
        <v/>
      </c>
      <c r="L1574" s="110" t="str">
        <f t="shared" si="49"/>
        <v/>
      </c>
    </row>
    <row r="1575" spans="8:12" ht="14.25" customHeight="1" x14ac:dyDescent="0.2">
      <c r="H1575" s="19" t="s">
        <v>1979</v>
      </c>
      <c r="J1575" s="110" t="str">
        <f t="shared" si="48"/>
        <v/>
      </c>
      <c r="L1575" s="110" t="str">
        <f t="shared" si="49"/>
        <v/>
      </c>
    </row>
    <row r="1576" spans="8:12" ht="14.25" customHeight="1" x14ac:dyDescent="0.2">
      <c r="H1576" s="19" t="s">
        <v>1979</v>
      </c>
      <c r="J1576" s="110" t="str">
        <f t="shared" si="48"/>
        <v/>
      </c>
      <c r="L1576" s="110" t="str">
        <f t="shared" si="49"/>
        <v/>
      </c>
    </row>
    <row r="1577" spans="8:12" ht="14.25" customHeight="1" x14ac:dyDescent="0.2">
      <c r="H1577" s="19" t="s">
        <v>1979</v>
      </c>
      <c r="J1577" s="110" t="str">
        <f t="shared" si="48"/>
        <v/>
      </c>
      <c r="L1577" s="110" t="str">
        <f t="shared" si="49"/>
        <v/>
      </c>
    </row>
    <row r="1578" spans="8:12" ht="14.25" customHeight="1" x14ac:dyDescent="0.2">
      <c r="H1578" s="19" t="s">
        <v>1979</v>
      </c>
      <c r="J1578" s="110" t="str">
        <f t="shared" si="48"/>
        <v/>
      </c>
      <c r="L1578" s="110" t="str">
        <f t="shared" si="49"/>
        <v/>
      </c>
    </row>
    <row r="1579" spans="8:12" ht="14.25" customHeight="1" x14ac:dyDescent="0.2">
      <c r="H1579" s="19" t="s">
        <v>1979</v>
      </c>
      <c r="J1579" s="110" t="str">
        <f t="shared" si="48"/>
        <v/>
      </c>
      <c r="L1579" s="110" t="str">
        <f t="shared" si="49"/>
        <v/>
      </c>
    </row>
    <row r="1580" spans="8:12" ht="14.25" customHeight="1" x14ac:dyDescent="0.2">
      <c r="H1580" s="19" t="s">
        <v>1979</v>
      </c>
      <c r="J1580" s="110" t="str">
        <f t="shared" si="48"/>
        <v/>
      </c>
      <c r="L1580" s="110" t="str">
        <f t="shared" si="49"/>
        <v/>
      </c>
    </row>
    <row r="1581" spans="8:12" ht="14.25" customHeight="1" x14ac:dyDescent="0.2">
      <c r="H1581" s="19" t="s">
        <v>1979</v>
      </c>
      <c r="J1581" s="110" t="str">
        <f t="shared" si="48"/>
        <v/>
      </c>
      <c r="L1581" s="110" t="str">
        <f t="shared" si="49"/>
        <v/>
      </c>
    </row>
    <row r="1582" spans="8:12" ht="14.25" customHeight="1" x14ac:dyDescent="0.2">
      <c r="H1582" s="19" t="s">
        <v>1979</v>
      </c>
      <c r="J1582" s="110" t="str">
        <f t="shared" si="48"/>
        <v/>
      </c>
      <c r="L1582" s="110" t="str">
        <f t="shared" si="49"/>
        <v/>
      </c>
    </row>
    <row r="1583" spans="8:12" ht="14.25" customHeight="1" x14ac:dyDescent="0.2">
      <c r="H1583" s="19" t="s">
        <v>1979</v>
      </c>
      <c r="J1583" s="110" t="str">
        <f t="shared" si="48"/>
        <v/>
      </c>
      <c r="L1583" s="110" t="str">
        <f t="shared" si="49"/>
        <v/>
      </c>
    </row>
    <row r="1584" spans="8:12" ht="14.25" customHeight="1" x14ac:dyDescent="0.2">
      <c r="H1584" s="19" t="s">
        <v>1979</v>
      </c>
      <c r="J1584" s="110" t="str">
        <f t="shared" si="48"/>
        <v/>
      </c>
      <c r="L1584" s="110" t="str">
        <f t="shared" si="49"/>
        <v/>
      </c>
    </row>
    <row r="1585" spans="8:12" ht="14.25" customHeight="1" x14ac:dyDescent="0.2">
      <c r="H1585" s="19" t="s">
        <v>1979</v>
      </c>
      <c r="J1585" s="110" t="str">
        <f t="shared" si="48"/>
        <v/>
      </c>
      <c r="L1585" s="110" t="str">
        <f t="shared" si="49"/>
        <v/>
      </c>
    </row>
    <row r="1586" spans="8:12" ht="14.25" customHeight="1" x14ac:dyDescent="0.2">
      <c r="H1586" s="19" t="s">
        <v>1979</v>
      </c>
      <c r="J1586" s="110" t="str">
        <f t="shared" si="48"/>
        <v/>
      </c>
      <c r="L1586" s="110" t="str">
        <f t="shared" si="49"/>
        <v/>
      </c>
    </row>
    <row r="1587" spans="8:12" ht="14.25" customHeight="1" x14ac:dyDescent="0.2">
      <c r="H1587" s="19" t="s">
        <v>1979</v>
      </c>
      <c r="J1587" s="110" t="str">
        <f t="shared" si="48"/>
        <v/>
      </c>
      <c r="L1587" s="110" t="str">
        <f t="shared" si="49"/>
        <v/>
      </c>
    </row>
    <row r="1588" spans="8:12" ht="14.25" customHeight="1" x14ac:dyDescent="0.2">
      <c r="H1588" s="19" t="s">
        <v>1979</v>
      </c>
      <c r="J1588" s="110" t="str">
        <f t="shared" si="48"/>
        <v/>
      </c>
      <c r="L1588" s="110" t="str">
        <f t="shared" si="49"/>
        <v/>
      </c>
    </row>
    <row r="1589" spans="8:12" ht="14.25" customHeight="1" x14ac:dyDescent="0.2">
      <c r="H1589" s="19" t="s">
        <v>1979</v>
      </c>
      <c r="J1589" s="110" t="str">
        <f t="shared" si="48"/>
        <v/>
      </c>
      <c r="L1589" s="110" t="str">
        <f t="shared" si="49"/>
        <v/>
      </c>
    </row>
    <row r="1590" spans="8:12" ht="14.25" customHeight="1" x14ac:dyDescent="0.2">
      <c r="H1590" s="19" t="s">
        <v>1979</v>
      </c>
      <c r="J1590" s="110" t="str">
        <f t="shared" si="48"/>
        <v/>
      </c>
      <c r="L1590" s="110" t="str">
        <f t="shared" si="49"/>
        <v/>
      </c>
    </row>
    <row r="1591" spans="8:12" ht="14.25" customHeight="1" x14ac:dyDescent="0.2">
      <c r="H1591" s="19" t="s">
        <v>1979</v>
      </c>
      <c r="J1591" s="110" t="str">
        <f t="shared" si="48"/>
        <v/>
      </c>
      <c r="L1591" s="110" t="str">
        <f t="shared" si="49"/>
        <v/>
      </c>
    </row>
    <row r="1592" spans="8:12" ht="14.25" customHeight="1" x14ac:dyDescent="0.2">
      <c r="H1592" s="19" t="s">
        <v>1979</v>
      </c>
      <c r="J1592" s="110" t="str">
        <f t="shared" si="48"/>
        <v/>
      </c>
      <c r="L1592" s="110" t="str">
        <f t="shared" si="49"/>
        <v/>
      </c>
    </row>
    <row r="1593" spans="8:12" ht="14.25" customHeight="1" x14ac:dyDescent="0.2">
      <c r="H1593" s="19" t="s">
        <v>1979</v>
      </c>
      <c r="J1593" s="110" t="str">
        <f t="shared" si="48"/>
        <v/>
      </c>
      <c r="L1593" s="110" t="str">
        <f t="shared" si="49"/>
        <v/>
      </c>
    </row>
    <row r="1594" spans="8:12" ht="14.25" customHeight="1" x14ac:dyDescent="0.2">
      <c r="H1594" s="19" t="s">
        <v>1979</v>
      </c>
      <c r="J1594" s="110" t="str">
        <f t="shared" si="48"/>
        <v/>
      </c>
      <c r="L1594" s="110" t="str">
        <f t="shared" si="49"/>
        <v/>
      </c>
    </row>
    <row r="1595" spans="8:12" ht="14.25" customHeight="1" x14ac:dyDescent="0.2">
      <c r="H1595" s="19" t="s">
        <v>1979</v>
      </c>
      <c r="J1595" s="110" t="str">
        <f t="shared" si="48"/>
        <v/>
      </c>
      <c r="L1595" s="110" t="str">
        <f t="shared" si="49"/>
        <v/>
      </c>
    </row>
    <row r="1596" spans="8:12" ht="14.25" customHeight="1" x14ac:dyDescent="0.2">
      <c r="H1596" s="19" t="s">
        <v>1979</v>
      </c>
      <c r="J1596" s="110" t="str">
        <f t="shared" si="48"/>
        <v/>
      </c>
      <c r="L1596" s="110" t="str">
        <f t="shared" si="49"/>
        <v/>
      </c>
    </row>
    <row r="1597" spans="8:12" ht="14.25" customHeight="1" x14ac:dyDescent="0.2">
      <c r="H1597" s="19" t="s">
        <v>1979</v>
      </c>
      <c r="J1597" s="110" t="str">
        <f t="shared" si="48"/>
        <v/>
      </c>
      <c r="L1597" s="110" t="str">
        <f t="shared" si="49"/>
        <v/>
      </c>
    </row>
    <row r="1598" spans="8:12" ht="14.25" customHeight="1" x14ac:dyDescent="0.2">
      <c r="H1598" s="19" t="s">
        <v>1979</v>
      </c>
      <c r="J1598" s="110" t="str">
        <f t="shared" si="48"/>
        <v/>
      </c>
      <c r="L1598" s="110" t="str">
        <f t="shared" si="49"/>
        <v/>
      </c>
    </row>
    <row r="1599" spans="8:12" ht="14.25" customHeight="1" x14ac:dyDescent="0.2">
      <c r="H1599" s="19" t="s">
        <v>1979</v>
      </c>
      <c r="J1599" s="110" t="str">
        <f t="shared" si="48"/>
        <v/>
      </c>
      <c r="L1599" s="110" t="str">
        <f t="shared" si="49"/>
        <v/>
      </c>
    </row>
    <row r="1600" spans="8:12" ht="14.25" customHeight="1" x14ac:dyDescent="0.2">
      <c r="H1600" s="19" t="s">
        <v>1979</v>
      </c>
      <c r="J1600" s="110" t="str">
        <f t="shared" si="48"/>
        <v/>
      </c>
      <c r="L1600" s="110" t="str">
        <f t="shared" si="49"/>
        <v/>
      </c>
    </row>
    <row r="1601" spans="8:12" ht="14.25" customHeight="1" x14ac:dyDescent="0.2">
      <c r="H1601" s="19" t="s">
        <v>1979</v>
      </c>
      <c r="J1601" s="110" t="str">
        <f t="shared" si="48"/>
        <v/>
      </c>
      <c r="L1601" s="110" t="str">
        <f t="shared" si="49"/>
        <v/>
      </c>
    </row>
    <row r="1602" spans="8:12" ht="14.25" customHeight="1" x14ac:dyDescent="0.2">
      <c r="H1602" s="19" t="s">
        <v>1979</v>
      </c>
      <c r="J1602" s="110" t="str">
        <f t="shared" si="48"/>
        <v/>
      </c>
      <c r="L1602" s="110" t="str">
        <f t="shared" si="49"/>
        <v/>
      </c>
    </row>
    <row r="1603" spans="8:12" ht="14.25" customHeight="1" x14ac:dyDescent="0.2">
      <c r="H1603" s="19" t="s">
        <v>1979</v>
      </c>
      <c r="J1603" s="110" t="str">
        <f t="shared" ref="J1603:J1666" si="50">IF(K1603="","", K1603/PI())</f>
        <v/>
      </c>
      <c r="L1603" s="110" t="str">
        <f t="shared" ref="L1603:L1666" si="51">IF(OR(P1603="", N1603="", O1603=""), "", TAN(P1603*PI()/180)*N1603 +O1603)</f>
        <v/>
      </c>
    </row>
    <row r="1604" spans="8:12" ht="14.25" customHeight="1" x14ac:dyDescent="0.2">
      <c r="H1604" s="19" t="s">
        <v>1979</v>
      </c>
      <c r="J1604" s="110" t="str">
        <f t="shared" si="50"/>
        <v/>
      </c>
      <c r="L1604" s="110" t="str">
        <f t="shared" si="51"/>
        <v/>
      </c>
    </row>
    <row r="1605" spans="8:12" ht="14.25" customHeight="1" x14ac:dyDescent="0.2">
      <c r="H1605" s="19" t="s">
        <v>1979</v>
      </c>
      <c r="J1605" s="110" t="str">
        <f t="shared" si="50"/>
        <v/>
      </c>
      <c r="L1605" s="110" t="str">
        <f t="shared" si="51"/>
        <v/>
      </c>
    </row>
    <row r="1606" spans="8:12" ht="14.25" customHeight="1" x14ac:dyDescent="0.2">
      <c r="H1606" s="19" t="s">
        <v>1979</v>
      </c>
      <c r="J1606" s="110" t="str">
        <f t="shared" si="50"/>
        <v/>
      </c>
      <c r="L1606" s="110" t="str">
        <f t="shared" si="51"/>
        <v/>
      </c>
    </row>
    <row r="1607" spans="8:12" ht="14.25" customHeight="1" x14ac:dyDescent="0.2">
      <c r="H1607" s="19" t="s">
        <v>1979</v>
      </c>
      <c r="J1607" s="110" t="str">
        <f t="shared" si="50"/>
        <v/>
      </c>
      <c r="L1607" s="110" t="str">
        <f t="shared" si="51"/>
        <v/>
      </c>
    </row>
    <row r="1608" spans="8:12" ht="14.25" customHeight="1" x14ac:dyDescent="0.2">
      <c r="H1608" s="19" t="s">
        <v>1979</v>
      </c>
      <c r="J1608" s="110" t="str">
        <f t="shared" si="50"/>
        <v/>
      </c>
      <c r="L1608" s="110" t="str">
        <f t="shared" si="51"/>
        <v/>
      </c>
    </row>
    <row r="1609" spans="8:12" ht="14.25" customHeight="1" x14ac:dyDescent="0.2">
      <c r="H1609" s="19" t="s">
        <v>1979</v>
      </c>
      <c r="J1609" s="110" t="str">
        <f t="shared" si="50"/>
        <v/>
      </c>
      <c r="L1609" s="110" t="str">
        <f t="shared" si="51"/>
        <v/>
      </c>
    </row>
    <row r="1610" spans="8:12" ht="14.25" customHeight="1" x14ac:dyDescent="0.2">
      <c r="H1610" s="19" t="s">
        <v>1979</v>
      </c>
      <c r="J1610" s="110" t="str">
        <f t="shared" si="50"/>
        <v/>
      </c>
      <c r="L1610" s="110" t="str">
        <f t="shared" si="51"/>
        <v/>
      </c>
    </row>
    <row r="1611" spans="8:12" ht="14.25" customHeight="1" x14ac:dyDescent="0.2">
      <c r="H1611" s="19" t="s">
        <v>1979</v>
      </c>
      <c r="J1611" s="110" t="str">
        <f t="shared" si="50"/>
        <v/>
      </c>
      <c r="L1611" s="110" t="str">
        <f t="shared" si="51"/>
        <v/>
      </c>
    </row>
    <row r="1612" spans="8:12" ht="14.25" customHeight="1" x14ac:dyDescent="0.2">
      <c r="H1612" s="19" t="s">
        <v>1979</v>
      </c>
      <c r="J1612" s="110" t="str">
        <f t="shared" si="50"/>
        <v/>
      </c>
      <c r="L1612" s="110" t="str">
        <f t="shared" si="51"/>
        <v/>
      </c>
    </row>
    <row r="1613" spans="8:12" ht="14.25" customHeight="1" x14ac:dyDescent="0.2">
      <c r="H1613" s="19" t="s">
        <v>1979</v>
      </c>
      <c r="J1613" s="110" t="str">
        <f t="shared" si="50"/>
        <v/>
      </c>
      <c r="L1613" s="110" t="str">
        <f t="shared" si="51"/>
        <v/>
      </c>
    </row>
    <row r="1614" spans="8:12" ht="14.25" customHeight="1" x14ac:dyDescent="0.2">
      <c r="H1614" s="19" t="s">
        <v>1979</v>
      </c>
      <c r="J1614" s="110" t="str">
        <f t="shared" si="50"/>
        <v/>
      </c>
      <c r="L1614" s="110" t="str">
        <f t="shared" si="51"/>
        <v/>
      </c>
    </row>
    <row r="1615" spans="8:12" ht="14.25" customHeight="1" x14ac:dyDescent="0.2">
      <c r="H1615" s="19" t="s">
        <v>1979</v>
      </c>
      <c r="J1615" s="110" t="str">
        <f t="shared" si="50"/>
        <v/>
      </c>
      <c r="L1615" s="110" t="str">
        <f t="shared" si="51"/>
        <v/>
      </c>
    </row>
    <row r="1616" spans="8:12" ht="14.25" customHeight="1" x14ac:dyDescent="0.2">
      <c r="H1616" s="19" t="s">
        <v>1979</v>
      </c>
      <c r="J1616" s="110" t="str">
        <f t="shared" si="50"/>
        <v/>
      </c>
      <c r="L1616" s="110" t="str">
        <f t="shared" si="51"/>
        <v/>
      </c>
    </row>
    <row r="1617" spans="8:12" ht="14.25" customHeight="1" x14ac:dyDescent="0.2">
      <c r="H1617" s="19" t="s">
        <v>1979</v>
      </c>
      <c r="J1617" s="110" t="str">
        <f t="shared" si="50"/>
        <v/>
      </c>
      <c r="L1617" s="110" t="str">
        <f t="shared" si="51"/>
        <v/>
      </c>
    </row>
    <row r="1618" spans="8:12" ht="14.25" customHeight="1" x14ac:dyDescent="0.2">
      <c r="H1618" s="19" t="s">
        <v>1979</v>
      </c>
      <c r="J1618" s="110" t="str">
        <f t="shared" si="50"/>
        <v/>
      </c>
      <c r="L1618" s="110" t="str">
        <f t="shared" si="51"/>
        <v/>
      </c>
    </row>
    <row r="1619" spans="8:12" ht="14.25" customHeight="1" x14ac:dyDescent="0.2">
      <c r="H1619" s="19" t="s">
        <v>1979</v>
      </c>
      <c r="J1619" s="110" t="str">
        <f t="shared" si="50"/>
        <v/>
      </c>
      <c r="L1619" s="110" t="str">
        <f t="shared" si="51"/>
        <v/>
      </c>
    </row>
    <row r="1620" spans="8:12" ht="14.25" customHeight="1" x14ac:dyDescent="0.2">
      <c r="H1620" s="19" t="s">
        <v>1979</v>
      </c>
      <c r="J1620" s="110" t="str">
        <f t="shared" si="50"/>
        <v/>
      </c>
      <c r="L1620" s="110" t="str">
        <f t="shared" si="51"/>
        <v/>
      </c>
    </row>
    <row r="1621" spans="8:12" ht="14.25" customHeight="1" x14ac:dyDescent="0.2">
      <c r="H1621" s="19" t="s">
        <v>1979</v>
      </c>
      <c r="J1621" s="110" t="str">
        <f t="shared" si="50"/>
        <v/>
      </c>
      <c r="L1621" s="110" t="str">
        <f t="shared" si="51"/>
        <v/>
      </c>
    </row>
    <row r="1622" spans="8:12" ht="14.25" customHeight="1" x14ac:dyDescent="0.2">
      <c r="H1622" s="19" t="s">
        <v>1979</v>
      </c>
      <c r="J1622" s="110" t="str">
        <f t="shared" si="50"/>
        <v/>
      </c>
      <c r="L1622" s="110" t="str">
        <f t="shared" si="51"/>
        <v/>
      </c>
    </row>
    <row r="1623" spans="8:12" ht="14.25" customHeight="1" x14ac:dyDescent="0.2">
      <c r="H1623" s="19" t="s">
        <v>1979</v>
      </c>
      <c r="J1623" s="110" t="str">
        <f t="shared" si="50"/>
        <v/>
      </c>
      <c r="L1623" s="110" t="str">
        <f t="shared" si="51"/>
        <v/>
      </c>
    </row>
    <row r="1624" spans="8:12" ht="14.25" customHeight="1" x14ac:dyDescent="0.2">
      <c r="H1624" s="19" t="s">
        <v>1979</v>
      </c>
      <c r="J1624" s="110" t="str">
        <f t="shared" si="50"/>
        <v/>
      </c>
      <c r="L1624" s="110" t="str">
        <f t="shared" si="51"/>
        <v/>
      </c>
    </row>
    <row r="1625" spans="8:12" ht="14.25" customHeight="1" x14ac:dyDescent="0.2">
      <c r="H1625" s="19" t="s">
        <v>1979</v>
      </c>
      <c r="J1625" s="110" t="str">
        <f t="shared" si="50"/>
        <v/>
      </c>
      <c r="L1625" s="110" t="str">
        <f t="shared" si="51"/>
        <v/>
      </c>
    </row>
    <row r="1626" spans="8:12" ht="14.25" customHeight="1" x14ac:dyDescent="0.2">
      <c r="H1626" s="19" t="s">
        <v>1979</v>
      </c>
      <c r="J1626" s="110" t="str">
        <f t="shared" si="50"/>
        <v/>
      </c>
      <c r="L1626" s="110" t="str">
        <f t="shared" si="51"/>
        <v/>
      </c>
    </row>
    <row r="1627" spans="8:12" ht="14.25" customHeight="1" x14ac:dyDescent="0.2">
      <c r="H1627" s="19" t="s">
        <v>1979</v>
      </c>
      <c r="J1627" s="110" t="str">
        <f t="shared" si="50"/>
        <v/>
      </c>
      <c r="L1627" s="110" t="str">
        <f t="shared" si="51"/>
        <v/>
      </c>
    </row>
    <row r="1628" spans="8:12" ht="14.25" customHeight="1" x14ac:dyDescent="0.2">
      <c r="H1628" s="19" t="s">
        <v>1979</v>
      </c>
      <c r="J1628" s="110" t="str">
        <f t="shared" si="50"/>
        <v/>
      </c>
      <c r="L1628" s="110" t="str">
        <f t="shared" si="51"/>
        <v/>
      </c>
    </row>
    <row r="1629" spans="8:12" ht="14.25" customHeight="1" x14ac:dyDescent="0.2">
      <c r="H1629" s="19" t="s">
        <v>1979</v>
      </c>
      <c r="J1629" s="110" t="str">
        <f t="shared" si="50"/>
        <v/>
      </c>
      <c r="L1629" s="110" t="str">
        <f t="shared" si="51"/>
        <v/>
      </c>
    </row>
    <row r="1630" spans="8:12" ht="14.25" customHeight="1" x14ac:dyDescent="0.2">
      <c r="H1630" s="19" t="s">
        <v>1979</v>
      </c>
      <c r="J1630" s="110" t="str">
        <f t="shared" si="50"/>
        <v/>
      </c>
      <c r="L1630" s="110" t="str">
        <f t="shared" si="51"/>
        <v/>
      </c>
    </row>
    <row r="1631" spans="8:12" ht="14.25" customHeight="1" x14ac:dyDescent="0.2">
      <c r="H1631" s="19" t="s">
        <v>1979</v>
      </c>
      <c r="J1631" s="110" t="str">
        <f t="shared" si="50"/>
        <v/>
      </c>
      <c r="L1631" s="110" t="str">
        <f t="shared" si="51"/>
        <v/>
      </c>
    </row>
    <row r="1632" spans="8:12" ht="14.25" customHeight="1" x14ac:dyDescent="0.2">
      <c r="H1632" s="19" t="s">
        <v>1979</v>
      </c>
      <c r="J1632" s="110" t="str">
        <f t="shared" si="50"/>
        <v/>
      </c>
      <c r="L1632" s="110" t="str">
        <f t="shared" si="51"/>
        <v/>
      </c>
    </row>
    <row r="1633" spans="8:12" ht="14.25" customHeight="1" x14ac:dyDescent="0.2">
      <c r="H1633" s="19" t="s">
        <v>1979</v>
      </c>
      <c r="J1633" s="110" t="str">
        <f t="shared" si="50"/>
        <v/>
      </c>
      <c r="L1633" s="110" t="str">
        <f t="shared" si="51"/>
        <v/>
      </c>
    </row>
    <row r="1634" spans="8:12" ht="14.25" customHeight="1" x14ac:dyDescent="0.2">
      <c r="H1634" s="19" t="s">
        <v>1979</v>
      </c>
      <c r="J1634" s="110" t="str">
        <f t="shared" si="50"/>
        <v/>
      </c>
      <c r="L1634" s="110" t="str">
        <f t="shared" si="51"/>
        <v/>
      </c>
    </row>
    <row r="1635" spans="8:12" ht="14.25" customHeight="1" x14ac:dyDescent="0.2">
      <c r="H1635" s="19" t="s">
        <v>1979</v>
      </c>
      <c r="J1635" s="110" t="str">
        <f t="shared" si="50"/>
        <v/>
      </c>
      <c r="L1635" s="110" t="str">
        <f t="shared" si="51"/>
        <v/>
      </c>
    </row>
    <row r="1636" spans="8:12" ht="14.25" customHeight="1" x14ac:dyDescent="0.2">
      <c r="H1636" s="19" t="s">
        <v>1979</v>
      </c>
      <c r="J1636" s="110" t="str">
        <f t="shared" si="50"/>
        <v/>
      </c>
      <c r="L1636" s="110" t="str">
        <f t="shared" si="51"/>
        <v/>
      </c>
    </row>
    <row r="1637" spans="8:12" ht="14.25" customHeight="1" x14ac:dyDescent="0.2">
      <c r="H1637" s="19" t="s">
        <v>1979</v>
      </c>
      <c r="J1637" s="110" t="str">
        <f t="shared" si="50"/>
        <v/>
      </c>
      <c r="L1637" s="110" t="str">
        <f t="shared" si="51"/>
        <v/>
      </c>
    </row>
    <row r="1638" spans="8:12" ht="14.25" customHeight="1" x14ac:dyDescent="0.2">
      <c r="H1638" s="19" t="s">
        <v>1979</v>
      </c>
      <c r="J1638" s="110" t="str">
        <f t="shared" si="50"/>
        <v/>
      </c>
      <c r="L1638" s="110" t="str">
        <f t="shared" si="51"/>
        <v/>
      </c>
    </row>
    <row r="1639" spans="8:12" ht="14.25" customHeight="1" x14ac:dyDescent="0.2">
      <c r="H1639" s="19" t="s">
        <v>1979</v>
      </c>
      <c r="J1639" s="110" t="str">
        <f t="shared" si="50"/>
        <v/>
      </c>
      <c r="L1639" s="110" t="str">
        <f t="shared" si="51"/>
        <v/>
      </c>
    </row>
    <row r="1640" spans="8:12" ht="14.25" customHeight="1" x14ac:dyDescent="0.2">
      <c r="H1640" s="19" t="s">
        <v>1979</v>
      </c>
      <c r="J1640" s="110" t="str">
        <f t="shared" si="50"/>
        <v/>
      </c>
      <c r="L1640" s="110" t="str">
        <f t="shared" si="51"/>
        <v/>
      </c>
    </row>
    <row r="1641" spans="8:12" ht="14.25" customHeight="1" x14ac:dyDescent="0.2">
      <c r="H1641" s="19" t="s">
        <v>1979</v>
      </c>
      <c r="J1641" s="110" t="str">
        <f t="shared" si="50"/>
        <v/>
      </c>
      <c r="L1641" s="110" t="str">
        <f t="shared" si="51"/>
        <v/>
      </c>
    </row>
    <row r="1642" spans="8:12" ht="14.25" customHeight="1" x14ac:dyDescent="0.2">
      <c r="H1642" s="19" t="s">
        <v>1979</v>
      </c>
      <c r="J1642" s="110" t="str">
        <f t="shared" si="50"/>
        <v/>
      </c>
      <c r="L1642" s="110" t="str">
        <f t="shared" si="51"/>
        <v/>
      </c>
    </row>
    <row r="1643" spans="8:12" ht="14.25" customHeight="1" x14ac:dyDescent="0.2">
      <c r="H1643" s="19" t="s">
        <v>1979</v>
      </c>
      <c r="J1643" s="110" t="str">
        <f t="shared" si="50"/>
        <v/>
      </c>
      <c r="L1643" s="110" t="str">
        <f t="shared" si="51"/>
        <v/>
      </c>
    </row>
    <row r="1644" spans="8:12" ht="14.25" customHeight="1" x14ac:dyDescent="0.2">
      <c r="H1644" s="19" t="s">
        <v>1979</v>
      </c>
      <c r="J1644" s="110" t="str">
        <f t="shared" si="50"/>
        <v/>
      </c>
      <c r="L1644" s="110" t="str">
        <f t="shared" si="51"/>
        <v/>
      </c>
    </row>
    <row r="1645" spans="8:12" ht="14.25" customHeight="1" x14ac:dyDescent="0.2">
      <c r="H1645" s="19" t="s">
        <v>1979</v>
      </c>
      <c r="J1645" s="110" t="str">
        <f t="shared" si="50"/>
        <v/>
      </c>
      <c r="L1645" s="110" t="str">
        <f t="shared" si="51"/>
        <v/>
      </c>
    </row>
    <row r="1646" spans="8:12" ht="14.25" customHeight="1" x14ac:dyDescent="0.2">
      <c r="H1646" s="19" t="s">
        <v>1979</v>
      </c>
      <c r="J1646" s="110" t="str">
        <f t="shared" si="50"/>
        <v/>
      </c>
      <c r="L1646" s="110" t="str">
        <f t="shared" si="51"/>
        <v/>
      </c>
    </row>
    <row r="1647" spans="8:12" ht="14.25" customHeight="1" x14ac:dyDescent="0.2">
      <c r="H1647" s="19" t="s">
        <v>1979</v>
      </c>
      <c r="J1647" s="110" t="str">
        <f t="shared" si="50"/>
        <v/>
      </c>
      <c r="L1647" s="110" t="str">
        <f t="shared" si="51"/>
        <v/>
      </c>
    </row>
    <row r="1648" spans="8:12" ht="14.25" customHeight="1" x14ac:dyDescent="0.2">
      <c r="H1648" s="19" t="s">
        <v>1979</v>
      </c>
      <c r="J1648" s="110" t="str">
        <f t="shared" si="50"/>
        <v/>
      </c>
      <c r="L1648" s="110" t="str">
        <f t="shared" si="51"/>
        <v/>
      </c>
    </row>
    <row r="1649" spans="8:12" ht="14.25" customHeight="1" x14ac:dyDescent="0.2">
      <c r="H1649" s="19" t="s">
        <v>1979</v>
      </c>
      <c r="J1649" s="110" t="str">
        <f t="shared" si="50"/>
        <v/>
      </c>
      <c r="L1649" s="110" t="str">
        <f t="shared" si="51"/>
        <v/>
      </c>
    </row>
    <row r="1650" spans="8:12" ht="14.25" customHeight="1" x14ac:dyDescent="0.2">
      <c r="H1650" s="19" t="s">
        <v>1979</v>
      </c>
      <c r="J1650" s="110" t="str">
        <f t="shared" si="50"/>
        <v/>
      </c>
      <c r="L1650" s="110" t="str">
        <f t="shared" si="51"/>
        <v/>
      </c>
    </row>
    <row r="1651" spans="8:12" ht="14.25" customHeight="1" x14ac:dyDescent="0.2">
      <c r="H1651" s="19" t="s">
        <v>1979</v>
      </c>
      <c r="J1651" s="110" t="str">
        <f t="shared" si="50"/>
        <v/>
      </c>
      <c r="L1651" s="110" t="str">
        <f t="shared" si="51"/>
        <v/>
      </c>
    </row>
    <row r="1652" spans="8:12" ht="14.25" customHeight="1" x14ac:dyDescent="0.2">
      <c r="H1652" s="19" t="s">
        <v>1979</v>
      </c>
      <c r="J1652" s="110" t="str">
        <f t="shared" si="50"/>
        <v/>
      </c>
      <c r="L1652" s="110" t="str">
        <f t="shared" si="51"/>
        <v/>
      </c>
    </row>
    <row r="1653" spans="8:12" ht="14.25" customHeight="1" x14ac:dyDescent="0.2">
      <c r="H1653" s="19" t="s">
        <v>1979</v>
      </c>
      <c r="J1653" s="110" t="str">
        <f t="shared" si="50"/>
        <v/>
      </c>
      <c r="L1653" s="110" t="str">
        <f t="shared" si="51"/>
        <v/>
      </c>
    </row>
    <row r="1654" spans="8:12" ht="14.25" customHeight="1" x14ac:dyDescent="0.2">
      <c r="H1654" s="19" t="s">
        <v>1979</v>
      </c>
      <c r="J1654" s="110" t="str">
        <f t="shared" si="50"/>
        <v/>
      </c>
      <c r="L1654" s="110" t="str">
        <f t="shared" si="51"/>
        <v/>
      </c>
    </row>
    <row r="1655" spans="8:12" ht="14.25" customHeight="1" x14ac:dyDescent="0.2">
      <c r="H1655" s="19" t="s">
        <v>1979</v>
      </c>
      <c r="J1655" s="110" t="str">
        <f t="shared" si="50"/>
        <v/>
      </c>
      <c r="L1655" s="110" t="str">
        <f t="shared" si="51"/>
        <v/>
      </c>
    </row>
    <row r="1656" spans="8:12" ht="14.25" customHeight="1" x14ac:dyDescent="0.2">
      <c r="H1656" s="19" t="s">
        <v>1979</v>
      </c>
      <c r="J1656" s="110" t="str">
        <f t="shared" si="50"/>
        <v/>
      </c>
      <c r="L1656" s="110" t="str">
        <f t="shared" si="51"/>
        <v/>
      </c>
    </row>
    <row r="1657" spans="8:12" ht="14.25" customHeight="1" x14ac:dyDescent="0.2">
      <c r="H1657" s="19" t="s">
        <v>1979</v>
      </c>
      <c r="J1657" s="110" t="str">
        <f t="shared" si="50"/>
        <v/>
      </c>
      <c r="L1657" s="110" t="str">
        <f t="shared" si="51"/>
        <v/>
      </c>
    </row>
    <row r="1658" spans="8:12" ht="14.25" customHeight="1" x14ac:dyDescent="0.2">
      <c r="H1658" s="19" t="s">
        <v>1979</v>
      </c>
      <c r="J1658" s="110" t="str">
        <f t="shared" si="50"/>
        <v/>
      </c>
      <c r="L1658" s="110" t="str">
        <f t="shared" si="51"/>
        <v/>
      </c>
    </row>
    <row r="1659" spans="8:12" ht="14.25" customHeight="1" x14ac:dyDescent="0.2">
      <c r="H1659" s="19" t="s">
        <v>1979</v>
      </c>
      <c r="J1659" s="110" t="str">
        <f t="shared" si="50"/>
        <v/>
      </c>
      <c r="L1659" s="110" t="str">
        <f t="shared" si="51"/>
        <v/>
      </c>
    </row>
    <row r="1660" spans="8:12" ht="14.25" customHeight="1" x14ac:dyDescent="0.2">
      <c r="H1660" s="19" t="s">
        <v>1979</v>
      </c>
      <c r="J1660" s="110" t="str">
        <f t="shared" si="50"/>
        <v/>
      </c>
      <c r="L1660" s="110" t="str">
        <f t="shared" si="51"/>
        <v/>
      </c>
    </row>
    <row r="1661" spans="8:12" ht="14.25" customHeight="1" x14ac:dyDescent="0.2">
      <c r="H1661" s="19" t="s">
        <v>1979</v>
      </c>
      <c r="J1661" s="110" t="str">
        <f t="shared" si="50"/>
        <v/>
      </c>
      <c r="L1661" s="110" t="str">
        <f t="shared" si="51"/>
        <v/>
      </c>
    </row>
    <row r="1662" spans="8:12" ht="14.25" customHeight="1" x14ac:dyDescent="0.2">
      <c r="H1662" s="19" t="s">
        <v>1979</v>
      </c>
      <c r="J1662" s="110" t="str">
        <f t="shared" si="50"/>
        <v/>
      </c>
      <c r="L1662" s="110" t="str">
        <f t="shared" si="51"/>
        <v/>
      </c>
    </row>
    <row r="1663" spans="8:12" ht="14.25" customHeight="1" x14ac:dyDescent="0.2">
      <c r="H1663" s="19" t="s">
        <v>1979</v>
      </c>
      <c r="J1663" s="110" t="str">
        <f t="shared" si="50"/>
        <v/>
      </c>
      <c r="L1663" s="110" t="str">
        <f t="shared" si="51"/>
        <v/>
      </c>
    </row>
    <row r="1664" spans="8:12" ht="14.25" customHeight="1" x14ac:dyDescent="0.2">
      <c r="H1664" s="19" t="s">
        <v>1979</v>
      </c>
      <c r="J1664" s="110" t="str">
        <f t="shared" si="50"/>
        <v/>
      </c>
      <c r="L1664" s="110" t="str">
        <f t="shared" si="51"/>
        <v/>
      </c>
    </row>
    <row r="1665" spans="8:12" ht="14.25" customHeight="1" x14ac:dyDescent="0.2">
      <c r="H1665" s="19" t="s">
        <v>1979</v>
      </c>
      <c r="J1665" s="110" t="str">
        <f t="shared" si="50"/>
        <v/>
      </c>
      <c r="L1665" s="110" t="str">
        <f t="shared" si="51"/>
        <v/>
      </c>
    </row>
    <row r="1666" spans="8:12" ht="14.25" customHeight="1" x14ac:dyDescent="0.2">
      <c r="H1666" s="19" t="s">
        <v>1979</v>
      </c>
      <c r="J1666" s="110" t="str">
        <f t="shared" si="50"/>
        <v/>
      </c>
      <c r="L1666" s="110" t="str">
        <f t="shared" si="51"/>
        <v/>
      </c>
    </row>
    <row r="1667" spans="8:12" ht="14.25" customHeight="1" x14ac:dyDescent="0.2">
      <c r="H1667" s="19" t="s">
        <v>1979</v>
      </c>
      <c r="J1667" s="110" t="str">
        <f t="shared" ref="J1667:J1730" si="52">IF(K1667="","", K1667/PI())</f>
        <v/>
      </c>
      <c r="L1667" s="110" t="str">
        <f t="shared" ref="L1667:L1730" si="53">IF(OR(P1667="", N1667="", O1667=""), "", TAN(P1667*PI()/180)*N1667 +O1667)</f>
        <v/>
      </c>
    </row>
    <row r="1668" spans="8:12" ht="14.25" customHeight="1" x14ac:dyDescent="0.2">
      <c r="H1668" s="19" t="s">
        <v>1979</v>
      </c>
      <c r="J1668" s="110" t="str">
        <f t="shared" si="52"/>
        <v/>
      </c>
      <c r="L1668" s="110" t="str">
        <f t="shared" si="53"/>
        <v/>
      </c>
    </row>
    <row r="1669" spans="8:12" ht="14.25" customHeight="1" x14ac:dyDescent="0.2">
      <c r="H1669" s="19" t="s">
        <v>1979</v>
      </c>
      <c r="J1669" s="110" t="str">
        <f t="shared" si="52"/>
        <v/>
      </c>
      <c r="L1669" s="110" t="str">
        <f t="shared" si="53"/>
        <v/>
      </c>
    </row>
    <row r="1670" spans="8:12" ht="14.25" customHeight="1" x14ac:dyDescent="0.2">
      <c r="H1670" s="19" t="s">
        <v>1979</v>
      </c>
      <c r="J1670" s="110" t="str">
        <f t="shared" si="52"/>
        <v/>
      </c>
      <c r="L1670" s="110" t="str">
        <f t="shared" si="53"/>
        <v/>
      </c>
    </row>
    <row r="1671" spans="8:12" ht="14.25" customHeight="1" x14ac:dyDescent="0.2">
      <c r="H1671" s="19" t="s">
        <v>1979</v>
      </c>
      <c r="J1671" s="110" t="str">
        <f t="shared" si="52"/>
        <v/>
      </c>
      <c r="L1671" s="110" t="str">
        <f t="shared" si="53"/>
        <v/>
      </c>
    </row>
    <row r="1672" spans="8:12" ht="14.25" customHeight="1" x14ac:dyDescent="0.2">
      <c r="H1672" s="19" t="s">
        <v>1979</v>
      </c>
      <c r="J1672" s="110" t="str">
        <f t="shared" si="52"/>
        <v/>
      </c>
      <c r="L1672" s="110" t="str">
        <f t="shared" si="53"/>
        <v/>
      </c>
    </row>
    <row r="1673" spans="8:12" ht="14.25" customHeight="1" x14ac:dyDescent="0.2">
      <c r="H1673" s="19" t="s">
        <v>1979</v>
      </c>
      <c r="J1673" s="110" t="str">
        <f t="shared" si="52"/>
        <v/>
      </c>
      <c r="L1673" s="110" t="str">
        <f t="shared" si="53"/>
        <v/>
      </c>
    </row>
    <row r="1674" spans="8:12" ht="14.25" customHeight="1" x14ac:dyDescent="0.2">
      <c r="H1674" s="19" t="s">
        <v>1979</v>
      </c>
      <c r="J1674" s="110" t="str">
        <f t="shared" si="52"/>
        <v/>
      </c>
      <c r="L1674" s="110" t="str">
        <f t="shared" si="53"/>
        <v/>
      </c>
    </row>
    <row r="1675" spans="8:12" ht="14.25" customHeight="1" x14ac:dyDescent="0.2">
      <c r="H1675" s="19" t="s">
        <v>1979</v>
      </c>
      <c r="J1675" s="110" t="str">
        <f t="shared" si="52"/>
        <v/>
      </c>
      <c r="L1675" s="110" t="str">
        <f t="shared" si="53"/>
        <v/>
      </c>
    </row>
    <row r="1676" spans="8:12" ht="14.25" customHeight="1" x14ac:dyDescent="0.2">
      <c r="H1676" s="19" t="s">
        <v>1979</v>
      </c>
      <c r="J1676" s="110" t="str">
        <f t="shared" si="52"/>
        <v/>
      </c>
      <c r="L1676" s="110" t="str">
        <f t="shared" si="53"/>
        <v/>
      </c>
    </row>
    <row r="1677" spans="8:12" ht="14.25" customHeight="1" x14ac:dyDescent="0.2">
      <c r="H1677" s="19" t="s">
        <v>1979</v>
      </c>
      <c r="J1677" s="110" t="str">
        <f t="shared" si="52"/>
        <v/>
      </c>
      <c r="L1677" s="110" t="str">
        <f t="shared" si="53"/>
        <v/>
      </c>
    </row>
    <row r="1678" spans="8:12" ht="14.25" customHeight="1" x14ac:dyDescent="0.2">
      <c r="H1678" s="19" t="s">
        <v>1979</v>
      </c>
      <c r="J1678" s="110" t="str">
        <f t="shared" si="52"/>
        <v/>
      </c>
      <c r="L1678" s="110" t="str">
        <f t="shared" si="53"/>
        <v/>
      </c>
    </row>
    <row r="1679" spans="8:12" ht="14.25" customHeight="1" x14ac:dyDescent="0.2">
      <c r="H1679" s="19" t="s">
        <v>1979</v>
      </c>
      <c r="J1679" s="110" t="str">
        <f t="shared" si="52"/>
        <v/>
      </c>
      <c r="L1679" s="110" t="str">
        <f t="shared" si="53"/>
        <v/>
      </c>
    </row>
    <row r="1680" spans="8:12" ht="14.25" customHeight="1" x14ac:dyDescent="0.2">
      <c r="H1680" s="19" t="s">
        <v>1979</v>
      </c>
      <c r="J1680" s="110" t="str">
        <f t="shared" si="52"/>
        <v/>
      </c>
      <c r="L1680" s="110" t="str">
        <f t="shared" si="53"/>
        <v/>
      </c>
    </row>
    <row r="1681" spans="8:12" ht="14.25" customHeight="1" x14ac:dyDescent="0.2">
      <c r="H1681" s="19" t="s">
        <v>1979</v>
      </c>
      <c r="J1681" s="110" t="str">
        <f t="shared" si="52"/>
        <v/>
      </c>
      <c r="L1681" s="110" t="str">
        <f t="shared" si="53"/>
        <v/>
      </c>
    </row>
    <row r="1682" spans="8:12" ht="14.25" customHeight="1" x14ac:dyDescent="0.2">
      <c r="H1682" s="19" t="s">
        <v>1979</v>
      </c>
      <c r="J1682" s="110" t="str">
        <f t="shared" si="52"/>
        <v/>
      </c>
      <c r="L1682" s="110" t="str">
        <f t="shared" si="53"/>
        <v/>
      </c>
    </row>
    <row r="1683" spans="8:12" ht="14.25" customHeight="1" x14ac:dyDescent="0.2">
      <c r="H1683" s="19" t="s">
        <v>1979</v>
      </c>
      <c r="J1683" s="110" t="str">
        <f t="shared" si="52"/>
        <v/>
      </c>
      <c r="L1683" s="110" t="str">
        <f t="shared" si="53"/>
        <v/>
      </c>
    </row>
    <row r="1684" spans="8:12" ht="14.25" customHeight="1" x14ac:dyDescent="0.2">
      <c r="H1684" s="19" t="s">
        <v>1979</v>
      </c>
      <c r="J1684" s="110" t="str">
        <f t="shared" si="52"/>
        <v/>
      </c>
      <c r="L1684" s="110" t="str">
        <f t="shared" si="53"/>
        <v/>
      </c>
    </row>
    <row r="1685" spans="8:12" ht="14.25" customHeight="1" x14ac:dyDescent="0.2">
      <c r="H1685" s="19" t="s">
        <v>1979</v>
      </c>
      <c r="J1685" s="110" t="str">
        <f t="shared" si="52"/>
        <v/>
      </c>
      <c r="L1685" s="110" t="str">
        <f t="shared" si="53"/>
        <v/>
      </c>
    </row>
    <row r="1686" spans="8:12" ht="14.25" customHeight="1" x14ac:dyDescent="0.2">
      <c r="H1686" s="19" t="s">
        <v>1979</v>
      </c>
      <c r="J1686" s="110" t="str">
        <f t="shared" si="52"/>
        <v/>
      </c>
      <c r="L1686" s="110" t="str">
        <f t="shared" si="53"/>
        <v/>
      </c>
    </row>
    <row r="1687" spans="8:12" ht="14.25" customHeight="1" x14ac:dyDescent="0.2">
      <c r="H1687" s="19" t="s">
        <v>1979</v>
      </c>
      <c r="J1687" s="110" t="str">
        <f t="shared" si="52"/>
        <v/>
      </c>
      <c r="L1687" s="110" t="str">
        <f t="shared" si="53"/>
        <v/>
      </c>
    </row>
    <row r="1688" spans="8:12" ht="14.25" customHeight="1" x14ac:dyDescent="0.2">
      <c r="H1688" s="19" t="s">
        <v>1979</v>
      </c>
      <c r="J1688" s="110" t="str">
        <f t="shared" si="52"/>
        <v/>
      </c>
      <c r="L1688" s="110" t="str">
        <f t="shared" si="53"/>
        <v/>
      </c>
    </row>
    <row r="1689" spans="8:12" ht="14.25" customHeight="1" x14ac:dyDescent="0.2">
      <c r="H1689" s="19" t="s">
        <v>1979</v>
      </c>
      <c r="J1689" s="110" t="str">
        <f t="shared" si="52"/>
        <v/>
      </c>
      <c r="L1689" s="110" t="str">
        <f t="shared" si="53"/>
        <v/>
      </c>
    </row>
    <row r="1690" spans="8:12" ht="14.25" customHeight="1" x14ac:dyDescent="0.2">
      <c r="H1690" s="19" t="s">
        <v>1979</v>
      </c>
      <c r="J1690" s="110" t="str">
        <f t="shared" si="52"/>
        <v/>
      </c>
      <c r="L1690" s="110" t="str">
        <f t="shared" si="53"/>
        <v/>
      </c>
    </row>
    <row r="1691" spans="8:12" ht="14.25" customHeight="1" x14ac:dyDescent="0.2">
      <c r="H1691" s="19" t="s">
        <v>1979</v>
      </c>
      <c r="J1691" s="110" t="str">
        <f t="shared" si="52"/>
        <v/>
      </c>
      <c r="L1691" s="110" t="str">
        <f t="shared" si="53"/>
        <v/>
      </c>
    </row>
    <row r="1692" spans="8:12" ht="14.25" customHeight="1" x14ac:dyDescent="0.2">
      <c r="H1692" s="19" t="s">
        <v>1979</v>
      </c>
      <c r="J1692" s="110" t="str">
        <f t="shared" si="52"/>
        <v/>
      </c>
      <c r="L1692" s="110" t="str">
        <f t="shared" si="53"/>
        <v/>
      </c>
    </row>
    <row r="1693" spans="8:12" ht="14.25" customHeight="1" x14ac:dyDescent="0.2">
      <c r="H1693" s="19" t="s">
        <v>1979</v>
      </c>
      <c r="J1693" s="110" t="str">
        <f t="shared" si="52"/>
        <v/>
      </c>
      <c r="L1693" s="110" t="str">
        <f t="shared" si="53"/>
        <v/>
      </c>
    </row>
    <row r="1694" spans="8:12" ht="14.25" customHeight="1" x14ac:dyDescent="0.2">
      <c r="H1694" s="19" t="s">
        <v>1979</v>
      </c>
      <c r="J1694" s="110" t="str">
        <f t="shared" si="52"/>
        <v/>
      </c>
      <c r="L1694" s="110" t="str">
        <f t="shared" si="53"/>
        <v/>
      </c>
    </row>
    <row r="1695" spans="8:12" ht="14.25" customHeight="1" x14ac:dyDescent="0.2">
      <c r="H1695" s="19" t="s">
        <v>1979</v>
      </c>
      <c r="J1695" s="110" t="str">
        <f t="shared" si="52"/>
        <v/>
      </c>
      <c r="L1695" s="110" t="str">
        <f t="shared" si="53"/>
        <v/>
      </c>
    </row>
    <row r="1696" spans="8:12" ht="14.25" customHeight="1" x14ac:dyDescent="0.2">
      <c r="H1696" s="19" t="s">
        <v>1979</v>
      </c>
      <c r="J1696" s="110" t="str">
        <f t="shared" si="52"/>
        <v/>
      </c>
      <c r="L1696" s="110" t="str">
        <f t="shared" si="53"/>
        <v/>
      </c>
    </row>
    <row r="1697" spans="8:12" ht="14.25" customHeight="1" x14ac:dyDescent="0.2">
      <c r="H1697" s="19" t="s">
        <v>1979</v>
      </c>
      <c r="J1697" s="110" t="str">
        <f t="shared" si="52"/>
        <v/>
      </c>
      <c r="L1697" s="110" t="str">
        <f t="shared" si="53"/>
        <v/>
      </c>
    </row>
    <row r="1698" spans="8:12" ht="14.25" customHeight="1" x14ac:dyDescent="0.2">
      <c r="H1698" s="19" t="s">
        <v>1979</v>
      </c>
      <c r="J1698" s="110" t="str">
        <f t="shared" si="52"/>
        <v/>
      </c>
      <c r="L1698" s="110" t="str">
        <f t="shared" si="53"/>
        <v/>
      </c>
    </row>
    <row r="1699" spans="8:12" ht="14.25" customHeight="1" x14ac:dyDescent="0.2">
      <c r="H1699" s="19" t="s">
        <v>1979</v>
      </c>
      <c r="J1699" s="110" t="str">
        <f t="shared" si="52"/>
        <v/>
      </c>
      <c r="L1699" s="110" t="str">
        <f t="shared" si="53"/>
        <v/>
      </c>
    </row>
    <row r="1700" spans="8:12" ht="14.25" customHeight="1" x14ac:dyDescent="0.2">
      <c r="H1700" s="19" t="s">
        <v>1979</v>
      </c>
      <c r="J1700" s="110" t="str">
        <f t="shared" si="52"/>
        <v/>
      </c>
      <c r="L1700" s="110" t="str">
        <f t="shared" si="53"/>
        <v/>
      </c>
    </row>
    <row r="1701" spans="8:12" ht="14.25" customHeight="1" x14ac:dyDescent="0.2">
      <c r="H1701" s="19" t="s">
        <v>1979</v>
      </c>
      <c r="J1701" s="110" t="str">
        <f t="shared" si="52"/>
        <v/>
      </c>
      <c r="L1701" s="110" t="str">
        <f t="shared" si="53"/>
        <v/>
      </c>
    </row>
    <row r="1702" spans="8:12" ht="14.25" customHeight="1" x14ac:dyDescent="0.2">
      <c r="H1702" s="19" t="s">
        <v>1979</v>
      </c>
      <c r="J1702" s="110" t="str">
        <f t="shared" si="52"/>
        <v/>
      </c>
      <c r="L1702" s="110" t="str">
        <f t="shared" si="53"/>
        <v/>
      </c>
    </row>
    <row r="1703" spans="8:12" ht="14.25" customHeight="1" x14ac:dyDescent="0.2">
      <c r="H1703" s="19" t="s">
        <v>1979</v>
      </c>
      <c r="J1703" s="110" t="str">
        <f t="shared" si="52"/>
        <v/>
      </c>
      <c r="L1703" s="110" t="str">
        <f t="shared" si="53"/>
        <v/>
      </c>
    </row>
    <row r="1704" spans="8:12" ht="14.25" customHeight="1" x14ac:dyDescent="0.2">
      <c r="H1704" s="19" t="s">
        <v>1979</v>
      </c>
      <c r="J1704" s="110" t="str">
        <f t="shared" si="52"/>
        <v/>
      </c>
      <c r="L1704" s="110" t="str">
        <f t="shared" si="53"/>
        <v/>
      </c>
    </row>
    <row r="1705" spans="8:12" ht="14.25" customHeight="1" x14ac:dyDescent="0.2">
      <c r="H1705" s="19" t="s">
        <v>1979</v>
      </c>
      <c r="J1705" s="110" t="str">
        <f t="shared" si="52"/>
        <v/>
      </c>
      <c r="L1705" s="110" t="str">
        <f t="shared" si="53"/>
        <v/>
      </c>
    </row>
    <row r="1706" spans="8:12" ht="14.25" customHeight="1" x14ac:dyDescent="0.2">
      <c r="H1706" s="19" t="s">
        <v>1979</v>
      </c>
      <c r="J1706" s="110" t="str">
        <f t="shared" si="52"/>
        <v/>
      </c>
      <c r="L1706" s="110" t="str">
        <f t="shared" si="53"/>
        <v/>
      </c>
    </row>
    <row r="1707" spans="8:12" ht="14.25" customHeight="1" x14ac:dyDescent="0.2">
      <c r="H1707" s="19" t="s">
        <v>1979</v>
      </c>
      <c r="J1707" s="110" t="str">
        <f t="shared" si="52"/>
        <v/>
      </c>
      <c r="L1707" s="110" t="str">
        <f t="shared" si="53"/>
        <v/>
      </c>
    </row>
    <row r="1708" spans="8:12" ht="14.25" customHeight="1" x14ac:dyDescent="0.2">
      <c r="H1708" s="19" t="s">
        <v>1979</v>
      </c>
      <c r="J1708" s="110" t="str">
        <f t="shared" si="52"/>
        <v/>
      </c>
      <c r="L1708" s="110" t="str">
        <f t="shared" si="53"/>
        <v/>
      </c>
    </row>
    <row r="1709" spans="8:12" ht="14.25" customHeight="1" x14ac:dyDescent="0.2">
      <c r="H1709" s="19" t="s">
        <v>1979</v>
      </c>
      <c r="J1709" s="110" t="str">
        <f t="shared" si="52"/>
        <v/>
      </c>
      <c r="L1709" s="110" t="str">
        <f t="shared" si="53"/>
        <v/>
      </c>
    </row>
    <row r="1710" spans="8:12" ht="14.25" customHeight="1" x14ac:dyDescent="0.2">
      <c r="H1710" s="19" t="s">
        <v>1979</v>
      </c>
      <c r="J1710" s="110" t="str">
        <f t="shared" si="52"/>
        <v/>
      </c>
      <c r="L1710" s="110" t="str">
        <f t="shared" si="53"/>
        <v/>
      </c>
    </row>
    <row r="1711" spans="8:12" ht="14.25" customHeight="1" x14ac:dyDescent="0.2">
      <c r="H1711" s="19" t="s">
        <v>1979</v>
      </c>
      <c r="J1711" s="110" t="str">
        <f t="shared" si="52"/>
        <v/>
      </c>
      <c r="L1711" s="110" t="str">
        <f t="shared" si="53"/>
        <v/>
      </c>
    </row>
    <row r="1712" spans="8:12" ht="14.25" customHeight="1" x14ac:dyDescent="0.2">
      <c r="H1712" s="19" t="s">
        <v>1979</v>
      </c>
      <c r="J1712" s="110" t="str">
        <f t="shared" si="52"/>
        <v/>
      </c>
      <c r="L1712" s="110" t="str">
        <f t="shared" si="53"/>
        <v/>
      </c>
    </row>
    <row r="1713" spans="8:12" ht="14.25" customHeight="1" x14ac:dyDescent="0.2">
      <c r="H1713" s="19" t="s">
        <v>1979</v>
      </c>
      <c r="J1713" s="110" t="str">
        <f t="shared" si="52"/>
        <v/>
      </c>
      <c r="L1713" s="110" t="str">
        <f t="shared" si="53"/>
        <v/>
      </c>
    </row>
    <row r="1714" spans="8:12" ht="14.25" customHeight="1" x14ac:dyDescent="0.2">
      <c r="H1714" s="19" t="s">
        <v>1979</v>
      </c>
      <c r="J1714" s="110" t="str">
        <f t="shared" si="52"/>
        <v/>
      </c>
      <c r="L1714" s="110" t="str">
        <f t="shared" si="53"/>
        <v/>
      </c>
    </row>
    <row r="1715" spans="8:12" ht="14.25" customHeight="1" x14ac:dyDescent="0.2">
      <c r="H1715" s="19" t="s">
        <v>1979</v>
      </c>
      <c r="J1715" s="110" t="str">
        <f t="shared" si="52"/>
        <v/>
      </c>
      <c r="L1715" s="110" t="str">
        <f t="shared" si="53"/>
        <v/>
      </c>
    </row>
    <row r="1716" spans="8:12" ht="14.25" customHeight="1" x14ac:dyDescent="0.2">
      <c r="H1716" s="19" t="s">
        <v>1979</v>
      </c>
      <c r="J1716" s="110" t="str">
        <f t="shared" si="52"/>
        <v/>
      </c>
      <c r="L1716" s="110" t="str">
        <f t="shared" si="53"/>
        <v/>
      </c>
    </row>
    <row r="1717" spans="8:12" ht="14.25" customHeight="1" x14ac:dyDescent="0.2">
      <c r="H1717" s="19" t="s">
        <v>1979</v>
      </c>
      <c r="J1717" s="110" t="str">
        <f t="shared" si="52"/>
        <v/>
      </c>
      <c r="L1717" s="110" t="str">
        <f t="shared" si="53"/>
        <v/>
      </c>
    </row>
    <row r="1718" spans="8:12" ht="14.25" customHeight="1" x14ac:dyDescent="0.2">
      <c r="H1718" s="19" t="s">
        <v>1979</v>
      </c>
      <c r="J1718" s="110" t="str">
        <f t="shared" si="52"/>
        <v/>
      </c>
      <c r="L1718" s="110" t="str">
        <f t="shared" si="53"/>
        <v/>
      </c>
    </row>
    <row r="1719" spans="8:12" ht="14.25" customHeight="1" x14ac:dyDescent="0.2">
      <c r="H1719" s="19" t="s">
        <v>1979</v>
      </c>
      <c r="J1719" s="110" t="str">
        <f t="shared" si="52"/>
        <v/>
      </c>
      <c r="L1719" s="110" t="str">
        <f t="shared" si="53"/>
        <v/>
      </c>
    </row>
    <row r="1720" spans="8:12" ht="14.25" customHeight="1" x14ac:dyDescent="0.2">
      <c r="H1720" s="19" t="s">
        <v>1979</v>
      </c>
      <c r="J1720" s="110" t="str">
        <f t="shared" si="52"/>
        <v/>
      </c>
      <c r="L1720" s="110" t="str">
        <f t="shared" si="53"/>
        <v/>
      </c>
    </row>
    <row r="1721" spans="8:12" ht="14.25" customHeight="1" x14ac:dyDescent="0.2">
      <c r="H1721" s="19" t="s">
        <v>1979</v>
      </c>
      <c r="J1721" s="110" t="str">
        <f t="shared" si="52"/>
        <v/>
      </c>
      <c r="L1721" s="110" t="str">
        <f t="shared" si="53"/>
        <v/>
      </c>
    </row>
    <row r="1722" spans="8:12" ht="14.25" customHeight="1" x14ac:dyDescent="0.2">
      <c r="H1722" s="19" t="s">
        <v>1979</v>
      </c>
      <c r="J1722" s="110" t="str">
        <f t="shared" si="52"/>
        <v/>
      </c>
      <c r="L1722" s="110" t="str">
        <f t="shared" si="53"/>
        <v/>
      </c>
    </row>
    <row r="1723" spans="8:12" ht="14.25" customHeight="1" x14ac:dyDescent="0.2">
      <c r="H1723" s="19" t="s">
        <v>1979</v>
      </c>
      <c r="J1723" s="110" t="str">
        <f t="shared" si="52"/>
        <v/>
      </c>
      <c r="L1723" s="110" t="str">
        <f t="shared" si="53"/>
        <v/>
      </c>
    </row>
    <row r="1724" spans="8:12" ht="14.25" customHeight="1" x14ac:dyDescent="0.2">
      <c r="H1724" s="19" t="s">
        <v>1979</v>
      </c>
      <c r="J1724" s="110" t="str">
        <f t="shared" si="52"/>
        <v/>
      </c>
      <c r="L1724" s="110" t="str">
        <f t="shared" si="53"/>
        <v/>
      </c>
    </row>
    <row r="1725" spans="8:12" ht="14.25" customHeight="1" x14ac:dyDescent="0.2">
      <c r="H1725" s="19" t="s">
        <v>1979</v>
      </c>
      <c r="J1725" s="110" t="str">
        <f t="shared" si="52"/>
        <v/>
      </c>
      <c r="L1725" s="110" t="str">
        <f t="shared" si="53"/>
        <v/>
      </c>
    </row>
    <row r="1726" spans="8:12" ht="14.25" customHeight="1" x14ac:dyDescent="0.2">
      <c r="H1726" s="19" t="s">
        <v>1979</v>
      </c>
      <c r="J1726" s="110" t="str">
        <f t="shared" si="52"/>
        <v/>
      </c>
      <c r="L1726" s="110" t="str">
        <f t="shared" si="53"/>
        <v/>
      </c>
    </row>
    <row r="1727" spans="8:12" ht="14.25" customHeight="1" x14ac:dyDescent="0.2">
      <c r="H1727" s="19" t="s">
        <v>1979</v>
      </c>
      <c r="J1727" s="110" t="str">
        <f t="shared" si="52"/>
        <v/>
      </c>
      <c r="L1727" s="110" t="str">
        <f t="shared" si="53"/>
        <v/>
      </c>
    </row>
    <row r="1728" spans="8:12" ht="14.25" customHeight="1" x14ac:dyDescent="0.2">
      <c r="H1728" s="19" t="s">
        <v>1979</v>
      </c>
      <c r="J1728" s="110" t="str">
        <f t="shared" si="52"/>
        <v/>
      </c>
      <c r="L1728" s="110" t="str">
        <f t="shared" si="53"/>
        <v/>
      </c>
    </row>
    <row r="1729" spans="8:12" ht="14.25" customHeight="1" x14ac:dyDescent="0.2">
      <c r="H1729" s="19" t="s">
        <v>1979</v>
      </c>
      <c r="J1729" s="110" t="str">
        <f t="shared" si="52"/>
        <v/>
      </c>
      <c r="L1729" s="110" t="str">
        <f t="shared" si="53"/>
        <v/>
      </c>
    </row>
    <row r="1730" spans="8:12" ht="14.25" customHeight="1" x14ac:dyDescent="0.2">
      <c r="H1730" s="19" t="s">
        <v>1979</v>
      </c>
      <c r="J1730" s="110" t="str">
        <f t="shared" si="52"/>
        <v/>
      </c>
      <c r="L1730" s="110" t="str">
        <f t="shared" si="53"/>
        <v/>
      </c>
    </row>
    <row r="1731" spans="8:12" ht="14.25" customHeight="1" x14ac:dyDescent="0.2">
      <c r="H1731" s="19" t="s">
        <v>1979</v>
      </c>
      <c r="J1731" s="110" t="str">
        <f t="shared" ref="J1731:J1794" si="54">IF(K1731="","", K1731/PI())</f>
        <v/>
      </c>
      <c r="L1731" s="110" t="str">
        <f t="shared" ref="L1731:L1794" si="55">IF(OR(P1731="", N1731="", O1731=""), "", TAN(P1731*PI()/180)*N1731 +O1731)</f>
        <v/>
      </c>
    </row>
    <row r="1732" spans="8:12" ht="14.25" customHeight="1" x14ac:dyDescent="0.2">
      <c r="H1732" s="19" t="s">
        <v>1979</v>
      </c>
      <c r="J1732" s="110" t="str">
        <f t="shared" si="54"/>
        <v/>
      </c>
      <c r="L1732" s="110" t="str">
        <f t="shared" si="55"/>
        <v/>
      </c>
    </row>
    <row r="1733" spans="8:12" ht="14.25" customHeight="1" x14ac:dyDescent="0.2">
      <c r="H1733" s="19" t="s">
        <v>1979</v>
      </c>
      <c r="J1733" s="110" t="str">
        <f t="shared" si="54"/>
        <v/>
      </c>
      <c r="L1733" s="110" t="str">
        <f t="shared" si="55"/>
        <v/>
      </c>
    </row>
    <row r="1734" spans="8:12" ht="14.25" customHeight="1" x14ac:dyDescent="0.2">
      <c r="H1734" s="19" t="s">
        <v>1979</v>
      </c>
      <c r="J1734" s="110" t="str">
        <f t="shared" si="54"/>
        <v/>
      </c>
      <c r="L1734" s="110" t="str">
        <f t="shared" si="55"/>
        <v/>
      </c>
    </row>
    <row r="1735" spans="8:12" ht="14.25" customHeight="1" x14ac:dyDescent="0.2">
      <c r="H1735" s="19" t="s">
        <v>1979</v>
      </c>
      <c r="J1735" s="110" t="str">
        <f t="shared" si="54"/>
        <v/>
      </c>
      <c r="L1735" s="110" t="str">
        <f t="shared" si="55"/>
        <v/>
      </c>
    </row>
    <row r="1736" spans="8:12" ht="14.25" customHeight="1" x14ac:dyDescent="0.2">
      <c r="H1736" s="19" t="s">
        <v>1979</v>
      </c>
      <c r="J1736" s="110" t="str">
        <f t="shared" si="54"/>
        <v/>
      </c>
      <c r="L1736" s="110" t="str">
        <f t="shared" si="55"/>
        <v/>
      </c>
    </row>
    <row r="1737" spans="8:12" ht="14.25" customHeight="1" x14ac:dyDescent="0.2">
      <c r="H1737" s="19" t="s">
        <v>1979</v>
      </c>
      <c r="J1737" s="110" t="str">
        <f t="shared" si="54"/>
        <v/>
      </c>
      <c r="L1737" s="110" t="str">
        <f t="shared" si="55"/>
        <v/>
      </c>
    </row>
    <row r="1738" spans="8:12" ht="14.25" customHeight="1" x14ac:dyDescent="0.2">
      <c r="H1738" s="19" t="s">
        <v>1979</v>
      </c>
      <c r="J1738" s="110" t="str">
        <f t="shared" si="54"/>
        <v/>
      </c>
      <c r="L1738" s="110" t="str">
        <f t="shared" si="55"/>
        <v/>
      </c>
    </row>
    <row r="1739" spans="8:12" ht="14.25" customHeight="1" x14ac:dyDescent="0.2">
      <c r="H1739" s="19" t="s">
        <v>1979</v>
      </c>
      <c r="J1739" s="110" t="str">
        <f t="shared" si="54"/>
        <v/>
      </c>
      <c r="L1739" s="110" t="str">
        <f t="shared" si="55"/>
        <v/>
      </c>
    </row>
    <row r="1740" spans="8:12" ht="14.25" customHeight="1" x14ac:dyDescent="0.2">
      <c r="H1740" s="19" t="s">
        <v>1979</v>
      </c>
      <c r="J1740" s="110" t="str">
        <f t="shared" si="54"/>
        <v/>
      </c>
      <c r="L1740" s="110" t="str">
        <f t="shared" si="55"/>
        <v/>
      </c>
    </row>
    <row r="1741" spans="8:12" ht="14.25" customHeight="1" x14ac:dyDescent="0.2">
      <c r="H1741" s="19" t="s">
        <v>1979</v>
      </c>
      <c r="J1741" s="110" t="str">
        <f t="shared" si="54"/>
        <v/>
      </c>
      <c r="L1741" s="110" t="str">
        <f t="shared" si="55"/>
        <v/>
      </c>
    </row>
    <row r="1742" spans="8:12" ht="14.25" customHeight="1" x14ac:dyDescent="0.2">
      <c r="H1742" s="19" t="s">
        <v>1979</v>
      </c>
      <c r="J1742" s="110" t="str">
        <f t="shared" si="54"/>
        <v/>
      </c>
      <c r="L1742" s="110" t="str">
        <f t="shared" si="55"/>
        <v/>
      </c>
    </row>
    <row r="1743" spans="8:12" ht="14.25" customHeight="1" x14ac:dyDescent="0.2">
      <c r="H1743" s="19" t="s">
        <v>1979</v>
      </c>
      <c r="J1743" s="110" t="str">
        <f t="shared" si="54"/>
        <v/>
      </c>
      <c r="L1743" s="110" t="str">
        <f t="shared" si="55"/>
        <v/>
      </c>
    </row>
    <row r="1744" spans="8:12" ht="14.25" customHeight="1" x14ac:dyDescent="0.2">
      <c r="H1744" s="19" t="s">
        <v>1979</v>
      </c>
      <c r="J1744" s="110" t="str">
        <f t="shared" si="54"/>
        <v/>
      </c>
      <c r="L1744" s="110" t="str">
        <f t="shared" si="55"/>
        <v/>
      </c>
    </row>
    <row r="1745" spans="8:12" ht="14.25" customHeight="1" x14ac:dyDescent="0.2">
      <c r="H1745" s="19" t="s">
        <v>1979</v>
      </c>
      <c r="J1745" s="110" t="str">
        <f t="shared" si="54"/>
        <v/>
      </c>
      <c r="L1745" s="110" t="str">
        <f t="shared" si="55"/>
        <v/>
      </c>
    </row>
    <row r="1746" spans="8:12" ht="14.25" customHeight="1" x14ac:dyDescent="0.2">
      <c r="H1746" s="19" t="s">
        <v>1979</v>
      </c>
      <c r="J1746" s="110" t="str">
        <f t="shared" si="54"/>
        <v/>
      </c>
      <c r="L1746" s="110" t="str">
        <f t="shared" si="55"/>
        <v/>
      </c>
    </row>
    <row r="1747" spans="8:12" ht="14.25" customHeight="1" x14ac:dyDescent="0.2">
      <c r="H1747" s="19" t="s">
        <v>1979</v>
      </c>
      <c r="J1747" s="110" t="str">
        <f t="shared" si="54"/>
        <v/>
      </c>
      <c r="L1747" s="110" t="str">
        <f t="shared" si="55"/>
        <v/>
      </c>
    </row>
    <row r="1748" spans="8:12" ht="14.25" customHeight="1" x14ac:dyDescent="0.2">
      <c r="H1748" s="19" t="s">
        <v>1979</v>
      </c>
      <c r="J1748" s="110" t="str">
        <f t="shared" si="54"/>
        <v/>
      </c>
      <c r="L1748" s="110" t="str">
        <f t="shared" si="55"/>
        <v/>
      </c>
    </row>
    <row r="1749" spans="8:12" ht="14.25" customHeight="1" x14ac:dyDescent="0.2">
      <c r="H1749" s="19" t="s">
        <v>1979</v>
      </c>
      <c r="J1749" s="110" t="str">
        <f t="shared" si="54"/>
        <v/>
      </c>
      <c r="L1749" s="110" t="str">
        <f t="shared" si="55"/>
        <v/>
      </c>
    </row>
    <row r="1750" spans="8:12" ht="14.25" customHeight="1" x14ac:dyDescent="0.2">
      <c r="H1750" s="19" t="s">
        <v>1979</v>
      </c>
      <c r="J1750" s="110" t="str">
        <f t="shared" si="54"/>
        <v/>
      </c>
      <c r="L1750" s="110" t="str">
        <f t="shared" si="55"/>
        <v/>
      </c>
    </row>
    <row r="1751" spans="8:12" ht="14.25" customHeight="1" x14ac:dyDescent="0.2">
      <c r="H1751" s="19" t="s">
        <v>1979</v>
      </c>
      <c r="J1751" s="110" t="str">
        <f t="shared" si="54"/>
        <v/>
      </c>
      <c r="L1751" s="110" t="str">
        <f t="shared" si="55"/>
        <v/>
      </c>
    </row>
    <row r="1752" spans="8:12" ht="14.25" customHeight="1" x14ac:dyDescent="0.2">
      <c r="H1752" s="19" t="s">
        <v>1979</v>
      </c>
      <c r="J1752" s="110" t="str">
        <f t="shared" si="54"/>
        <v/>
      </c>
      <c r="L1752" s="110" t="str">
        <f t="shared" si="55"/>
        <v/>
      </c>
    </row>
    <row r="1753" spans="8:12" ht="14.25" customHeight="1" x14ac:dyDescent="0.2">
      <c r="H1753" s="19" t="s">
        <v>1979</v>
      </c>
      <c r="J1753" s="110" t="str">
        <f t="shared" si="54"/>
        <v/>
      </c>
      <c r="L1753" s="110" t="str">
        <f t="shared" si="55"/>
        <v/>
      </c>
    </row>
    <row r="1754" spans="8:12" ht="14.25" customHeight="1" x14ac:dyDescent="0.2">
      <c r="H1754" s="19" t="s">
        <v>1979</v>
      </c>
      <c r="J1754" s="110" t="str">
        <f t="shared" si="54"/>
        <v/>
      </c>
      <c r="L1754" s="110" t="str">
        <f t="shared" si="55"/>
        <v/>
      </c>
    </row>
    <row r="1755" spans="8:12" ht="14.25" customHeight="1" x14ac:dyDescent="0.2">
      <c r="H1755" s="19" t="s">
        <v>1979</v>
      </c>
      <c r="J1755" s="110" t="str">
        <f t="shared" si="54"/>
        <v/>
      </c>
      <c r="L1755" s="110" t="str">
        <f t="shared" si="55"/>
        <v/>
      </c>
    </row>
    <row r="1756" spans="8:12" ht="14.25" customHeight="1" x14ac:dyDescent="0.2">
      <c r="H1756" s="19" t="s">
        <v>1979</v>
      </c>
      <c r="J1756" s="110" t="str">
        <f t="shared" si="54"/>
        <v/>
      </c>
      <c r="L1756" s="110" t="str">
        <f t="shared" si="55"/>
        <v/>
      </c>
    </row>
    <row r="1757" spans="8:12" ht="14.25" customHeight="1" x14ac:dyDescent="0.2">
      <c r="H1757" s="19" t="s">
        <v>1979</v>
      </c>
      <c r="J1757" s="110" t="str">
        <f t="shared" si="54"/>
        <v/>
      </c>
      <c r="L1757" s="110" t="str">
        <f t="shared" si="55"/>
        <v/>
      </c>
    </row>
    <row r="1758" spans="8:12" ht="14.25" customHeight="1" x14ac:dyDescent="0.2">
      <c r="H1758" s="19" t="s">
        <v>1979</v>
      </c>
      <c r="J1758" s="110" t="str">
        <f t="shared" si="54"/>
        <v/>
      </c>
      <c r="L1758" s="110" t="str">
        <f t="shared" si="55"/>
        <v/>
      </c>
    </row>
    <row r="1759" spans="8:12" ht="14.25" customHeight="1" x14ac:dyDescent="0.2">
      <c r="H1759" s="19" t="s">
        <v>1979</v>
      </c>
      <c r="J1759" s="110" t="str">
        <f t="shared" si="54"/>
        <v/>
      </c>
      <c r="L1759" s="110" t="str">
        <f t="shared" si="55"/>
        <v/>
      </c>
    </row>
    <row r="1760" spans="8:12" ht="14.25" customHeight="1" x14ac:dyDescent="0.2">
      <c r="H1760" s="19" t="s">
        <v>1979</v>
      </c>
      <c r="J1760" s="110" t="str">
        <f t="shared" si="54"/>
        <v/>
      </c>
      <c r="L1760" s="110" t="str">
        <f t="shared" si="55"/>
        <v/>
      </c>
    </row>
    <row r="1761" spans="8:12" ht="14.25" customHeight="1" x14ac:dyDescent="0.2">
      <c r="H1761" s="19" t="s">
        <v>1979</v>
      </c>
      <c r="J1761" s="110" t="str">
        <f t="shared" si="54"/>
        <v/>
      </c>
      <c r="L1761" s="110" t="str">
        <f t="shared" si="55"/>
        <v/>
      </c>
    </row>
    <row r="1762" spans="8:12" ht="14.25" customHeight="1" x14ac:dyDescent="0.2">
      <c r="H1762" s="19" t="s">
        <v>1979</v>
      </c>
      <c r="J1762" s="110" t="str">
        <f t="shared" si="54"/>
        <v/>
      </c>
      <c r="L1762" s="110" t="str">
        <f t="shared" si="55"/>
        <v/>
      </c>
    </row>
    <row r="1763" spans="8:12" ht="14.25" customHeight="1" x14ac:dyDescent="0.2">
      <c r="H1763" s="19" t="s">
        <v>1979</v>
      </c>
      <c r="J1763" s="110" t="str">
        <f t="shared" si="54"/>
        <v/>
      </c>
      <c r="L1763" s="110" t="str">
        <f t="shared" si="55"/>
        <v/>
      </c>
    </row>
    <row r="1764" spans="8:12" ht="14.25" customHeight="1" x14ac:dyDescent="0.2">
      <c r="H1764" s="19" t="s">
        <v>1979</v>
      </c>
      <c r="J1764" s="110" t="str">
        <f t="shared" si="54"/>
        <v/>
      </c>
      <c r="L1764" s="110" t="str">
        <f t="shared" si="55"/>
        <v/>
      </c>
    </row>
    <row r="1765" spans="8:12" ht="14.25" customHeight="1" x14ac:dyDescent="0.2">
      <c r="H1765" s="19" t="s">
        <v>1979</v>
      </c>
      <c r="J1765" s="110" t="str">
        <f t="shared" si="54"/>
        <v/>
      </c>
      <c r="L1765" s="110" t="str">
        <f t="shared" si="55"/>
        <v/>
      </c>
    </row>
    <row r="1766" spans="8:12" ht="14.25" customHeight="1" x14ac:dyDescent="0.2">
      <c r="H1766" s="19" t="s">
        <v>1979</v>
      </c>
      <c r="J1766" s="110" t="str">
        <f t="shared" si="54"/>
        <v/>
      </c>
      <c r="L1766" s="110" t="str">
        <f t="shared" si="55"/>
        <v/>
      </c>
    </row>
    <row r="1767" spans="8:12" ht="14.25" customHeight="1" x14ac:dyDescent="0.2">
      <c r="H1767" s="19" t="s">
        <v>1979</v>
      </c>
      <c r="J1767" s="110" t="str">
        <f t="shared" si="54"/>
        <v/>
      </c>
      <c r="L1767" s="110" t="str">
        <f t="shared" si="55"/>
        <v/>
      </c>
    </row>
    <row r="1768" spans="8:12" ht="14.25" customHeight="1" x14ac:dyDescent="0.2">
      <c r="H1768" s="19" t="s">
        <v>1979</v>
      </c>
      <c r="J1768" s="110" t="str">
        <f t="shared" si="54"/>
        <v/>
      </c>
      <c r="L1768" s="110" t="str">
        <f t="shared" si="55"/>
        <v/>
      </c>
    </row>
    <row r="1769" spans="8:12" ht="14.25" customHeight="1" x14ac:dyDescent="0.2">
      <c r="H1769" s="19" t="s">
        <v>1979</v>
      </c>
      <c r="J1769" s="110" t="str">
        <f t="shared" si="54"/>
        <v/>
      </c>
      <c r="L1769" s="110" t="str">
        <f t="shared" si="55"/>
        <v/>
      </c>
    </row>
    <row r="1770" spans="8:12" ht="14.25" customHeight="1" x14ac:dyDescent="0.2">
      <c r="H1770" s="19" t="s">
        <v>1979</v>
      </c>
      <c r="J1770" s="110" t="str">
        <f t="shared" si="54"/>
        <v/>
      </c>
      <c r="L1770" s="110" t="str">
        <f t="shared" si="55"/>
        <v/>
      </c>
    </row>
    <row r="1771" spans="8:12" ht="14.25" customHeight="1" x14ac:dyDescent="0.2">
      <c r="H1771" s="19" t="s">
        <v>1979</v>
      </c>
      <c r="J1771" s="110" t="str">
        <f t="shared" si="54"/>
        <v/>
      </c>
      <c r="L1771" s="110" t="str">
        <f t="shared" si="55"/>
        <v/>
      </c>
    </row>
    <row r="1772" spans="8:12" ht="14.25" customHeight="1" x14ac:dyDescent="0.2">
      <c r="H1772" s="19" t="s">
        <v>1979</v>
      </c>
      <c r="J1772" s="110" t="str">
        <f t="shared" si="54"/>
        <v/>
      </c>
      <c r="L1772" s="110" t="str">
        <f t="shared" si="55"/>
        <v/>
      </c>
    </row>
    <row r="1773" spans="8:12" ht="14.25" customHeight="1" x14ac:dyDescent="0.2">
      <c r="H1773" s="19" t="s">
        <v>1979</v>
      </c>
      <c r="J1773" s="110" t="str">
        <f t="shared" si="54"/>
        <v/>
      </c>
      <c r="L1773" s="110" t="str">
        <f t="shared" si="55"/>
        <v/>
      </c>
    </row>
    <row r="1774" spans="8:12" ht="14.25" customHeight="1" x14ac:dyDescent="0.2">
      <c r="H1774" s="19" t="s">
        <v>1979</v>
      </c>
      <c r="J1774" s="110" t="str">
        <f t="shared" si="54"/>
        <v/>
      </c>
      <c r="L1774" s="110" t="str">
        <f t="shared" si="55"/>
        <v/>
      </c>
    </row>
    <row r="1775" spans="8:12" ht="14.25" customHeight="1" x14ac:dyDescent="0.2">
      <c r="H1775" s="19" t="s">
        <v>1979</v>
      </c>
      <c r="J1775" s="110" t="str">
        <f t="shared" si="54"/>
        <v/>
      </c>
      <c r="L1775" s="110" t="str">
        <f t="shared" si="55"/>
        <v/>
      </c>
    </row>
    <row r="1776" spans="8:12" ht="14.25" customHeight="1" x14ac:dyDescent="0.2">
      <c r="H1776" s="19" t="s">
        <v>1979</v>
      </c>
      <c r="J1776" s="110" t="str">
        <f t="shared" si="54"/>
        <v/>
      </c>
      <c r="L1776" s="110" t="str">
        <f t="shared" si="55"/>
        <v/>
      </c>
    </row>
    <row r="1777" spans="8:12" ht="14.25" customHeight="1" x14ac:dyDescent="0.2">
      <c r="H1777" s="19" t="s">
        <v>1979</v>
      </c>
      <c r="J1777" s="110" t="str">
        <f t="shared" si="54"/>
        <v/>
      </c>
      <c r="L1777" s="110" t="str">
        <f t="shared" si="55"/>
        <v/>
      </c>
    </row>
    <row r="1778" spans="8:12" ht="14.25" customHeight="1" x14ac:dyDescent="0.2">
      <c r="H1778" s="19" t="s">
        <v>1979</v>
      </c>
      <c r="J1778" s="110" t="str">
        <f t="shared" si="54"/>
        <v/>
      </c>
      <c r="L1778" s="110" t="str">
        <f t="shared" si="55"/>
        <v/>
      </c>
    </row>
    <row r="1779" spans="8:12" ht="14.25" customHeight="1" x14ac:dyDescent="0.2">
      <c r="H1779" s="19" t="s">
        <v>1979</v>
      </c>
      <c r="J1779" s="110" t="str">
        <f t="shared" si="54"/>
        <v/>
      </c>
      <c r="L1779" s="110" t="str">
        <f t="shared" si="55"/>
        <v/>
      </c>
    </row>
    <row r="1780" spans="8:12" ht="14.25" customHeight="1" x14ac:dyDescent="0.2">
      <c r="H1780" s="19" t="s">
        <v>1979</v>
      </c>
      <c r="J1780" s="110" t="str">
        <f t="shared" si="54"/>
        <v/>
      </c>
      <c r="L1780" s="110" t="str">
        <f t="shared" si="55"/>
        <v/>
      </c>
    </row>
    <row r="1781" spans="8:12" ht="14.25" customHeight="1" x14ac:dyDescent="0.2">
      <c r="H1781" s="19" t="s">
        <v>1979</v>
      </c>
      <c r="J1781" s="110" t="str">
        <f t="shared" si="54"/>
        <v/>
      </c>
      <c r="L1781" s="110" t="str">
        <f t="shared" si="55"/>
        <v/>
      </c>
    </row>
    <row r="1782" spans="8:12" ht="14.25" customHeight="1" x14ac:dyDescent="0.2">
      <c r="H1782" s="19" t="s">
        <v>1979</v>
      </c>
      <c r="J1782" s="110" t="str">
        <f t="shared" si="54"/>
        <v/>
      </c>
      <c r="L1782" s="110" t="str">
        <f t="shared" si="55"/>
        <v/>
      </c>
    </row>
    <row r="1783" spans="8:12" ht="14.25" customHeight="1" x14ac:dyDescent="0.2">
      <c r="H1783" s="19" t="s">
        <v>1979</v>
      </c>
      <c r="J1783" s="110" t="str">
        <f t="shared" si="54"/>
        <v/>
      </c>
      <c r="L1783" s="110" t="str">
        <f t="shared" si="55"/>
        <v/>
      </c>
    </row>
    <row r="1784" spans="8:12" ht="14.25" customHeight="1" x14ac:dyDescent="0.2">
      <c r="H1784" s="19" t="s">
        <v>1979</v>
      </c>
      <c r="J1784" s="110" t="str">
        <f t="shared" si="54"/>
        <v/>
      </c>
      <c r="L1784" s="110" t="str">
        <f t="shared" si="55"/>
        <v/>
      </c>
    </row>
    <row r="1785" spans="8:12" ht="14.25" customHeight="1" x14ac:dyDescent="0.2">
      <c r="H1785" s="19" t="s">
        <v>1979</v>
      </c>
      <c r="J1785" s="110" t="str">
        <f t="shared" si="54"/>
        <v/>
      </c>
      <c r="L1785" s="110" t="str">
        <f t="shared" si="55"/>
        <v/>
      </c>
    </row>
    <row r="1786" spans="8:12" ht="14.25" customHeight="1" x14ac:dyDescent="0.2">
      <c r="H1786" s="19" t="s">
        <v>1979</v>
      </c>
      <c r="J1786" s="110" t="str">
        <f t="shared" si="54"/>
        <v/>
      </c>
      <c r="L1786" s="110" t="str">
        <f t="shared" si="55"/>
        <v/>
      </c>
    </row>
    <row r="1787" spans="8:12" ht="14.25" customHeight="1" x14ac:dyDescent="0.2">
      <c r="H1787" s="19" t="s">
        <v>1979</v>
      </c>
      <c r="J1787" s="110" t="str">
        <f t="shared" si="54"/>
        <v/>
      </c>
      <c r="L1787" s="110" t="str">
        <f t="shared" si="55"/>
        <v/>
      </c>
    </row>
    <row r="1788" spans="8:12" ht="14.25" customHeight="1" x14ac:dyDescent="0.2">
      <c r="H1788" s="19" t="s">
        <v>1979</v>
      </c>
      <c r="J1788" s="110" t="str">
        <f t="shared" si="54"/>
        <v/>
      </c>
      <c r="L1788" s="110" t="str">
        <f t="shared" si="55"/>
        <v/>
      </c>
    </row>
    <row r="1789" spans="8:12" ht="14.25" customHeight="1" x14ac:dyDescent="0.2">
      <c r="H1789" s="19" t="s">
        <v>1979</v>
      </c>
      <c r="J1789" s="110" t="str">
        <f t="shared" si="54"/>
        <v/>
      </c>
      <c r="L1789" s="110" t="str">
        <f t="shared" si="55"/>
        <v/>
      </c>
    </row>
    <row r="1790" spans="8:12" ht="14.25" customHeight="1" x14ac:dyDescent="0.2">
      <c r="H1790" s="19" t="s">
        <v>1979</v>
      </c>
      <c r="J1790" s="110" t="str">
        <f t="shared" si="54"/>
        <v/>
      </c>
      <c r="L1790" s="110" t="str">
        <f t="shared" si="55"/>
        <v/>
      </c>
    </row>
    <row r="1791" spans="8:12" ht="14.25" customHeight="1" x14ac:dyDescent="0.2">
      <c r="H1791" s="19" t="s">
        <v>1979</v>
      </c>
      <c r="J1791" s="110" t="str">
        <f t="shared" si="54"/>
        <v/>
      </c>
      <c r="L1791" s="110" t="str">
        <f t="shared" si="55"/>
        <v/>
      </c>
    </row>
    <row r="1792" spans="8:12" ht="14.25" customHeight="1" x14ac:dyDescent="0.2">
      <c r="H1792" s="19" t="s">
        <v>1979</v>
      </c>
      <c r="J1792" s="110" t="str">
        <f t="shared" si="54"/>
        <v/>
      </c>
      <c r="L1792" s="110" t="str">
        <f t="shared" si="55"/>
        <v/>
      </c>
    </row>
    <row r="1793" spans="8:12" ht="14.25" customHeight="1" x14ac:dyDescent="0.2">
      <c r="H1793" s="19" t="s">
        <v>1979</v>
      </c>
      <c r="J1793" s="110" t="str">
        <f t="shared" si="54"/>
        <v/>
      </c>
      <c r="L1793" s="110" t="str">
        <f t="shared" si="55"/>
        <v/>
      </c>
    </row>
    <row r="1794" spans="8:12" ht="14.25" customHeight="1" x14ac:dyDescent="0.2">
      <c r="H1794" s="19" t="s">
        <v>1979</v>
      </c>
      <c r="J1794" s="110" t="str">
        <f t="shared" si="54"/>
        <v/>
      </c>
      <c r="L1794" s="110" t="str">
        <f t="shared" si="55"/>
        <v/>
      </c>
    </row>
    <row r="1795" spans="8:12" ht="14.25" customHeight="1" x14ac:dyDescent="0.2">
      <c r="H1795" s="19" t="s">
        <v>1979</v>
      </c>
      <c r="J1795" s="110" t="str">
        <f t="shared" ref="J1795:J1858" si="56">IF(K1795="","", K1795/PI())</f>
        <v/>
      </c>
      <c r="L1795" s="110" t="str">
        <f t="shared" ref="L1795:L1858" si="57">IF(OR(P1795="", N1795="", O1795=""), "", TAN(P1795*PI()/180)*N1795 +O1795)</f>
        <v/>
      </c>
    </row>
    <row r="1796" spans="8:12" ht="14.25" customHeight="1" x14ac:dyDescent="0.2">
      <c r="H1796" s="19" t="s">
        <v>1979</v>
      </c>
      <c r="J1796" s="110" t="str">
        <f t="shared" si="56"/>
        <v/>
      </c>
      <c r="L1796" s="110" t="str">
        <f t="shared" si="57"/>
        <v/>
      </c>
    </row>
    <row r="1797" spans="8:12" ht="14.25" customHeight="1" x14ac:dyDescent="0.2">
      <c r="H1797" s="19" t="s">
        <v>1979</v>
      </c>
      <c r="J1797" s="110" t="str">
        <f t="shared" si="56"/>
        <v/>
      </c>
      <c r="L1797" s="110" t="str">
        <f t="shared" si="57"/>
        <v/>
      </c>
    </row>
    <row r="1798" spans="8:12" ht="14.25" customHeight="1" x14ac:dyDescent="0.2">
      <c r="H1798" s="19" t="s">
        <v>1979</v>
      </c>
      <c r="J1798" s="110" t="str">
        <f t="shared" si="56"/>
        <v/>
      </c>
      <c r="L1798" s="110" t="str">
        <f t="shared" si="57"/>
        <v/>
      </c>
    </row>
    <row r="1799" spans="8:12" ht="14.25" customHeight="1" x14ac:dyDescent="0.2">
      <c r="H1799" s="19" t="s">
        <v>1979</v>
      </c>
      <c r="J1799" s="110" t="str">
        <f t="shared" si="56"/>
        <v/>
      </c>
      <c r="L1799" s="110" t="str">
        <f t="shared" si="57"/>
        <v/>
      </c>
    </row>
    <row r="1800" spans="8:12" ht="14.25" customHeight="1" x14ac:dyDescent="0.2">
      <c r="H1800" s="19" t="s">
        <v>1979</v>
      </c>
      <c r="J1800" s="110" t="str">
        <f t="shared" si="56"/>
        <v/>
      </c>
      <c r="L1800" s="110" t="str">
        <f t="shared" si="57"/>
        <v/>
      </c>
    </row>
    <row r="1801" spans="8:12" ht="14.25" customHeight="1" x14ac:dyDescent="0.2">
      <c r="H1801" s="19" t="s">
        <v>1979</v>
      </c>
      <c r="J1801" s="110" t="str">
        <f t="shared" si="56"/>
        <v/>
      </c>
      <c r="L1801" s="110" t="str">
        <f t="shared" si="57"/>
        <v/>
      </c>
    </row>
    <row r="1802" spans="8:12" ht="14.25" customHeight="1" x14ac:dyDescent="0.2">
      <c r="H1802" s="19" t="s">
        <v>1979</v>
      </c>
      <c r="J1802" s="110" t="str">
        <f t="shared" si="56"/>
        <v/>
      </c>
      <c r="L1802" s="110" t="str">
        <f t="shared" si="57"/>
        <v/>
      </c>
    </row>
    <row r="1803" spans="8:12" ht="14.25" customHeight="1" x14ac:dyDescent="0.2">
      <c r="H1803" s="19" t="s">
        <v>1979</v>
      </c>
      <c r="J1803" s="110" t="str">
        <f t="shared" si="56"/>
        <v/>
      </c>
      <c r="L1803" s="110" t="str">
        <f t="shared" si="57"/>
        <v/>
      </c>
    </row>
    <row r="1804" spans="8:12" ht="14.25" customHeight="1" x14ac:dyDescent="0.2">
      <c r="H1804" s="19" t="s">
        <v>1979</v>
      </c>
      <c r="J1804" s="110" t="str">
        <f t="shared" si="56"/>
        <v/>
      </c>
      <c r="L1804" s="110" t="str">
        <f t="shared" si="57"/>
        <v/>
      </c>
    </row>
    <row r="1805" spans="8:12" ht="14.25" customHeight="1" x14ac:dyDescent="0.2">
      <c r="H1805" s="19" t="s">
        <v>1979</v>
      </c>
      <c r="J1805" s="110" t="str">
        <f t="shared" si="56"/>
        <v/>
      </c>
      <c r="L1805" s="110" t="str">
        <f t="shared" si="57"/>
        <v/>
      </c>
    </row>
    <row r="1806" spans="8:12" ht="14.25" customHeight="1" x14ac:dyDescent="0.2">
      <c r="H1806" s="19" t="s">
        <v>1979</v>
      </c>
      <c r="J1806" s="110" t="str">
        <f t="shared" si="56"/>
        <v/>
      </c>
      <c r="L1806" s="110" t="str">
        <f t="shared" si="57"/>
        <v/>
      </c>
    </row>
    <row r="1807" spans="8:12" ht="14.25" customHeight="1" x14ac:dyDescent="0.2">
      <c r="H1807" s="19" t="s">
        <v>1979</v>
      </c>
      <c r="J1807" s="110" t="str">
        <f t="shared" si="56"/>
        <v/>
      </c>
      <c r="L1807" s="110" t="str">
        <f t="shared" si="57"/>
        <v/>
      </c>
    </row>
    <row r="1808" spans="8:12" ht="14.25" customHeight="1" x14ac:dyDescent="0.2">
      <c r="H1808" s="19" t="s">
        <v>1979</v>
      </c>
      <c r="J1808" s="110" t="str">
        <f t="shared" si="56"/>
        <v/>
      </c>
      <c r="L1808" s="110" t="str">
        <f t="shared" si="57"/>
        <v/>
      </c>
    </row>
    <row r="1809" spans="8:12" ht="14.25" customHeight="1" x14ac:dyDescent="0.2">
      <c r="H1809" s="19" t="s">
        <v>1979</v>
      </c>
      <c r="J1809" s="110" t="str">
        <f t="shared" si="56"/>
        <v/>
      </c>
      <c r="L1809" s="110" t="str">
        <f t="shared" si="57"/>
        <v/>
      </c>
    </row>
    <row r="1810" spans="8:12" ht="14.25" customHeight="1" x14ac:dyDescent="0.2">
      <c r="H1810" s="19" t="s">
        <v>1979</v>
      </c>
      <c r="J1810" s="110" t="str">
        <f t="shared" si="56"/>
        <v/>
      </c>
      <c r="L1810" s="110" t="str">
        <f t="shared" si="57"/>
        <v/>
      </c>
    </row>
    <row r="1811" spans="8:12" ht="14.25" customHeight="1" x14ac:dyDescent="0.2">
      <c r="H1811" s="19" t="s">
        <v>1979</v>
      </c>
      <c r="J1811" s="110" t="str">
        <f t="shared" si="56"/>
        <v/>
      </c>
      <c r="L1811" s="110" t="str">
        <f t="shared" si="57"/>
        <v/>
      </c>
    </row>
    <row r="1812" spans="8:12" ht="14.25" customHeight="1" x14ac:dyDescent="0.2">
      <c r="H1812" s="19" t="s">
        <v>1979</v>
      </c>
      <c r="J1812" s="110" t="str">
        <f t="shared" si="56"/>
        <v/>
      </c>
      <c r="L1812" s="110" t="str">
        <f t="shared" si="57"/>
        <v/>
      </c>
    </row>
    <row r="1813" spans="8:12" ht="14.25" customHeight="1" x14ac:dyDescent="0.2">
      <c r="H1813" s="19" t="s">
        <v>1979</v>
      </c>
      <c r="J1813" s="110" t="str">
        <f t="shared" si="56"/>
        <v/>
      </c>
      <c r="L1813" s="110" t="str">
        <f t="shared" si="57"/>
        <v/>
      </c>
    </row>
    <row r="1814" spans="8:12" ht="14.25" customHeight="1" x14ac:dyDescent="0.2">
      <c r="H1814" s="19" t="s">
        <v>1979</v>
      </c>
      <c r="J1814" s="110" t="str">
        <f t="shared" si="56"/>
        <v/>
      </c>
      <c r="L1814" s="110" t="str">
        <f t="shared" si="57"/>
        <v/>
      </c>
    </row>
    <row r="1815" spans="8:12" ht="14.25" customHeight="1" x14ac:dyDescent="0.2">
      <c r="H1815" s="19" t="s">
        <v>1979</v>
      </c>
      <c r="J1815" s="110" t="str">
        <f t="shared" si="56"/>
        <v/>
      </c>
      <c r="L1815" s="110" t="str">
        <f t="shared" si="57"/>
        <v/>
      </c>
    </row>
    <row r="1816" spans="8:12" ht="14.25" customHeight="1" x14ac:dyDescent="0.2">
      <c r="H1816" s="19" t="s">
        <v>1979</v>
      </c>
      <c r="J1816" s="110" t="str">
        <f t="shared" si="56"/>
        <v/>
      </c>
      <c r="L1816" s="110" t="str">
        <f t="shared" si="57"/>
        <v/>
      </c>
    </row>
    <row r="1817" spans="8:12" ht="14.25" customHeight="1" x14ac:dyDescent="0.2">
      <c r="H1817" s="19" t="s">
        <v>1979</v>
      </c>
      <c r="J1817" s="110" t="str">
        <f t="shared" si="56"/>
        <v/>
      </c>
      <c r="L1817" s="110" t="str">
        <f t="shared" si="57"/>
        <v/>
      </c>
    </row>
    <row r="1818" spans="8:12" ht="14.25" customHeight="1" x14ac:dyDescent="0.2">
      <c r="H1818" s="19" t="s">
        <v>1979</v>
      </c>
      <c r="J1818" s="110" t="str">
        <f t="shared" si="56"/>
        <v/>
      </c>
      <c r="L1818" s="110" t="str">
        <f t="shared" si="57"/>
        <v/>
      </c>
    </row>
    <row r="1819" spans="8:12" ht="14.25" customHeight="1" x14ac:dyDescent="0.2">
      <c r="H1819" s="19" t="s">
        <v>1979</v>
      </c>
      <c r="J1819" s="110" t="str">
        <f t="shared" si="56"/>
        <v/>
      </c>
      <c r="L1819" s="110" t="str">
        <f t="shared" si="57"/>
        <v/>
      </c>
    </row>
    <row r="1820" spans="8:12" ht="14.25" customHeight="1" x14ac:dyDescent="0.2">
      <c r="H1820" s="19" t="s">
        <v>1979</v>
      </c>
      <c r="J1820" s="110" t="str">
        <f t="shared" si="56"/>
        <v/>
      </c>
      <c r="L1820" s="110" t="str">
        <f t="shared" si="57"/>
        <v/>
      </c>
    </row>
    <row r="1821" spans="8:12" ht="14.25" customHeight="1" x14ac:dyDescent="0.2">
      <c r="H1821" s="19" t="s">
        <v>1979</v>
      </c>
      <c r="J1821" s="110" t="str">
        <f t="shared" si="56"/>
        <v/>
      </c>
      <c r="L1821" s="110" t="str">
        <f t="shared" si="57"/>
        <v/>
      </c>
    </row>
    <row r="1822" spans="8:12" ht="14.25" customHeight="1" x14ac:dyDescent="0.2">
      <c r="H1822" s="19" t="s">
        <v>1979</v>
      </c>
      <c r="J1822" s="110" t="str">
        <f t="shared" si="56"/>
        <v/>
      </c>
      <c r="L1822" s="110" t="str">
        <f t="shared" si="57"/>
        <v/>
      </c>
    </row>
    <row r="1823" spans="8:12" ht="14.25" customHeight="1" x14ac:dyDescent="0.2">
      <c r="H1823" s="19" t="s">
        <v>1979</v>
      </c>
      <c r="J1823" s="110" t="str">
        <f t="shared" si="56"/>
        <v/>
      </c>
      <c r="L1823" s="110" t="str">
        <f t="shared" si="57"/>
        <v/>
      </c>
    </row>
    <row r="1824" spans="8:12" ht="14.25" customHeight="1" x14ac:dyDescent="0.2">
      <c r="H1824" s="19" t="s">
        <v>1979</v>
      </c>
      <c r="J1824" s="110" t="str">
        <f t="shared" si="56"/>
        <v/>
      </c>
      <c r="L1824" s="110" t="str">
        <f t="shared" si="57"/>
        <v/>
      </c>
    </row>
    <row r="1825" spans="8:12" ht="14.25" customHeight="1" x14ac:dyDescent="0.2">
      <c r="H1825" s="19" t="s">
        <v>1979</v>
      </c>
      <c r="J1825" s="110" t="str">
        <f t="shared" si="56"/>
        <v/>
      </c>
      <c r="L1825" s="110" t="str">
        <f t="shared" si="57"/>
        <v/>
      </c>
    </row>
    <row r="1826" spans="8:12" ht="14.25" customHeight="1" x14ac:dyDescent="0.2">
      <c r="H1826" s="19" t="s">
        <v>1979</v>
      </c>
      <c r="J1826" s="110" t="str">
        <f t="shared" si="56"/>
        <v/>
      </c>
      <c r="L1826" s="110" t="str">
        <f t="shared" si="57"/>
        <v/>
      </c>
    </row>
    <row r="1827" spans="8:12" ht="14.25" customHeight="1" x14ac:dyDescent="0.2">
      <c r="H1827" s="19" t="s">
        <v>1979</v>
      </c>
      <c r="J1827" s="110" t="str">
        <f t="shared" si="56"/>
        <v/>
      </c>
      <c r="L1827" s="110" t="str">
        <f t="shared" si="57"/>
        <v/>
      </c>
    </row>
    <row r="1828" spans="8:12" ht="14.25" customHeight="1" x14ac:dyDescent="0.2">
      <c r="H1828" s="19" t="s">
        <v>1979</v>
      </c>
      <c r="J1828" s="110" t="str">
        <f t="shared" si="56"/>
        <v/>
      </c>
      <c r="L1828" s="110" t="str">
        <f t="shared" si="57"/>
        <v/>
      </c>
    </row>
    <row r="1829" spans="8:12" ht="14.25" customHeight="1" x14ac:dyDescent="0.2">
      <c r="H1829" s="19" t="s">
        <v>1979</v>
      </c>
      <c r="J1829" s="110" t="str">
        <f t="shared" si="56"/>
        <v/>
      </c>
      <c r="L1829" s="110" t="str">
        <f t="shared" si="57"/>
        <v/>
      </c>
    </row>
    <row r="1830" spans="8:12" ht="14.25" customHeight="1" x14ac:dyDescent="0.2">
      <c r="H1830" s="19" t="s">
        <v>1979</v>
      </c>
      <c r="J1830" s="110" t="str">
        <f t="shared" si="56"/>
        <v/>
      </c>
      <c r="L1830" s="110" t="str">
        <f t="shared" si="57"/>
        <v/>
      </c>
    </row>
    <row r="1831" spans="8:12" ht="14.25" customHeight="1" x14ac:dyDescent="0.2">
      <c r="H1831" s="19" t="s">
        <v>1979</v>
      </c>
      <c r="J1831" s="110" t="str">
        <f t="shared" si="56"/>
        <v/>
      </c>
      <c r="L1831" s="110" t="str">
        <f t="shared" si="57"/>
        <v/>
      </c>
    </row>
    <row r="1832" spans="8:12" ht="14.25" customHeight="1" x14ac:dyDescent="0.2">
      <c r="H1832" s="19" t="s">
        <v>1979</v>
      </c>
      <c r="J1832" s="110" t="str">
        <f t="shared" si="56"/>
        <v/>
      </c>
      <c r="L1832" s="110" t="str">
        <f t="shared" si="57"/>
        <v/>
      </c>
    </row>
    <row r="1833" spans="8:12" ht="14.25" customHeight="1" x14ac:dyDescent="0.2">
      <c r="H1833" s="19" t="s">
        <v>1979</v>
      </c>
      <c r="J1833" s="110" t="str">
        <f t="shared" si="56"/>
        <v/>
      </c>
      <c r="L1833" s="110" t="str">
        <f t="shared" si="57"/>
        <v/>
      </c>
    </row>
    <row r="1834" spans="8:12" ht="14.25" customHeight="1" x14ac:dyDescent="0.2">
      <c r="H1834" s="19" t="s">
        <v>1979</v>
      </c>
      <c r="J1834" s="110" t="str">
        <f t="shared" si="56"/>
        <v/>
      </c>
      <c r="L1834" s="110" t="str">
        <f t="shared" si="57"/>
        <v/>
      </c>
    </row>
    <row r="1835" spans="8:12" ht="14.25" customHeight="1" x14ac:dyDescent="0.2">
      <c r="H1835" s="19" t="s">
        <v>1979</v>
      </c>
      <c r="J1835" s="110" t="str">
        <f t="shared" si="56"/>
        <v/>
      </c>
      <c r="L1835" s="110" t="str">
        <f t="shared" si="57"/>
        <v/>
      </c>
    </row>
    <row r="1836" spans="8:12" ht="14.25" customHeight="1" x14ac:dyDescent="0.2">
      <c r="H1836" s="19" t="s">
        <v>1979</v>
      </c>
      <c r="J1836" s="110" t="str">
        <f t="shared" si="56"/>
        <v/>
      </c>
      <c r="L1836" s="110" t="str">
        <f t="shared" si="57"/>
        <v/>
      </c>
    </row>
    <row r="1837" spans="8:12" ht="14.25" customHeight="1" x14ac:dyDescent="0.2">
      <c r="H1837" s="19" t="s">
        <v>1979</v>
      </c>
      <c r="J1837" s="110" t="str">
        <f t="shared" si="56"/>
        <v/>
      </c>
      <c r="L1837" s="110" t="str">
        <f t="shared" si="57"/>
        <v/>
      </c>
    </row>
    <row r="1838" spans="8:12" ht="14.25" customHeight="1" x14ac:dyDescent="0.2">
      <c r="H1838" s="19" t="s">
        <v>1979</v>
      </c>
      <c r="J1838" s="110" t="str">
        <f t="shared" si="56"/>
        <v/>
      </c>
      <c r="L1838" s="110" t="str">
        <f t="shared" si="57"/>
        <v/>
      </c>
    </row>
    <row r="1839" spans="8:12" ht="14.25" customHeight="1" x14ac:dyDescent="0.2">
      <c r="H1839" s="19" t="s">
        <v>1979</v>
      </c>
      <c r="J1839" s="110" t="str">
        <f t="shared" si="56"/>
        <v/>
      </c>
      <c r="L1839" s="110" t="str">
        <f t="shared" si="57"/>
        <v/>
      </c>
    </row>
    <row r="1840" spans="8:12" ht="14.25" customHeight="1" x14ac:dyDescent="0.2">
      <c r="H1840" s="19" t="s">
        <v>1979</v>
      </c>
      <c r="J1840" s="110" t="str">
        <f t="shared" si="56"/>
        <v/>
      </c>
      <c r="L1840" s="110" t="str">
        <f t="shared" si="57"/>
        <v/>
      </c>
    </row>
    <row r="1841" spans="8:12" ht="14.25" customHeight="1" x14ac:dyDescent="0.2">
      <c r="H1841" s="19" t="s">
        <v>1979</v>
      </c>
      <c r="J1841" s="110" t="str">
        <f t="shared" si="56"/>
        <v/>
      </c>
      <c r="L1841" s="110" t="str">
        <f t="shared" si="57"/>
        <v/>
      </c>
    </row>
    <row r="1842" spans="8:12" ht="14.25" customHeight="1" x14ac:dyDescent="0.2">
      <c r="H1842" s="19" t="s">
        <v>1979</v>
      </c>
      <c r="J1842" s="110" t="str">
        <f t="shared" si="56"/>
        <v/>
      </c>
      <c r="L1842" s="110" t="str">
        <f t="shared" si="57"/>
        <v/>
      </c>
    </row>
    <row r="1843" spans="8:12" ht="14.25" customHeight="1" x14ac:dyDescent="0.2">
      <c r="H1843" s="19" t="s">
        <v>1979</v>
      </c>
      <c r="J1843" s="110" t="str">
        <f t="shared" si="56"/>
        <v/>
      </c>
      <c r="L1843" s="110" t="str">
        <f t="shared" si="57"/>
        <v/>
      </c>
    </row>
    <row r="1844" spans="8:12" ht="14.25" customHeight="1" x14ac:dyDescent="0.2">
      <c r="H1844" s="19" t="s">
        <v>1979</v>
      </c>
      <c r="J1844" s="110" t="str">
        <f t="shared" si="56"/>
        <v/>
      </c>
      <c r="L1844" s="110" t="str">
        <f t="shared" si="57"/>
        <v/>
      </c>
    </row>
    <row r="1845" spans="8:12" ht="14.25" customHeight="1" x14ac:dyDescent="0.2">
      <c r="H1845" s="19" t="s">
        <v>1979</v>
      </c>
      <c r="J1845" s="110" t="str">
        <f t="shared" si="56"/>
        <v/>
      </c>
      <c r="L1845" s="110" t="str">
        <f t="shared" si="57"/>
        <v/>
      </c>
    </row>
    <row r="1846" spans="8:12" ht="14.25" customHeight="1" x14ac:dyDescent="0.2">
      <c r="H1846" s="19" t="s">
        <v>1979</v>
      </c>
      <c r="J1846" s="110" t="str">
        <f t="shared" si="56"/>
        <v/>
      </c>
      <c r="L1846" s="110" t="str">
        <f t="shared" si="57"/>
        <v/>
      </c>
    </row>
    <row r="1847" spans="8:12" ht="14.25" customHeight="1" x14ac:dyDescent="0.2">
      <c r="H1847" s="19" t="s">
        <v>1979</v>
      </c>
      <c r="J1847" s="110" t="str">
        <f t="shared" si="56"/>
        <v/>
      </c>
      <c r="L1847" s="110" t="str">
        <f t="shared" si="57"/>
        <v/>
      </c>
    </row>
    <row r="1848" spans="8:12" ht="14.25" customHeight="1" x14ac:dyDescent="0.2">
      <c r="H1848" s="19" t="s">
        <v>1979</v>
      </c>
      <c r="J1848" s="110" t="str">
        <f t="shared" si="56"/>
        <v/>
      </c>
      <c r="L1848" s="110" t="str">
        <f t="shared" si="57"/>
        <v/>
      </c>
    </row>
    <row r="1849" spans="8:12" ht="14.25" customHeight="1" x14ac:dyDescent="0.2">
      <c r="H1849" s="19" t="s">
        <v>1979</v>
      </c>
      <c r="J1849" s="110" t="str">
        <f t="shared" si="56"/>
        <v/>
      </c>
      <c r="L1849" s="110" t="str">
        <f t="shared" si="57"/>
        <v/>
      </c>
    </row>
    <row r="1850" spans="8:12" ht="14.25" customHeight="1" x14ac:dyDescent="0.2">
      <c r="H1850" s="19" t="s">
        <v>1979</v>
      </c>
      <c r="J1850" s="110" t="str">
        <f t="shared" si="56"/>
        <v/>
      </c>
      <c r="L1850" s="110" t="str">
        <f t="shared" si="57"/>
        <v/>
      </c>
    </row>
    <row r="1851" spans="8:12" ht="14.25" customHeight="1" x14ac:dyDescent="0.2">
      <c r="H1851" s="19" t="s">
        <v>1979</v>
      </c>
      <c r="J1851" s="110" t="str">
        <f t="shared" si="56"/>
        <v/>
      </c>
      <c r="L1851" s="110" t="str">
        <f t="shared" si="57"/>
        <v/>
      </c>
    </row>
    <row r="1852" spans="8:12" ht="14.25" customHeight="1" x14ac:dyDescent="0.2">
      <c r="H1852" s="19" t="s">
        <v>1979</v>
      </c>
      <c r="J1852" s="110" t="str">
        <f t="shared" si="56"/>
        <v/>
      </c>
      <c r="L1852" s="110" t="str">
        <f t="shared" si="57"/>
        <v/>
      </c>
    </row>
    <row r="1853" spans="8:12" ht="14.25" customHeight="1" x14ac:dyDescent="0.2">
      <c r="H1853" s="19" t="s">
        <v>1979</v>
      </c>
      <c r="J1853" s="110" t="str">
        <f t="shared" si="56"/>
        <v/>
      </c>
      <c r="L1853" s="110" t="str">
        <f t="shared" si="57"/>
        <v/>
      </c>
    </row>
    <row r="1854" spans="8:12" ht="14.25" customHeight="1" x14ac:dyDescent="0.2">
      <c r="H1854" s="19" t="s">
        <v>1979</v>
      </c>
      <c r="J1854" s="110" t="str">
        <f t="shared" si="56"/>
        <v/>
      </c>
      <c r="L1854" s="110" t="str">
        <f t="shared" si="57"/>
        <v/>
      </c>
    </row>
    <row r="1855" spans="8:12" ht="14.25" customHeight="1" x14ac:dyDescent="0.2">
      <c r="H1855" s="19" t="s">
        <v>1979</v>
      </c>
      <c r="J1855" s="110" t="str">
        <f t="shared" si="56"/>
        <v/>
      </c>
      <c r="L1855" s="110" t="str">
        <f t="shared" si="57"/>
        <v/>
      </c>
    </row>
    <row r="1856" spans="8:12" ht="14.25" customHeight="1" x14ac:dyDescent="0.2">
      <c r="H1856" s="19" t="s">
        <v>1979</v>
      </c>
      <c r="J1856" s="110" t="str">
        <f t="shared" si="56"/>
        <v/>
      </c>
      <c r="L1856" s="110" t="str">
        <f t="shared" si="57"/>
        <v/>
      </c>
    </row>
    <row r="1857" spans="8:12" ht="14.25" customHeight="1" x14ac:dyDescent="0.2">
      <c r="H1857" s="19" t="s">
        <v>1979</v>
      </c>
      <c r="J1857" s="110" t="str">
        <f t="shared" si="56"/>
        <v/>
      </c>
      <c r="L1857" s="110" t="str">
        <f t="shared" si="57"/>
        <v/>
      </c>
    </row>
    <row r="1858" spans="8:12" ht="14.25" customHeight="1" x14ac:dyDescent="0.2">
      <c r="H1858" s="19" t="s">
        <v>1979</v>
      </c>
      <c r="J1858" s="110" t="str">
        <f t="shared" si="56"/>
        <v/>
      </c>
      <c r="L1858" s="110" t="str">
        <f t="shared" si="57"/>
        <v/>
      </c>
    </row>
    <row r="1859" spans="8:12" ht="14.25" customHeight="1" x14ac:dyDescent="0.2">
      <c r="H1859" s="19" t="s">
        <v>1979</v>
      </c>
      <c r="J1859" s="110" t="str">
        <f t="shared" ref="J1859:J1922" si="58">IF(K1859="","", K1859/PI())</f>
        <v/>
      </c>
      <c r="L1859" s="110" t="str">
        <f t="shared" ref="L1859:L1922" si="59">IF(OR(P1859="", N1859="", O1859=""), "", TAN(P1859*PI()/180)*N1859 +O1859)</f>
        <v/>
      </c>
    </row>
    <row r="1860" spans="8:12" ht="14.25" customHeight="1" x14ac:dyDescent="0.2">
      <c r="H1860" s="19" t="s">
        <v>1979</v>
      </c>
      <c r="J1860" s="110" t="str">
        <f t="shared" si="58"/>
        <v/>
      </c>
      <c r="L1860" s="110" t="str">
        <f t="shared" si="59"/>
        <v/>
      </c>
    </row>
    <row r="1861" spans="8:12" ht="14.25" customHeight="1" x14ac:dyDescent="0.2">
      <c r="H1861" s="19" t="s">
        <v>1979</v>
      </c>
      <c r="J1861" s="110" t="str">
        <f t="shared" si="58"/>
        <v/>
      </c>
      <c r="L1861" s="110" t="str">
        <f t="shared" si="59"/>
        <v/>
      </c>
    </row>
    <row r="1862" spans="8:12" ht="14.25" customHeight="1" x14ac:dyDescent="0.2">
      <c r="H1862" s="19" t="s">
        <v>1979</v>
      </c>
      <c r="J1862" s="110" t="str">
        <f t="shared" si="58"/>
        <v/>
      </c>
      <c r="L1862" s="110" t="str">
        <f t="shared" si="59"/>
        <v/>
      </c>
    </row>
    <row r="1863" spans="8:12" ht="14.25" customHeight="1" x14ac:dyDescent="0.2">
      <c r="H1863" s="19" t="s">
        <v>1979</v>
      </c>
      <c r="J1863" s="110" t="str">
        <f t="shared" si="58"/>
        <v/>
      </c>
      <c r="L1863" s="110" t="str">
        <f t="shared" si="59"/>
        <v/>
      </c>
    </row>
    <row r="1864" spans="8:12" ht="14.25" customHeight="1" x14ac:dyDescent="0.2">
      <c r="H1864" s="19" t="s">
        <v>1979</v>
      </c>
      <c r="J1864" s="110" t="str">
        <f t="shared" si="58"/>
        <v/>
      </c>
      <c r="L1864" s="110" t="str">
        <f t="shared" si="59"/>
        <v/>
      </c>
    </row>
    <row r="1865" spans="8:12" ht="14.25" customHeight="1" x14ac:dyDescent="0.2">
      <c r="H1865" s="19" t="s">
        <v>1979</v>
      </c>
      <c r="J1865" s="110" t="str">
        <f t="shared" si="58"/>
        <v/>
      </c>
      <c r="L1865" s="110" t="str">
        <f t="shared" si="59"/>
        <v/>
      </c>
    </row>
    <row r="1866" spans="8:12" ht="14.25" customHeight="1" x14ac:dyDescent="0.2">
      <c r="H1866" s="19" t="s">
        <v>1979</v>
      </c>
      <c r="J1866" s="110" t="str">
        <f t="shared" si="58"/>
        <v/>
      </c>
      <c r="L1866" s="110" t="str">
        <f t="shared" si="59"/>
        <v/>
      </c>
    </row>
    <row r="1867" spans="8:12" ht="14.25" customHeight="1" x14ac:dyDescent="0.2">
      <c r="H1867" s="19" t="s">
        <v>1979</v>
      </c>
      <c r="J1867" s="110" t="str">
        <f t="shared" si="58"/>
        <v/>
      </c>
      <c r="L1867" s="110" t="str">
        <f t="shared" si="59"/>
        <v/>
      </c>
    </row>
    <row r="1868" spans="8:12" ht="14.25" customHeight="1" x14ac:dyDescent="0.2">
      <c r="H1868" s="19" t="s">
        <v>1979</v>
      </c>
      <c r="J1868" s="110" t="str">
        <f t="shared" si="58"/>
        <v/>
      </c>
      <c r="L1868" s="110" t="str">
        <f t="shared" si="59"/>
        <v/>
      </c>
    </row>
    <row r="1869" spans="8:12" ht="14.25" customHeight="1" x14ac:dyDescent="0.2">
      <c r="H1869" s="19" t="s">
        <v>1979</v>
      </c>
      <c r="J1869" s="110" t="str">
        <f t="shared" si="58"/>
        <v/>
      </c>
      <c r="L1869" s="110" t="str">
        <f t="shared" si="59"/>
        <v/>
      </c>
    </row>
    <row r="1870" spans="8:12" ht="14.25" customHeight="1" x14ac:dyDescent="0.2">
      <c r="H1870" s="19" t="s">
        <v>1979</v>
      </c>
      <c r="J1870" s="110" t="str">
        <f t="shared" si="58"/>
        <v/>
      </c>
      <c r="L1870" s="110" t="str">
        <f t="shared" si="59"/>
        <v/>
      </c>
    </row>
    <row r="1871" spans="8:12" ht="14.25" customHeight="1" x14ac:dyDescent="0.2">
      <c r="H1871" s="19" t="s">
        <v>1979</v>
      </c>
      <c r="J1871" s="110" t="str">
        <f t="shared" si="58"/>
        <v/>
      </c>
      <c r="L1871" s="110" t="str">
        <f t="shared" si="59"/>
        <v/>
      </c>
    </row>
    <row r="1872" spans="8:12" ht="14.25" customHeight="1" x14ac:dyDescent="0.2">
      <c r="H1872" s="19" t="s">
        <v>1979</v>
      </c>
      <c r="J1872" s="110" t="str">
        <f t="shared" si="58"/>
        <v/>
      </c>
      <c r="L1872" s="110" t="str">
        <f t="shared" si="59"/>
        <v/>
      </c>
    </row>
    <row r="1873" spans="8:12" ht="14.25" customHeight="1" x14ac:dyDescent="0.2">
      <c r="H1873" s="19" t="s">
        <v>1979</v>
      </c>
      <c r="J1873" s="110" t="str">
        <f t="shared" si="58"/>
        <v/>
      </c>
      <c r="L1873" s="110" t="str">
        <f t="shared" si="59"/>
        <v/>
      </c>
    </row>
    <row r="1874" spans="8:12" ht="14.25" customHeight="1" x14ac:dyDescent="0.2">
      <c r="H1874" s="19" t="s">
        <v>1979</v>
      </c>
      <c r="J1874" s="110" t="str">
        <f t="shared" si="58"/>
        <v/>
      </c>
      <c r="L1874" s="110" t="str">
        <f t="shared" si="59"/>
        <v/>
      </c>
    </row>
    <row r="1875" spans="8:12" ht="14.25" customHeight="1" x14ac:dyDescent="0.2">
      <c r="H1875" s="19" t="s">
        <v>1979</v>
      </c>
      <c r="J1875" s="110" t="str">
        <f t="shared" si="58"/>
        <v/>
      </c>
      <c r="L1875" s="110" t="str">
        <f t="shared" si="59"/>
        <v/>
      </c>
    </row>
    <row r="1876" spans="8:12" ht="14.25" customHeight="1" x14ac:dyDescent="0.2">
      <c r="H1876" s="19" t="s">
        <v>1979</v>
      </c>
      <c r="J1876" s="110" t="str">
        <f t="shared" si="58"/>
        <v/>
      </c>
      <c r="L1876" s="110" t="str">
        <f t="shared" si="59"/>
        <v/>
      </c>
    </row>
    <row r="1877" spans="8:12" ht="14.25" customHeight="1" x14ac:dyDescent="0.2">
      <c r="H1877" s="19" t="s">
        <v>1979</v>
      </c>
      <c r="J1877" s="110" t="str">
        <f t="shared" si="58"/>
        <v/>
      </c>
      <c r="L1877" s="110" t="str">
        <f t="shared" si="59"/>
        <v/>
      </c>
    </row>
    <row r="1878" spans="8:12" ht="14.25" customHeight="1" x14ac:dyDescent="0.2">
      <c r="H1878" s="19" t="s">
        <v>1979</v>
      </c>
      <c r="J1878" s="110" t="str">
        <f t="shared" si="58"/>
        <v/>
      </c>
      <c r="L1878" s="110" t="str">
        <f t="shared" si="59"/>
        <v/>
      </c>
    </row>
    <row r="1879" spans="8:12" ht="14.25" customHeight="1" x14ac:dyDescent="0.2">
      <c r="H1879" s="19" t="s">
        <v>1979</v>
      </c>
      <c r="J1879" s="110" t="str">
        <f t="shared" si="58"/>
        <v/>
      </c>
      <c r="L1879" s="110" t="str">
        <f t="shared" si="59"/>
        <v/>
      </c>
    </row>
    <row r="1880" spans="8:12" ht="14.25" customHeight="1" x14ac:dyDescent="0.2">
      <c r="H1880" s="19" t="s">
        <v>1979</v>
      </c>
      <c r="J1880" s="110" t="str">
        <f t="shared" si="58"/>
        <v/>
      </c>
      <c r="L1880" s="110" t="str">
        <f t="shared" si="59"/>
        <v/>
      </c>
    </row>
    <row r="1881" spans="8:12" ht="14.25" customHeight="1" x14ac:dyDescent="0.2">
      <c r="H1881" s="19" t="s">
        <v>1979</v>
      </c>
      <c r="J1881" s="110" t="str">
        <f t="shared" si="58"/>
        <v/>
      </c>
      <c r="L1881" s="110" t="str">
        <f t="shared" si="59"/>
        <v/>
      </c>
    </row>
    <row r="1882" spans="8:12" ht="14.25" customHeight="1" x14ac:dyDescent="0.2">
      <c r="H1882" s="19" t="s">
        <v>1979</v>
      </c>
      <c r="J1882" s="110" t="str">
        <f t="shared" si="58"/>
        <v/>
      </c>
      <c r="L1882" s="110" t="str">
        <f t="shared" si="59"/>
        <v/>
      </c>
    </row>
    <row r="1883" spans="8:12" ht="14.25" customHeight="1" x14ac:dyDescent="0.2">
      <c r="H1883" s="19" t="s">
        <v>1979</v>
      </c>
      <c r="J1883" s="110" t="str">
        <f t="shared" si="58"/>
        <v/>
      </c>
      <c r="L1883" s="110" t="str">
        <f t="shared" si="59"/>
        <v/>
      </c>
    </row>
    <row r="1884" spans="8:12" ht="14.25" customHeight="1" x14ac:dyDescent="0.2">
      <c r="H1884" s="19" t="s">
        <v>1979</v>
      </c>
      <c r="J1884" s="110" t="str">
        <f t="shared" si="58"/>
        <v/>
      </c>
      <c r="L1884" s="110" t="str">
        <f t="shared" si="59"/>
        <v/>
      </c>
    </row>
    <row r="1885" spans="8:12" ht="14.25" customHeight="1" x14ac:dyDescent="0.2">
      <c r="H1885" s="19" t="s">
        <v>1979</v>
      </c>
      <c r="J1885" s="110" t="str">
        <f t="shared" si="58"/>
        <v/>
      </c>
      <c r="L1885" s="110" t="str">
        <f t="shared" si="59"/>
        <v/>
      </c>
    </row>
    <row r="1886" spans="8:12" ht="14.25" customHeight="1" x14ac:dyDescent="0.2">
      <c r="H1886" s="19" t="s">
        <v>1979</v>
      </c>
      <c r="J1886" s="110" t="str">
        <f t="shared" si="58"/>
        <v/>
      </c>
      <c r="L1886" s="110" t="str">
        <f t="shared" si="59"/>
        <v/>
      </c>
    </row>
    <row r="1887" spans="8:12" ht="14.25" customHeight="1" x14ac:dyDescent="0.2">
      <c r="H1887" s="19" t="s">
        <v>1979</v>
      </c>
      <c r="J1887" s="110" t="str">
        <f t="shared" si="58"/>
        <v/>
      </c>
      <c r="L1887" s="110" t="str">
        <f t="shared" si="59"/>
        <v/>
      </c>
    </row>
    <row r="1888" spans="8:12" ht="14.25" customHeight="1" x14ac:dyDescent="0.2">
      <c r="H1888" s="19" t="s">
        <v>1979</v>
      </c>
      <c r="J1888" s="110" t="str">
        <f t="shared" si="58"/>
        <v/>
      </c>
      <c r="L1888" s="110" t="str">
        <f t="shared" si="59"/>
        <v/>
      </c>
    </row>
    <row r="1889" spans="8:12" ht="14.25" customHeight="1" x14ac:dyDescent="0.2">
      <c r="H1889" s="19" t="s">
        <v>1979</v>
      </c>
      <c r="J1889" s="110" t="str">
        <f t="shared" si="58"/>
        <v/>
      </c>
      <c r="L1889" s="110" t="str">
        <f t="shared" si="59"/>
        <v/>
      </c>
    </row>
    <row r="1890" spans="8:12" ht="14.25" customHeight="1" x14ac:dyDescent="0.2">
      <c r="H1890" s="19" t="s">
        <v>1979</v>
      </c>
      <c r="J1890" s="110" t="str">
        <f t="shared" si="58"/>
        <v/>
      </c>
      <c r="L1890" s="110" t="str">
        <f t="shared" si="59"/>
        <v/>
      </c>
    </row>
    <row r="1891" spans="8:12" ht="14.25" customHeight="1" x14ac:dyDescent="0.2">
      <c r="H1891" s="19" t="s">
        <v>1979</v>
      </c>
      <c r="J1891" s="110" t="str">
        <f t="shared" si="58"/>
        <v/>
      </c>
      <c r="L1891" s="110" t="str">
        <f t="shared" si="59"/>
        <v/>
      </c>
    </row>
    <row r="1892" spans="8:12" ht="14.25" customHeight="1" x14ac:dyDescent="0.2">
      <c r="H1892" s="19" t="s">
        <v>1979</v>
      </c>
      <c r="J1892" s="110" t="str">
        <f t="shared" si="58"/>
        <v/>
      </c>
      <c r="L1892" s="110" t="str">
        <f t="shared" si="59"/>
        <v/>
      </c>
    </row>
    <row r="1893" spans="8:12" ht="14.25" customHeight="1" x14ac:dyDescent="0.2">
      <c r="H1893" s="19" t="s">
        <v>1979</v>
      </c>
      <c r="J1893" s="110" t="str">
        <f t="shared" si="58"/>
        <v/>
      </c>
      <c r="L1893" s="110" t="str">
        <f t="shared" si="59"/>
        <v/>
      </c>
    </row>
    <row r="1894" spans="8:12" ht="14.25" customHeight="1" x14ac:dyDescent="0.2">
      <c r="H1894" s="19" t="s">
        <v>1979</v>
      </c>
      <c r="J1894" s="110" t="str">
        <f t="shared" si="58"/>
        <v/>
      </c>
      <c r="L1894" s="110" t="str">
        <f t="shared" si="59"/>
        <v/>
      </c>
    </row>
    <row r="1895" spans="8:12" ht="14.25" customHeight="1" x14ac:dyDescent="0.2">
      <c r="H1895" s="19" t="s">
        <v>1979</v>
      </c>
      <c r="J1895" s="110" t="str">
        <f t="shared" si="58"/>
        <v/>
      </c>
      <c r="L1895" s="110" t="str">
        <f t="shared" si="59"/>
        <v/>
      </c>
    </row>
    <row r="1896" spans="8:12" ht="14.25" customHeight="1" x14ac:dyDescent="0.2">
      <c r="H1896" s="19" t="s">
        <v>1979</v>
      </c>
      <c r="J1896" s="110" t="str">
        <f t="shared" si="58"/>
        <v/>
      </c>
      <c r="L1896" s="110" t="str">
        <f t="shared" si="59"/>
        <v/>
      </c>
    </row>
    <row r="1897" spans="8:12" ht="14.25" customHeight="1" x14ac:dyDescent="0.2">
      <c r="H1897" s="19" t="s">
        <v>1979</v>
      </c>
      <c r="J1897" s="110" t="str">
        <f t="shared" si="58"/>
        <v/>
      </c>
      <c r="L1897" s="110" t="str">
        <f t="shared" si="59"/>
        <v/>
      </c>
    </row>
    <row r="1898" spans="8:12" ht="14.25" customHeight="1" x14ac:dyDescent="0.2">
      <c r="H1898" s="19" t="s">
        <v>1979</v>
      </c>
      <c r="J1898" s="110" t="str">
        <f t="shared" si="58"/>
        <v/>
      </c>
      <c r="L1898" s="110" t="str">
        <f t="shared" si="59"/>
        <v/>
      </c>
    </row>
    <row r="1899" spans="8:12" ht="14.25" customHeight="1" x14ac:dyDescent="0.2">
      <c r="H1899" s="19" t="s">
        <v>1979</v>
      </c>
      <c r="J1899" s="110" t="str">
        <f t="shared" si="58"/>
        <v/>
      </c>
      <c r="L1899" s="110" t="str">
        <f t="shared" si="59"/>
        <v/>
      </c>
    </row>
    <row r="1900" spans="8:12" ht="14.25" customHeight="1" x14ac:dyDescent="0.2">
      <c r="H1900" s="19" t="s">
        <v>1979</v>
      </c>
      <c r="J1900" s="110" t="str">
        <f t="shared" si="58"/>
        <v/>
      </c>
      <c r="L1900" s="110" t="str">
        <f t="shared" si="59"/>
        <v/>
      </c>
    </row>
    <row r="1901" spans="8:12" ht="14.25" customHeight="1" x14ac:dyDescent="0.2">
      <c r="H1901" s="19" t="s">
        <v>1979</v>
      </c>
      <c r="J1901" s="110" t="str">
        <f t="shared" si="58"/>
        <v/>
      </c>
      <c r="L1901" s="110" t="str">
        <f t="shared" si="59"/>
        <v/>
      </c>
    </row>
    <row r="1902" spans="8:12" ht="14.25" customHeight="1" x14ac:dyDescent="0.2">
      <c r="H1902" s="19" t="s">
        <v>1979</v>
      </c>
      <c r="J1902" s="110" t="str">
        <f t="shared" si="58"/>
        <v/>
      </c>
      <c r="L1902" s="110" t="str">
        <f t="shared" si="59"/>
        <v/>
      </c>
    </row>
    <row r="1903" spans="8:12" ht="14.25" customHeight="1" x14ac:dyDescent="0.2">
      <c r="H1903" s="19" t="s">
        <v>1979</v>
      </c>
      <c r="J1903" s="110" t="str">
        <f t="shared" si="58"/>
        <v/>
      </c>
      <c r="L1903" s="110" t="str">
        <f t="shared" si="59"/>
        <v/>
      </c>
    </row>
    <row r="1904" spans="8:12" ht="14.25" customHeight="1" x14ac:dyDescent="0.2">
      <c r="H1904" s="19" t="s">
        <v>1979</v>
      </c>
      <c r="J1904" s="110" t="str">
        <f t="shared" si="58"/>
        <v/>
      </c>
      <c r="L1904" s="110" t="str">
        <f t="shared" si="59"/>
        <v/>
      </c>
    </row>
    <row r="1905" spans="8:12" ht="14.25" customHeight="1" x14ac:dyDescent="0.2">
      <c r="H1905" s="19" t="s">
        <v>1979</v>
      </c>
      <c r="J1905" s="110" t="str">
        <f t="shared" si="58"/>
        <v/>
      </c>
      <c r="L1905" s="110" t="str">
        <f t="shared" si="59"/>
        <v/>
      </c>
    </row>
    <row r="1906" spans="8:12" ht="14.25" customHeight="1" x14ac:dyDescent="0.2">
      <c r="H1906" s="19" t="s">
        <v>1979</v>
      </c>
      <c r="J1906" s="110" t="str">
        <f t="shared" si="58"/>
        <v/>
      </c>
      <c r="L1906" s="110" t="str">
        <f t="shared" si="59"/>
        <v/>
      </c>
    </row>
    <row r="1907" spans="8:12" ht="14.25" customHeight="1" x14ac:dyDescent="0.2">
      <c r="H1907" s="19" t="s">
        <v>1979</v>
      </c>
      <c r="J1907" s="110" t="str">
        <f t="shared" si="58"/>
        <v/>
      </c>
      <c r="L1907" s="110" t="str">
        <f t="shared" si="59"/>
        <v/>
      </c>
    </row>
    <row r="1908" spans="8:12" ht="14.25" customHeight="1" x14ac:dyDescent="0.2">
      <c r="H1908" s="19" t="s">
        <v>1979</v>
      </c>
      <c r="J1908" s="110" t="str">
        <f t="shared" si="58"/>
        <v/>
      </c>
      <c r="L1908" s="110" t="str">
        <f t="shared" si="59"/>
        <v/>
      </c>
    </row>
    <row r="1909" spans="8:12" ht="14.25" customHeight="1" x14ac:dyDescent="0.2">
      <c r="H1909" s="19" t="s">
        <v>1979</v>
      </c>
      <c r="J1909" s="110" t="str">
        <f t="shared" si="58"/>
        <v/>
      </c>
      <c r="L1909" s="110" t="str">
        <f t="shared" si="59"/>
        <v/>
      </c>
    </row>
    <row r="1910" spans="8:12" ht="14.25" customHeight="1" x14ac:dyDescent="0.2">
      <c r="H1910" s="19" t="s">
        <v>1979</v>
      </c>
      <c r="J1910" s="110" t="str">
        <f t="shared" si="58"/>
        <v/>
      </c>
      <c r="L1910" s="110" t="str">
        <f t="shared" si="59"/>
        <v/>
      </c>
    </row>
    <row r="1911" spans="8:12" ht="14.25" customHeight="1" x14ac:dyDescent="0.2">
      <c r="H1911" s="19" t="s">
        <v>1979</v>
      </c>
      <c r="J1911" s="110" t="str">
        <f t="shared" si="58"/>
        <v/>
      </c>
      <c r="L1911" s="110" t="str">
        <f t="shared" si="59"/>
        <v/>
      </c>
    </row>
    <row r="1912" spans="8:12" ht="14.25" customHeight="1" x14ac:dyDescent="0.2">
      <c r="H1912" s="19" t="s">
        <v>1979</v>
      </c>
      <c r="J1912" s="110" t="str">
        <f t="shared" si="58"/>
        <v/>
      </c>
      <c r="L1912" s="110" t="str">
        <f t="shared" si="59"/>
        <v/>
      </c>
    </row>
    <row r="1913" spans="8:12" ht="14.25" customHeight="1" x14ac:dyDescent="0.2">
      <c r="H1913" s="19" t="s">
        <v>1979</v>
      </c>
      <c r="J1913" s="110" t="str">
        <f t="shared" si="58"/>
        <v/>
      </c>
      <c r="L1913" s="110" t="str">
        <f t="shared" si="59"/>
        <v/>
      </c>
    </row>
    <row r="1914" spans="8:12" ht="14.25" customHeight="1" x14ac:dyDescent="0.2">
      <c r="H1914" s="19" t="s">
        <v>1979</v>
      </c>
      <c r="J1914" s="110" t="str">
        <f t="shared" si="58"/>
        <v/>
      </c>
      <c r="L1914" s="110" t="str">
        <f t="shared" si="59"/>
        <v/>
      </c>
    </row>
    <row r="1915" spans="8:12" ht="14.25" customHeight="1" x14ac:dyDescent="0.2">
      <c r="H1915" s="19" t="s">
        <v>1979</v>
      </c>
      <c r="J1915" s="110" t="str">
        <f t="shared" si="58"/>
        <v/>
      </c>
      <c r="L1915" s="110" t="str">
        <f t="shared" si="59"/>
        <v/>
      </c>
    </row>
    <row r="1916" spans="8:12" ht="14.25" customHeight="1" x14ac:dyDescent="0.2">
      <c r="H1916" s="19" t="s">
        <v>1979</v>
      </c>
      <c r="J1916" s="110" t="str">
        <f t="shared" si="58"/>
        <v/>
      </c>
      <c r="L1916" s="110" t="str">
        <f t="shared" si="59"/>
        <v/>
      </c>
    </row>
    <row r="1917" spans="8:12" ht="14.25" customHeight="1" x14ac:dyDescent="0.2">
      <c r="H1917" s="19" t="s">
        <v>1979</v>
      </c>
      <c r="J1917" s="110" t="str">
        <f t="shared" si="58"/>
        <v/>
      </c>
      <c r="L1917" s="110" t="str">
        <f t="shared" si="59"/>
        <v/>
      </c>
    </row>
    <row r="1918" spans="8:12" ht="14.25" customHeight="1" x14ac:dyDescent="0.2">
      <c r="H1918" s="19" t="s">
        <v>1979</v>
      </c>
      <c r="J1918" s="110" t="str">
        <f t="shared" si="58"/>
        <v/>
      </c>
      <c r="L1918" s="110" t="str">
        <f t="shared" si="59"/>
        <v/>
      </c>
    </row>
    <row r="1919" spans="8:12" ht="14.25" customHeight="1" x14ac:dyDescent="0.2">
      <c r="H1919" s="19" t="s">
        <v>1979</v>
      </c>
      <c r="J1919" s="110" t="str">
        <f t="shared" si="58"/>
        <v/>
      </c>
      <c r="L1919" s="110" t="str">
        <f t="shared" si="59"/>
        <v/>
      </c>
    </row>
    <row r="1920" spans="8:12" ht="14.25" customHeight="1" x14ac:dyDescent="0.2">
      <c r="H1920" s="19" t="s">
        <v>1979</v>
      </c>
      <c r="J1920" s="110" t="str">
        <f t="shared" si="58"/>
        <v/>
      </c>
      <c r="L1920" s="110" t="str">
        <f t="shared" si="59"/>
        <v/>
      </c>
    </row>
    <row r="1921" spans="8:12" ht="14.25" customHeight="1" x14ac:dyDescent="0.2">
      <c r="H1921" s="19" t="s">
        <v>1979</v>
      </c>
      <c r="J1921" s="110" t="str">
        <f t="shared" si="58"/>
        <v/>
      </c>
      <c r="L1921" s="110" t="str">
        <f t="shared" si="59"/>
        <v/>
      </c>
    </row>
    <row r="1922" spans="8:12" ht="14.25" customHeight="1" x14ac:dyDescent="0.2">
      <c r="H1922" s="19" t="s">
        <v>1979</v>
      </c>
      <c r="J1922" s="110" t="str">
        <f t="shared" si="58"/>
        <v/>
      </c>
      <c r="L1922" s="110" t="str">
        <f t="shared" si="59"/>
        <v/>
      </c>
    </row>
    <row r="1923" spans="8:12" ht="14.25" customHeight="1" x14ac:dyDescent="0.2">
      <c r="H1923" s="19" t="s">
        <v>1979</v>
      </c>
      <c r="J1923" s="110" t="str">
        <f t="shared" ref="J1923:J1986" si="60">IF(K1923="","", K1923/PI())</f>
        <v/>
      </c>
      <c r="L1923" s="110" t="str">
        <f t="shared" ref="L1923:L1986" si="61">IF(OR(P1923="", N1923="", O1923=""), "", TAN(P1923*PI()/180)*N1923 +O1923)</f>
        <v/>
      </c>
    </row>
    <row r="1924" spans="8:12" ht="14.25" customHeight="1" x14ac:dyDescent="0.2">
      <c r="H1924" s="19" t="s">
        <v>1979</v>
      </c>
      <c r="J1924" s="110" t="str">
        <f t="shared" si="60"/>
        <v/>
      </c>
      <c r="L1924" s="110" t="str">
        <f t="shared" si="61"/>
        <v/>
      </c>
    </row>
    <row r="1925" spans="8:12" ht="14.25" customHeight="1" x14ac:dyDescent="0.2">
      <c r="H1925" s="19" t="s">
        <v>1979</v>
      </c>
      <c r="J1925" s="110" t="str">
        <f t="shared" si="60"/>
        <v/>
      </c>
      <c r="L1925" s="110" t="str">
        <f t="shared" si="61"/>
        <v/>
      </c>
    </row>
    <row r="1926" spans="8:12" ht="14.25" customHeight="1" x14ac:dyDescent="0.2">
      <c r="H1926" s="19" t="s">
        <v>1979</v>
      </c>
      <c r="J1926" s="110" t="str">
        <f t="shared" si="60"/>
        <v/>
      </c>
      <c r="L1926" s="110" t="str">
        <f t="shared" si="61"/>
        <v/>
      </c>
    </row>
    <row r="1927" spans="8:12" ht="14.25" customHeight="1" x14ac:dyDescent="0.2">
      <c r="H1927" s="19" t="s">
        <v>1979</v>
      </c>
      <c r="J1927" s="110" t="str">
        <f t="shared" si="60"/>
        <v/>
      </c>
      <c r="L1927" s="110" t="str">
        <f t="shared" si="61"/>
        <v/>
      </c>
    </row>
    <row r="1928" spans="8:12" ht="14.25" customHeight="1" x14ac:dyDescent="0.2">
      <c r="H1928" s="19" t="s">
        <v>1979</v>
      </c>
      <c r="J1928" s="110" t="str">
        <f t="shared" si="60"/>
        <v/>
      </c>
      <c r="L1928" s="110" t="str">
        <f t="shared" si="61"/>
        <v/>
      </c>
    </row>
    <row r="1929" spans="8:12" ht="14.25" customHeight="1" x14ac:dyDescent="0.2">
      <c r="H1929" s="19" t="s">
        <v>1979</v>
      </c>
      <c r="J1929" s="110" t="str">
        <f t="shared" si="60"/>
        <v/>
      </c>
      <c r="L1929" s="110" t="str">
        <f t="shared" si="61"/>
        <v/>
      </c>
    </row>
    <row r="1930" spans="8:12" ht="14.25" customHeight="1" x14ac:dyDescent="0.2">
      <c r="H1930" s="19" t="s">
        <v>1979</v>
      </c>
      <c r="J1930" s="110" t="str">
        <f t="shared" si="60"/>
        <v/>
      </c>
      <c r="L1930" s="110" t="str">
        <f t="shared" si="61"/>
        <v/>
      </c>
    </row>
    <row r="1931" spans="8:12" ht="14.25" customHeight="1" x14ac:dyDescent="0.2">
      <c r="H1931" s="19" t="s">
        <v>1979</v>
      </c>
      <c r="J1931" s="110" t="str">
        <f t="shared" si="60"/>
        <v/>
      </c>
      <c r="L1931" s="110" t="str">
        <f t="shared" si="61"/>
        <v/>
      </c>
    </row>
    <row r="1932" spans="8:12" ht="14.25" customHeight="1" x14ac:dyDescent="0.2">
      <c r="H1932" s="19" t="s">
        <v>1979</v>
      </c>
      <c r="J1932" s="110" t="str">
        <f t="shared" si="60"/>
        <v/>
      </c>
      <c r="L1932" s="110" t="str">
        <f t="shared" si="61"/>
        <v/>
      </c>
    </row>
    <row r="1933" spans="8:12" ht="14.25" customHeight="1" x14ac:dyDescent="0.2">
      <c r="H1933" s="19" t="s">
        <v>1979</v>
      </c>
      <c r="J1933" s="110" t="str">
        <f t="shared" si="60"/>
        <v/>
      </c>
      <c r="L1933" s="110" t="str">
        <f t="shared" si="61"/>
        <v/>
      </c>
    </row>
    <row r="1934" spans="8:12" ht="14.25" customHeight="1" x14ac:dyDescent="0.2">
      <c r="H1934" s="19" t="s">
        <v>1979</v>
      </c>
      <c r="J1934" s="110" t="str">
        <f t="shared" si="60"/>
        <v/>
      </c>
      <c r="L1934" s="110" t="str">
        <f t="shared" si="61"/>
        <v/>
      </c>
    </row>
    <row r="1935" spans="8:12" ht="14.25" customHeight="1" x14ac:dyDescent="0.2">
      <c r="H1935" s="19" t="s">
        <v>1979</v>
      </c>
      <c r="J1935" s="110" t="str">
        <f t="shared" si="60"/>
        <v/>
      </c>
      <c r="L1935" s="110" t="str">
        <f t="shared" si="61"/>
        <v/>
      </c>
    </row>
    <row r="1936" spans="8:12" ht="14.25" customHeight="1" x14ac:dyDescent="0.2">
      <c r="H1936" s="19" t="s">
        <v>1979</v>
      </c>
      <c r="J1936" s="110" t="str">
        <f t="shared" si="60"/>
        <v/>
      </c>
      <c r="L1936" s="110" t="str">
        <f t="shared" si="61"/>
        <v/>
      </c>
    </row>
    <row r="1937" spans="8:12" ht="14.25" customHeight="1" x14ac:dyDescent="0.2">
      <c r="H1937" s="19" t="s">
        <v>1979</v>
      </c>
      <c r="J1937" s="110" t="str">
        <f t="shared" si="60"/>
        <v/>
      </c>
      <c r="L1937" s="110" t="str">
        <f t="shared" si="61"/>
        <v/>
      </c>
    </row>
    <row r="1938" spans="8:12" ht="14.25" customHeight="1" x14ac:dyDescent="0.2">
      <c r="H1938" s="19" t="s">
        <v>1979</v>
      </c>
      <c r="J1938" s="110" t="str">
        <f t="shared" si="60"/>
        <v/>
      </c>
      <c r="L1938" s="110" t="str">
        <f t="shared" si="61"/>
        <v/>
      </c>
    </row>
    <row r="1939" spans="8:12" ht="14.25" customHeight="1" x14ac:dyDescent="0.2">
      <c r="H1939" s="19" t="s">
        <v>1979</v>
      </c>
      <c r="J1939" s="110" t="str">
        <f t="shared" si="60"/>
        <v/>
      </c>
      <c r="L1939" s="110" t="str">
        <f t="shared" si="61"/>
        <v/>
      </c>
    </row>
    <row r="1940" spans="8:12" ht="14.25" customHeight="1" x14ac:dyDescent="0.2">
      <c r="H1940" s="19" t="s">
        <v>1979</v>
      </c>
      <c r="J1940" s="110" t="str">
        <f t="shared" si="60"/>
        <v/>
      </c>
      <c r="L1940" s="110" t="str">
        <f t="shared" si="61"/>
        <v/>
      </c>
    </row>
    <row r="1941" spans="8:12" ht="14.25" customHeight="1" x14ac:dyDescent="0.2">
      <c r="H1941" s="19" t="s">
        <v>1979</v>
      </c>
      <c r="J1941" s="110" t="str">
        <f t="shared" si="60"/>
        <v/>
      </c>
      <c r="L1941" s="110" t="str">
        <f t="shared" si="61"/>
        <v/>
      </c>
    </row>
    <row r="1942" spans="8:12" ht="14.25" customHeight="1" x14ac:dyDescent="0.2">
      <c r="H1942" s="19" t="s">
        <v>1979</v>
      </c>
      <c r="J1942" s="110" t="str">
        <f t="shared" si="60"/>
        <v/>
      </c>
      <c r="L1942" s="110" t="str">
        <f t="shared" si="61"/>
        <v/>
      </c>
    </row>
    <row r="1943" spans="8:12" ht="14.25" customHeight="1" x14ac:dyDescent="0.2">
      <c r="H1943" s="19" t="s">
        <v>1979</v>
      </c>
      <c r="J1943" s="110" t="str">
        <f t="shared" si="60"/>
        <v/>
      </c>
      <c r="L1943" s="110" t="str">
        <f t="shared" si="61"/>
        <v/>
      </c>
    </row>
    <row r="1944" spans="8:12" ht="14.25" customHeight="1" x14ac:dyDescent="0.2">
      <c r="H1944" s="19" t="s">
        <v>1979</v>
      </c>
      <c r="J1944" s="110" t="str">
        <f t="shared" si="60"/>
        <v/>
      </c>
      <c r="L1944" s="110" t="str">
        <f t="shared" si="61"/>
        <v/>
      </c>
    </row>
    <row r="1945" spans="8:12" ht="14.25" customHeight="1" x14ac:dyDescent="0.2">
      <c r="H1945" s="19" t="s">
        <v>1979</v>
      </c>
      <c r="J1945" s="110" t="str">
        <f t="shared" si="60"/>
        <v/>
      </c>
      <c r="L1945" s="110" t="str">
        <f t="shared" si="61"/>
        <v/>
      </c>
    </row>
    <row r="1946" spans="8:12" ht="14.25" customHeight="1" x14ac:dyDescent="0.2">
      <c r="H1946" s="19" t="s">
        <v>1979</v>
      </c>
      <c r="J1946" s="110" t="str">
        <f t="shared" si="60"/>
        <v/>
      </c>
      <c r="L1946" s="110" t="str">
        <f t="shared" si="61"/>
        <v/>
      </c>
    </row>
    <row r="1947" spans="8:12" ht="14.25" customHeight="1" x14ac:dyDescent="0.2">
      <c r="H1947" s="19" t="s">
        <v>1979</v>
      </c>
      <c r="J1947" s="110" t="str">
        <f t="shared" si="60"/>
        <v/>
      </c>
      <c r="L1947" s="110" t="str">
        <f t="shared" si="61"/>
        <v/>
      </c>
    </row>
    <row r="1948" spans="8:12" ht="14.25" customHeight="1" x14ac:dyDescent="0.2">
      <c r="H1948" s="19" t="s">
        <v>1979</v>
      </c>
      <c r="J1948" s="110" t="str">
        <f t="shared" si="60"/>
        <v/>
      </c>
      <c r="L1948" s="110" t="str">
        <f t="shared" si="61"/>
        <v/>
      </c>
    </row>
    <row r="1949" spans="8:12" ht="14.25" customHeight="1" x14ac:dyDescent="0.2">
      <c r="H1949" s="19" t="s">
        <v>1979</v>
      </c>
      <c r="J1949" s="110" t="str">
        <f t="shared" si="60"/>
        <v/>
      </c>
      <c r="L1949" s="110" t="str">
        <f t="shared" si="61"/>
        <v/>
      </c>
    </row>
    <row r="1950" spans="8:12" ht="14.25" customHeight="1" x14ac:dyDescent="0.2">
      <c r="H1950" s="19" t="s">
        <v>1979</v>
      </c>
      <c r="J1950" s="110" t="str">
        <f t="shared" si="60"/>
        <v/>
      </c>
      <c r="L1950" s="110" t="str">
        <f t="shared" si="61"/>
        <v/>
      </c>
    </row>
    <row r="1951" spans="8:12" ht="14.25" customHeight="1" x14ac:dyDescent="0.2">
      <c r="H1951" s="19" t="s">
        <v>1979</v>
      </c>
      <c r="J1951" s="110" t="str">
        <f t="shared" si="60"/>
        <v/>
      </c>
      <c r="L1951" s="110" t="str">
        <f t="shared" si="61"/>
        <v/>
      </c>
    </row>
    <row r="1952" spans="8:12" ht="14.25" customHeight="1" x14ac:dyDescent="0.2">
      <c r="H1952" s="19" t="s">
        <v>1979</v>
      </c>
      <c r="J1952" s="110" t="str">
        <f t="shared" si="60"/>
        <v/>
      </c>
      <c r="L1952" s="110" t="str">
        <f t="shared" si="61"/>
        <v/>
      </c>
    </row>
    <row r="1953" spans="8:12" ht="14.25" customHeight="1" x14ac:dyDescent="0.2">
      <c r="H1953" s="19" t="s">
        <v>1979</v>
      </c>
      <c r="J1953" s="110" t="str">
        <f t="shared" si="60"/>
        <v/>
      </c>
      <c r="L1953" s="110" t="str">
        <f t="shared" si="61"/>
        <v/>
      </c>
    </row>
    <row r="1954" spans="8:12" ht="14.25" customHeight="1" x14ac:dyDescent="0.2">
      <c r="H1954" s="19" t="s">
        <v>1979</v>
      </c>
      <c r="J1954" s="110" t="str">
        <f t="shared" si="60"/>
        <v/>
      </c>
      <c r="L1954" s="110" t="str">
        <f t="shared" si="61"/>
        <v/>
      </c>
    </row>
    <row r="1955" spans="8:12" ht="14.25" customHeight="1" x14ac:dyDescent="0.2">
      <c r="H1955" s="19" t="s">
        <v>1979</v>
      </c>
      <c r="J1955" s="110" t="str">
        <f t="shared" si="60"/>
        <v/>
      </c>
      <c r="L1955" s="110" t="str">
        <f t="shared" si="61"/>
        <v/>
      </c>
    </row>
    <row r="1956" spans="8:12" ht="14.25" customHeight="1" x14ac:dyDescent="0.2">
      <c r="H1956" s="19" t="s">
        <v>1979</v>
      </c>
      <c r="J1956" s="110" t="str">
        <f t="shared" si="60"/>
        <v/>
      </c>
      <c r="L1956" s="110" t="str">
        <f t="shared" si="61"/>
        <v/>
      </c>
    </row>
    <row r="1957" spans="8:12" ht="14.25" customHeight="1" x14ac:dyDescent="0.2">
      <c r="H1957" s="19" t="s">
        <v>1979</v>
      </c>
      <c r="J1957" s="110" t="str">
        <f t="shared" si="60"/>
        <v/>
      </c>
      <c r="L1957" s="110" t="str">
        <f t="shared" si="61"/>
        <v/>
      </c>
    </row>
    <row r="1958" spans="8:12" ht="14.25" customHeight="1" x14ac:dyDescent="0.2">
      <c r="H1958" s="19" t="s">
        <v>1979</v>
      </c>
      <c r="J1958" s="110" t="str">
        <f t="shared" si="60"/>
        <v/>
      </c>
      <c r="L1958" s="110" t="str">
        <f t="shared" si="61"/>
        <v/>
      </c>
    </row>
    <row r="1959" spans="8:12" ht="14.25" customHeight="1" x14ac:dyDescent="0.2">
      <c r="H1959" s="19" t="s">
        <v>1979</v>
      </c>
      <c r="J1959" s="110" t="str">
        <f t="shared" si="60"/>
        <v/>
      </c>
      <c r="L1959" s="110" t="str">
        <f t="shared" si="61"/>
        <v/>
      </c>
    </row>
    <row r="1960" spans="8:12" ht="14.25" customHeight="1" x14ac:dyDescent="0.2">
      <c r="H1960" s="19" t="s">
        <v>1979</v>
      </c>
      <c r="J1960" s="110" t="str">
        <f t="shared" si="60"/>
        <v/>
      </c>
      <c r="L1960" s="110" t="str">
        <f t="shared" si="61"/>
        <v/>
      </c>
    </row>
    <row r="1961" spans="8:12" ht="14.25" customHeight="1" x14ac:dyDescent="0.2">
      <c r="H1961" s="19" t="s">
        <v>1979</v>
      </c>
      <c r="J1961" s="110" t="str">
        <f t="shared" si="60"/>
        <v/>
      </c>
      <c r="L1961" s="110" t="str">
        <f t="shared" si="61"/>
        <v/>
      </c>
    </row>
    <row r="1962" spans="8:12" ht="14.25" customHeight="1" x14ac:dyDescent="0.2">
      <c r="H1962" s="19" t="s">
        <v>1979</v>
      </c>
      <c r="J1962" s="110" t="str">
        <f t="shared" si="60"/>
        <v/>
      </c>
      <c r="L1962" s="110" t="str">
        <f t="shared" si="61"/>
        <v/>
      </c>
    </row>
    <row r="1963" spans="8:12" ht="14.25" customHeight="1" x14ac:dyDescent="0.2">
      <c r="H1963" s="19" t="s">
        <v>1979</v>
      </c>
      <c r="J1963" s="110" t="str">
        <f t="shared" si="60"/>
        <v/>
      </c>
      <c r="L1963" s="110" t="str">
        <f t="shared" si="61"/>
        <v/>
      </c>
    </row>
    <row r="1964" spans="8:12" ht="14.25" customHeight="1" x14ac:dyDescent="0.2">
      <c r="H1964" s="19" t="s">
        <v>1979</v>
      </c>
      <c r="J1964" s="110" t="str">
        <f t="shared" si="60"/>
        <v/>
      </c>
      <c r="L1964" s="110" t="str">
        <f t="shared" si="61"/>
        <v/>
      </c>
    </row>
    <row r="1965" spans="8:12" ht="14.25" customHeight="1" x14ac:dyDescent="0.2">
      <c r="H1965" s="19" t="s">
        <v>1979</v>
      </c>
      <c r="J1965" s="110" t="str">
        <f t="shared" si="60"/>
        <v/>
      </c>
      <c r="L1965" s="110" t="str">
        <f t="shared" si="61"/>
        <v/>
      </c>
    </row>
    <row r="1966" spans="8:12" ht="14.25" customHeight="1" x14ac:dyDescent="0.2">
      <c r="H1966" s="19" t="s">
        <v>1979</v>
      </c>
      <c r="J1966" s="110" t="str">
        <f t="shared" si="60"/>
        <v/>
      </c>
      <c r="L1966" s="110" t="str">
        <f t="shared" si="61"/>
        <v/>
      </c>
    </row>
    <row r="1967" spans="8:12" ht="14.25" customHeight="1" x14ac:dyDescent="0.2">
      <c r="H1967" s="19" t="s">
        <v>1979</v>
      </c>
      <c r="J1967" s="110" t="str">
        <f t="shared" si="60"/>
        <v/>
      </c>
      <c r="L1967" s="110" t="str">
        <f t="shared" si="61"/>
        <v/>
      </c>
    </row>
    <row r="1968" spans="8:12" ht="14.25" customHeight="1" x14ac:dyDescent="0.2">
      <c r="H1968" s="19" t="s">
        <v>1979</v>
      </c>
      <c r="J1968" s="110" t="str">
        <f t="shared" si="60"/>
        <v/>
      </c>
      <c r="L1968" s="110" t="str">
        <f t="shared" si="61"/>
        <v/>
      </c>
    </row>
    <row r="1969" spans="8:12" ht="14.25" customHeight="1" x14ac:dyDescent="0.2">
      <c r="H1969" s="19" t="s">
        <v>1979</v>
      </c>
      <c r="J1969" s="110" t="str">
        <f t="shared" si="60"/>
        <v/>
      </c>
      <c r="L1969" s="110" t="str">
        <f t="shared" si="61"/>
        <v/>
      </c>
    </row>
    <row r="1970" spans="8:12" ht="14.25" customHeight="1" x14ac:dyDescent="0.2">
      <c r="H1970" s="19" t="s">
        <v>1979</v>
      </c>
      <c r="J1970" s="110" t="str">
        <f t="shared" si="60"/>
        <v/>
      </c>
      <c r="L1970" s="110" t="str">
        <f t="shared" si="61"/>
        <v/>
      </c>
    </row>
    <row r="1971" spans="8:12" ht="14.25" customHeight="1" x14ac:dyDescent="0.2">
      <c r="H1971" s="19" t="s">
        <v>1979</v>
      </c>
      <c r="J1971" s="110" t="str">
        <f t="shared" si="60"/>
        <v/>
      </c>
      <c r="L1971" s="110" t="str">
        <f t="shared" si="61"/>
        <v/>
      </c>
    </row>
    <row r="1972" spans="8:12" ht="14.25" customHeight="1" x14ac:dyDescent="0.2">
      <c r="H1972" s="19" t="s">
        <v>1979</v>
      </c>
      <c r="J1972" s="110" t="str">
        <f t="shared" si="60"/>
        <v/>
      </c>
      <c r="L1972" s="110" t="str">
        <f t="shared" si="61"/>
        <v/>
      </c>
    </row>
    <row r="1973" spans="8:12" ht="14.25" customHeight="1" x14ac:dyDescent="0.2">
      <c r="H1973" s="19" t="s">
        <v>1979</v>
      </c>
      <c r="J1973" s="110" t="str">
        <f t="shared" si="60"/>
        <v/>
      </c>
      <c r="L1973" s="110" t="str">
        <f t="shared" si="61"/>
        <v/>
      </c>
    </row>
    <row r="1974" spans="8:12" ht="14.25" customHeight="1" x14ac:dyDescent="0.2">
      <c r="H1974" s="19" t="s">
        <v>1979</v>
      </c>
      <c r="J1974" s="110" t="str">
        <f t="shared" si="60"/>
        <v/>
      </c>
      <c r="L1974" s="110" t="str">
        <f t="shared" si="61"/>
        <v/>
      </c>
    </row>
    <row r="1975" spans="8:12" ht="14.25" customHeight="1" x14ac:dyDescent="0.2">
      <c r="H1975" s="19" t="s">
        <v>1979</v>
      </c>
      <c r="J1975" s="110" t="str">
        <f t="shared" si="60"/>
        <v/>
      </c>
      <c r="L1975" s="110" t="str">
        <f t="shared" si="61"/>
        <v/>
      </c>
    </row>
    <row r="1976" spans="8:12" ht="14.25" customHeight="1" x14ac:dyDescent="0.2">
      <c r="H1976" s="19" t="s">
        <v>1979</v>
      </c>
      <c r="J1976" s="110" t="str">
        <f t="shared" si="60"/>
        <v/>
      </c>
      <c r="L1976" s="110" t="str">
        <f t="shared" si="61"/>
        <v/>
      </c>
    </row>
    <row r="1977" spans="8:12" ht="14.25" customHeight="1" x14ac:dyDescent="0.2">
      <c r="H1977" s="19" t="s">
        <v>1979</v>
      </c>
      <c r="J1977" s="110" t="str">
        <f t="shared" si="60"/>
        <v/>
      </c>
      <c r="L1977" s="110" t="str">
        <f t="shared" si="61"/>
        <v/>
      </c>
    </row>
    <row r="1978" spans="8:12" ht="14.25" customHeight="1" x14ac:dyDescent="0.2">
      <c r="H1978" s="19" t="s">
        <v>1979</v>
      </c>
      <c r="J1978" s="110" t="str">
        <f t="shared" si="60"/>
        <v/>
      </c>
      <c r="L1978" s="110" t="str">
        <f t="shared" si="61"/>
        <v/>
      </c>
    </row>
    <row r="1979" spans="8:12" ht="14.25" customHeight="1" x14ac:dyDescent="0.2">
      <c r="H1979" s="19" t="s">
        <v>1979</v>
      </c>
      <c r="J1979" s="110" t="str">
        <f t="shared" si="60"/>
        <v/>
      </c>
      <c r="L1979" s="110" t="str">
        <f t="shared" si="61"/>
        <v/>
      </c>
    </row>
    <row r="1980" spans="8:12" ht="14.25" customHeight="1" x14ac:dyDescent="0.2">
      <c r="H1980" s="19" t="s">
        <v>1979</v>
      </c>
      <c r="J1980" s="110" t="str">
        <f t="shared" si="60"/>
        <v/>
      </c>
      <c r="L1980" s="110" t="str">
        <f t="shared" si="61"/>
        <v/>
      </c>
    </row>
    <row r="1981" spans="8:12" ht="14.25" customHeight="1" x14ac:dyDescent="0.2">
      <c r="H1981" s="19" t="s">
        <v>1979</v>
      </c>
      <c r="J1981" s="110" t="str">
        <f t="shared" si="60"/>
        <v/>
      </c>
      <c r="L1981" s="110" t="str">
        <f t="shared" si="61"/>
        <v/>
      </c>
    </row>
    <row r="1982" spans="8:12" ht="14.25" customHeight="1" x14ac:dyDescent="0.2">
      <c r="H1982" s="19" t="s">
        <v>1979</v>
      </c>
      <c r="J1982" s="110" t="str">
        <f t="shared" si="60"/>
        <v/>
      </c>
      <c r="L1982" s="110" t="str">
        <f t="shared" si="61"/>
        <v/>
      </c>
    </row>
    <row r="1983" spans="8:12" ht="14.25" customHeight="1" x14ac:dyDescent="0.2">
      <c r="H1983" s="19" t="s">
        <v>1979</v>
      </c>
      <c r="J1983" s="110" t="str">
        <f t="shared" si="60"/>
        <v/>
      </c>
      <c r="L1983" s="110" t="str">
        <f t="shared" si="61"/>
        <v/>
      </c>
    </row>
    <row r="1984" spans="8:12" ht="14.25" customHeight="1" x14ac:dyDescent="0.2">
      <c r="H1984" s="19" t="s">
        <v>1979</v>
      </c>
      <c r="J1984" s="110" t="str">
        <f t="shared" si="60"/>
        <v/>
      </c>
      <c r="L1984" s="110" t="str">
        <f t="shared" si="61"/>
        <v/>
      </c>
    </row>
    <row r="1985" spans="8:12" ht="14.25" customHeight="1" x14ac:dyDescent="0.2">
      <c r="H1985" s="19" t="s">
        <v>1979</v>
      </c>
      <c r="J1985" s="110" t="str">
        <f t="shared" si="60"/>
        <v/>
      </c>
      <c r="L1985" s="110" t="str">
        <f t="shared" si="61"/>
        <v/>
      </c>
    </row>
    <row r="1986" spans="8:12" ht="14.25" customHeight="1" x14ac:dyDescent="0.2">
      <c r="H1986" s="19" t="s">
        <v>1979</v>
      </c>
      <c r="J1986" s="110" t="str">
        <f t="shared" si="60"/>
        <v/>
      </c>
      <c r="L1986" s="110" t="str">
        <f t="shared" si="61"/>
        <v/>
      </c>
    </row>
    <row r="1987" spans="8:12" ht="14.25" customHeight="1" x14ac:dyDescent="0.2">
      <c r="H1987" s="19" t="s">
        <v>1979</v>
      </c>
      <c r="J1987" s="110" t="str">
        <f t="shared" ref="J1987:J2000" si="62">IF(K1987="","", K1987/PI())</f>
        <v/>
      </c>
      <c r="L1987" s="110" t="str">
        <f t="shared" ref="L1987:L2000" si="63">IF(OR(P1987="", N1987="", O1987=""), "", TAN(P1987*PI()/180)*N1987 +O1987)</f>
        <v/>
      </c>
    </row>
    <row r="1988" spans="8:12" ht="14.25" customHeight="1" x14ac:dyDescent="0.2">
      <c r="H1988" s="19" t="s">
        <v>1979</v>
      </c>
      <c r="J1988" s="110" t="str">
        <f t="shared" si="62"/>
        <v/>
      </c>
      <c r="L1988" s="110" t="str">
        <f t="shared" si="63"/>
        <v/>
      </c>
    </row>
    <row r="1989" spans="8:12" ht="14.25" customHeight="1" x14ac:dyDescent="0.2">
      <c r="H1989" s="19" t="s">
        <v>1979</v>
      </c>
      <c r="J1989" s="110" t="str">
        <f t="shared" si="62"/>
        <v/>
      </c>
      <c r="L1989" s="110" t="str">
        <f t="shared" si="63"/>
        <v/>
      </c>
    </row>
    <row r="1990" spans="8:12" ht="14.25" customHeight="1" x14ac:dyDescent="0.2">
      <c r="H1990" s="19" t="s">
        <v>1979</v>
      </c>
      <c r="J1990" s="110" t="str">
        <f t="shared" si="62"/>
        <v/>
      </c>
      <c r="L1990" s="110" t="str">
        <f t="shared" si="63"/>
        <v/>
      </c>
    </row>
    <row r="1991" spans="8:12" ht="14.25" customHeight="1" x14ac:dyDescent="0.2">
      <c r="H1991" s="19" t="s">
        <v>1979</v>
      </c>
      <c r="J1991" s="110" t="str">
        <f t="shared" si="62"/>
        <v/>
      </c>
      <c r="L1991" s="110" t="str">
        <f t="shared" si="63"/>
        <v/>
      </c>
    </row>
    <row r="1992" spans="8:12" ht="14.25" customHeight="1" x14ac:dyDescent="0.2">
      <c r="H1992" s="19" t="s">
        <v>1979</v>
      </c>
      <c r="J1992" s="110" t="str">
        <f t="shared" si="62"/>
        <v/>
      </c>
      <c r="L1992" s="110" t="str">
        <f t="shared" si="63"/>
        <v/>
      </c>
    </row>
    <row r="1993" spans="8:12" ht="14.25" customHeight="1" x14ac:dyDescent="0.2">
      <c r="H1993" s="19" t="s">
        <v>1979</v>
      </c>
      <c r="J1993" s="110" t="str">
        <f t="shared" si="62"/>
        <v/>
      </c>
      <c r="L1993" s="110" t="str">
        <f t="shared" si="63"/>
        <v/>
      </c>
    </row>
    <row r="1994" spans="8:12" ht="14.25" customHeight="1" x14ac:dyDescent="0.2">
      <c r="H1994" s="19" t="s">
        <v>1979</v>
      </c>
      <c r="J1994" s="110" t="str">
        <f t="shared" si="62"/>
        <v/>
      </c>
      <c r="L1994" s="110" t="str">
        <f t="shared" si="63"/>
        <v/>
      </c>
    </row>
    <row r="1995" spans="8:12" ht="14.25" customHeight="1" x14ac:dyDescent="0.2">
      <c r="H1995" s="19" t="s">
        <v>1979</v>
      </c>
      <c r="J1995" s="110" t="str">
        <f t="shared" si="62"/>
        <v/>
      </c>
      <c r="L1995" s="110" t="str">
        <f t="shared" si="63"/>
        <v/>
      </c>
    </row>
    <row r="1996" spans="8:12" ht="14.25" customHeight="1" x14ac:dyDescent="0.2">
      <c r="H1996" s="19" t="s">
        <v>1979</v>
      </c>
      <c r="J1996" s="110" t="str">
        <f t="shared" si="62"/>
        <v/>
      </c>
      <c r="L1996" s="110" t="str">
        <f t="shared" si="63"/>
        <v/>
      </c>
    </row>
    <row r="1997" spans="8:12" ht="14.25" customHeight="1" x14ac:dyDescent="0.2">
      <c r="H1997" s="19" t="s">
        <v>1979</v>
      </c>
      <c r="J1997" s="110" t="str">
        <f t="shared" si="62"/>
        <v/>
      </c>
      <c r="L1997" s="110" t="str">
        <f t="shared" si="63"/>
        <v/>
      </c>
    </row>
    <row r="1998" spans="8:12" ht="14.25" customHeight="1" x14ac:dyDescent="0.2">
      <c r="H1998" s="19" t="s">
        <v>1979</v>
      </c>
      <c r="J1998" s="110" t="str">
        <f t="shared" si="62"/>
        <v/>
      </c>
      <c r="L1998" s="110" t="str">
        <f t="shared" si="63"/>
        <v/>
      </c>
    </row>
    <row r="1999" spans="8:12" ht="14.25" customHeight="1" x14ac:dyDescent="0.2">
      <c r="H1999" s="19" t="s">
        <v>1979</v>
      </c>
      <c r="J1999" s="110" t="str">
        <f t="shared" si="62"/>
        <v/>
      </c>
      <c r="L1999" s="110" t="str">
        <f t="shared" si="63"/>
        <v/>
      </c>
    </row>
    <row r="2000" spans="8:12" ht="14.25" customHeight="1" x14ac:dyDescent="0.2">
      <c r="H2000" s="19" t="s">
        <v>1979</v>
      </c>
      <c r="J2000" s="110" t="str">
        <f t="shared" si="62"/>
        <v/>
      </c>
      <c r="L2000" s="110" t="str">
        <f t="shared" si="63"/>
        <v/>
      </c>
    </row>
  </sheetData>
  <pageMargins left="0.75" right="0.75" top="1" bottom="1" header="0.5" footer="0.5"/>
  <pageSetup paperSize="9" orientation="portrait" horizontalDpi="4294967292" verticalDpi="0" r:id="rId1"/>
  <headerFooter alignWithMargins="0">
    <oddHeader>&amp;A</oddHeader>
    <oddFooter>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All_LTMN_Lookups!$Y$2:$Y$20</xm:f>
          </x14:formula1>
          <xm:sqref>X2:X2000 U13 U18</xm:sqref>
        </x14:dataValidation>
        <x14:dataValidation type="list" allowBlank="1" showInputMessage="1" showErrorMessage="1" xr:uid="{00000000-0002-0000-0600-000001000000}">
          <x14:formula1>
            <xm:f>All_LTMN_Lookups!$Y$13:$Y$15</xm:f>
          </x14:formula1>
          <xm:sqref>X2001:X1048576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/>
  <dimension ref="A1:O2000"/>
  <sheetViews>
    <sheetView workbookViewId="0">
      <pane ySplit="1" topLeftCell="A12" activePane="bottomLeft" state="frozen"/>
      <selection pane="bottomLeft"/>
    </sheetView>
  </sheetViews>
  <sheetFormatPr defaultRowHeight="14.25" customHeight="1" x14ac:dyDescent="0.2"/>
  <cols>
    <col min="1" max="1" width="6.33203125" style="19" customWidth="1"/>
    <col min="2" max="2" width="5.109375" style="19" customWidth="1"/>
    <col min="3" max="3" width="4.6640625" style="19" customWidth="1"/>
    <col min="4" max="4" width="5.77734375" style="19" bestFit="1" customWidth="1"/>
    <col min="5" max="5" width="9.77734375" style="19" customWidth="1"/>
    <col min="6" max="6" width="14.5546875" style="19" bestFit="1" customWidth="1"/>
    <col min="7" max="7" width="14.21875" style="19" bestFit="1" customWidth="1"/>
    <col min="8" max="8" width="19.88671875" style="19" customWidth="1"/>
    <col min="9" max="11" width="9.44140625" style="5" customWidth="1"/>
    <col min="12" max="12" width="7.77734375" style="5" customWidth="1"/>
    <col min="13" max="13" width="7.6640625" style="5" customWidth="1"/>
    <col min="14" max="14" width="7.5546875" style="5" customWidth="1"/>
    <col min="15" max="15" width="6.6640625" style="5" bestFit="1" customWidth="1"/>
    <col min="16" max="16384" width="8.88671875" style="108"/>
  </cols>
  <sheetData>
    <row r="1" spans="1:15" s="107" customFormat="1" ht="22.5" x14ac:dyDescent="0.2">
      <c r="A1" s="202" t="s">
        <v>219</v>
      </c>
      <c r="B1" s="202" t="s">
        <v>220</v>
      </c>
      <c r="C1" s="202" t="s">
        <v>222</v>
      </c>
      <c r="D1" s="202" t="s">
        <v>223</v>
      </c>
      <c r="E1" s="202" t="s">
        <v>224</v>
      </c>
      <c r="F1" s="202" t="s">
        <v>221</v>
      </c>
      <c r="G1" s="202" t="s">
        <v>226</v>
      </c>
      <c r="H1" s="203" t="s">
        <v>1444</v>
      </c>
      <c r="I1" s="203" t="s">
        <v>1475</v>
      </c>
      <c r="J1" s="203" t="s">
        <v>1476</v>
      </c>
      <c r="K1" s="203" t="s">
        <v>1477</v>
      </c>
      <c r="L1" s="203" t="s">
        <v>1746</v>
      </c>
      <c r="M1" s="203" t="s">
        <v>1747</v>
      </c>
      <c r="N1" s="203" t="s">
        <v>1748</v>
      </c>
      <c r="O1" s="205" t="s">
        <v>1474</v>
      </c>
    </row>
    <row r="2" spans="1:15" ht="14.25" customHeight="1" x14ac:dyDescent="0.2">
      <c r="A2" s="19" t="s">
        <v>313</v>
      </c>
      <c r="B2" s="19" t="s">
        <v>1761</v>
      </c>
      <c r="C2" s="19">
        <v>2015</v>
      </c>
      <c r="D2" s="19">
        <v>19</v>
      </c>
      <c r="E2" s="19">
        <v>237</v>
      </c>
      <c r="F2" s="160" t="s">
        <v>152</v>
      </c>
      <c r="G2" s="19" t="s">
        <v>1833</v>
      </c>
      <c r="H2" s="19" t="s">
        <v>1875</v>
      </c>
      <c r="I2" s="5" t="s">
        <v>1664</v>
      </c>
    </row>
    <row r="3" spans="1:15" ht="14.25" customHeight="1" x14ac:dyDescent="0.2">
      <c r="A3" s="19" t="s">
        <v>313</v>
      </c>
      <c r="B3" s="19" t="s">
        <v>1761</v>
      </c>
      <c r="C3" s="19">
        <v>2015</v>
      </c>
      <c r="D3" s="19">
        <v>19</v>
      </c>
      <c r="E3" s="19">
        <v>237</v>
      </c>
      <c r="F3" s="160" t="s">
        <v>152</v>
      </c>
      <c r="G3" s="19" t="s">
        <v>1834</v>
      </c>
    </row>
    <row r="4" spans="1:15" ht="14.25" customHeight="1" x14ac:dyDescent="0.2">
      <c r="A4" s="19" t="s">
        <v>313</v>
      </c>
      <c r="B4" s="19" t="s">
        <v>1761</v>
      </c>
      <c r="C4" s="19">
        <v>2015</v>
      </c>
      <c r="D4" s="19">
        <v>19</v>
      </c>
      <c r="E4" s="19">
        <v>237</v>
      </c>
      <c r="F4" s="160" t="s">
        <v>152</v>
      </c>
      <c r="G4" s="19" t="s">
        <v>235</v>
      </c>
    </row>
    <row r="5" spans="1:15" ht="14.25" customHeight="1" x14ac:dyDescent="0.2">
      <c r="A5" s="19" t="s">
        <v>313</v>
      </c>
      <c r="B5" s="19" t="s">
        <v>1761</v>
      </c>
      <c r="C5" s="19">
        <v>2015</v>
      </c>
      <c r="D5" s="19">
        <v>19</v>
      </c>
      <c r="E5" s="19">
        <v>237</v>
      </c>
      <c r="F5" s="160" t="s">
        <v>152</v>
      </c>
      <c r="G5" s="19" t="s">
        <v>243</v>
      </c>
    </row>
    <row r="6" spans="1:15" ht="14.25" customHeight="1" x14ac:dyDescent="0.2">
      <c r="A6" s="19" t="s">
        <v>313</v>
      </c>
      <c r="B6" s="19" t="s">
        <v>1761</v>
      </c>
      <c r="C6" s="19">
        <v>2015</v>
      </c>
      <c r="D6" s="19">
        <v>19</v>
      </c>
      <c r="E6" s="19">
        <v>1078</v>
      </c>
      <c r="F6" s="160" t="s">
        <v>1078</v>
      </c>
      <c r="G6" s="19" t="s">
        <v>1833</v>
      </c>
      <c r="H6" s="19" t="s">
        <v>1875</v>
      </c>
      <c r="I6" s="5" t="s">
        <v>1664</v>
      </c>
    </row>
    <row r="7" spans="1:15" ht="14.25" customHeight="1" x14ac:dyDescent="0.2">
      <c r="A7" s="19" t="s">
        <v>313</v>
      </c>
      <c r="B7" s="19" t="s">
        <v>1761</v>
      </c>
      <c r="C7" s="19">
        <v>2015</v>
      </c>
      <c r="D7" s="19">
        <v>19</v>
      </c>
      <c r="E7" s="19">
        <v>2627</v>
      </c>
      <c r="F7" s="160" t="s">
        <v>598</v>
      </c>
      <c r="G7" s="19" t="s">
        <v>251</v>
      </c>
    </row>
    <row r="8" spans="1:15" ht="14.25" customHeight="1" x14ac:dyDescent="0.2">
      <c r="A8" s="19" t="s">
        <v>313</v>
      </c>
      <c r="B8" s="19" t="s">
        <v>1761</v>
      </c>
      <c r="C8" s="19">
        <v>2015</v>
      </c>
      <c r="D8" s="19">
        <v>19</v>
      </c>
      <c r="E8" s="19">
        <v>2628</v>
      </c>
      <c r="F8" s="160" t="s">
        <v>597</v>
      </c>
      <c r="G8" s="19" t="s">
        <v>255</v>
      </c>
    </row>
    <row r="9" spans="1:15" ht="14.25" customHeight="1" x14ac:dyDescent="0.2">
      <c r="A9" s="19" t="s">
        <v>313</v>
      </c>
      <c r="B9" s="19" t="s">
        <v>1761</v>
      </c>
      <c r="C9" s="19">
        <v>2015</v>
      </c>
      <c r="D9" s="19">
        <v>19</v>
      </c>
      <c r="E9" s="19">
        <v>1078</v>
      </c>
      <c r="F9" s="160" t="s">
        <v>1078</v>
      </c>
      <c r="G9" s="19" t="s">
        <v>235</v>
      </c>
    </row>
    <row r="10" spans="1:15" ht="14.25" customHeight="1" x14ac:dyDescent="0.2">
      <c r="A10" s="19" t="s">
        <v>313</v>
      </c>
      <c r="B10" s="19" t="s">
        <v>1761</v>
      </c>
      <c r="C10" s="19">
        <v>2015</v>
      </c>
      <c r="D10" s="19">
        <v>19</v>
      </c>
      <c r="E10" s="19">
        <v>1275</v>
      </c>
      <c r="F10" s="160" t="s">
        <v>999</v>
      </c>
      <c r="G10" s="19" t="s">
        <v>1833</v>
      </c>
      <c r="H10" s="19" t="s">
        <v>1875</v>
      </c>
      <c r="I10" s="5" t="s">
        <v>1664</v>
      </c>
    </row>
    <row r="11" spans="1:15" ht="14.25" customHeight="1" x14ac:dyDescent="0.2">
      <c r="A11" s="19" t="s">
        <v>313</v>
      </c>
      <c r="B11" s="19" t="s">
        <v>1761</v>
      </c>
      <c r="C11" s="19">
        <v>2015</v>
      </c>
      <c r="D11" s="19">
        <v>19</v>
      </c>
      <c r="E11" s="19">
        <v>1275</v>
      </c>
      <c r="F11" s="160" t="s">
        <v>999</v>
      </c>
      <c r="G11" s="19" t="s">
        <v>235</v>
      </c>
    </row>
    <row r="12" spans="1:15" ht="14.25" customHeight="1" x14ac:dyDescent="0.2">
      <c r="A12" s="19" t="s">
        <v>313</v>
      </c>
      <c r="B12" s="19" t="s">
        <v>1761</v>
      </c>
      <c r="C12" s="19">
        <v>2015</v>
      </c>
      <c r="D12" s="19">
        <v>19</v>
      </c>
      <c r="E12" s="19">
        <v>2634</v>
      </c>
      <c r="F12" s="160" t="s">
        <v>594</v>
      </c>
      <c r="G12" s="19" t="s">
        <v>255</v>
      </c>
    </row>
    <row r="13" spans="1:15" ht="14.25" customHeight="1" x14ac:dyDescent="0.2">
      <c r="A13" s="19" t="s">
        <v>313</v>
      </c>
      <c r="B13" s="19" t="s">
        <v>1761</v>
      </c>
      <c r="C13" s="19">
        <v>2015</v>
      </c>
      <c r="D13" s="19">
        <v>19</v>
      </c>
      <c r="E13" s="19">
        <v>4392</v>
      </c>
      <c r="F13" s="160" t="s">
        <v>327</v>
      </c>
      <c r="G13" s="19" t="s">
        <v>255</v>
      </c>
      <c r="H13" s="19" t="s">
        <v>1855</v>
      </c>
      <c r="I13" s="5" t="s">
        <v>1664</v>
      </c>
      <c r="L13" s="5" t="s">
        <v>1672</v>
      </c>
      <c r="O13" s="5" t="s">
        <v>1672</v>
      </c>
    </row>
    <row r="14" spans="1:15" ht="14.25" customHeight="1" x14ac:dyDescent="0.2">
      <c r="A14" s="19" t="s">
        <v>313</v>
      </c>
      <c r="B14" s="19" t="s">
        <v>1761</v>
      </c>
      <c r="C14" s="19">
        <v>2015</v>
      </c>
      <c r="D14" s="19">
        <v>19</v>
      </c>
      <c r="E14" s="19">
        <v>2616</v>
      </c>
      <c r="F14" s="160" t="s">
        <v>609</v>
      </c>
      <c r="G14" s="19" t="s">
        <v>255</v>
      </c>
    </row>
    <row r="15" spans="1:15" ht="14.25" customHeight="1" x14ac:dyDescent="0.2">
      <c r="A15" s="19" t="s">
        <v>313</v>
      </c>
      <c r="B15" s="19" t="s">
        <v>1761</v>
      </c>
      <c r="C15" s="19">
        <v>2015</v>
      </c>
      <c r="D15" s="19">
        <v>19</v>
      </c>
      <c r="E15" s="19">
        <v>2613</v>
      </c>
      <c r="F15" s="160" t="s">
        <v>612</v>
      </c>
      <c r="G15" s="19" t="s">
        <v>255</v>
      </c>
    </row>
    <row r="16" spans="1:15" ht="14.25" customHeight="1" x14ac:dyDescent="0.2">
      <c r="A16" s="19" t="s">
        <v>313</v>
      </c>
      <c r="B16" s="19" t="s">
        <v>1761</v>
      </c>
      <c r="C16" s="19">
        <v>2015</v>
      </c>
      <c r="D16" s="19">
        <v>45</v>
      </c>
      <c r="E16" s="19">
        <v>237</v>
      </c>
      <c r="F16" s="160" t="s">
        <v>152</v>
      </c>
      <c r="H16" s="19" t="s">
        <v>1876</v>
      </c>
      <c r="I16" s="5" t="s">
        <v>1664</v>
      </c>
    </row>
    <row r="17" spans="1:9" ht="14.25" customHeight="1" x14ac:dyDescent="0.2">
      <c r="A17" s="19" t="s">
        <v>313</v>
      </c>
      <c r="B17" s="19" t="s">
        <v>1761</v>
      </c>
      <c r="C17" s="19">
        <v>2015</v>
      </c>
      <c r="D17" s="19">
        <v>45</v>
      </c>
      <c r="E17" s="19">
        <v>237</v>
      </c>
      <c r="F17" s="160" t="s">
        <v>152</v>
      </c>
      <c r="G17" s="19" t="s">
        <v>251</v>
      </c>
    </row>
    <row r="18" spans="1:9" ht="14.25" customHeight="1" x14ac:dyDescent="0.2">
      <c r="A18" s="19" t="s">
        <v>313</v>
      </c>
      <c r="B18" s="19" t="s">
        <v>1761</v>
      </c>
      <c r="C18" s="19">
        <v>2015</v>
      </c>
      <c r="D18" s="19">
        <v>45</v>
      </c>
      <c r="E18" s="19">
        <v>237</v>
      </c>
      <c r="F18" s="160" t="s">
        <v>152</v>
      </c>
      <c r="G18" s="19" t="s">
        <v>231</v>
      </c>
    </row>
    <row r="19" spans="1:9" ht="14.25" customHeight="1" x14ac:dyDescent="0.2">
      <c r="A19" s="19" t="s">
        <v>313</v>
      </c>
      <c r="B19" s="19" t="s">
        <v>1761</v>
      </c>
      <c r="C19" s="19">
        <v>2015</v>
      </c>
      <c r="D19" s="19">
        <v>45</v>
      </c>
      <c r="E19" s="19">
        <v>237</v>
      </c>
      <c r="F19" s="160" t="s">
        <v>152</v>
      </c>
      <c r="G19" s="19" t="s">
        <v>235</v>
      </c>
    </row>
    <row r="20" spans="1:9" ht="14.25" customHeight="1" x14ac:dyDescent="0.2">
      <c r="A20" s="19" t="s">
        <v>313</v>
      </c>
      <c r="B20" s="19" t="s">
        <v>1761</v>
      </c>
      <c r="C20" s="19">
        <v>2015</v>
      </c>
      <c r="D20" s="19">
        <v>45</v>
      </c>
      <c r="E20" s="19">
        <v>237</v>
      </c>
      <c r="F20" s="160" t="s">
        <v>152</v>
      </c>
      <c r="G20" s="19" t="s">
        <v>239</v>
      </c>
    </row>
    <row r="21" spans="1:9" ht="14.25" customHeight="1" x14ac:dyDescent="0.2">
      <c r="A21" s="19" t="s">
        <v>313</v>
      </c>
      <c r="B21" s="19" t="s">
        <v>1761</v>
      </c>
      <c r="C21" s="19">
        <v>2015</v>
      </c>
      <c r="D21" s="19">
        <v>45</v>
      </c>
      <c r="E21" s="19">
        <v>237</v>
      </c>
      <c r="F21" s="160" t="s">
        <v>152</v>
      </c>
      <c r="G21" s="19" t="s">
        <v>243</v>
      </c>
    </row>
    <row r="22" spans="1:9" ht="14.25" customHeight="1" x14ac:dyDescent="0.2">
      <c r="A22" s="19" t="s">
        <v>313</v>
      </c>
      <c r="B22" s="19" t="s">
        <v>1761</v>
      </c>
      <c r="C22" s="19">
        <v>2015</v>
      </c>
      <c r="D22" s="19">
        <v>45</v>
      </c>
      <c r="E22" s="19">
        <v>1363</v>
      </c>
      <c r="F22" s="160" t="s">
        <v>965</v>
      </c>
      <c r="G22" s="19" t="s">
        <v>247</v>
      </c>
    </row>
    <row r="23" spans="1:9" ht="14.25" customHeight="1" x14ac:dyDescent="0.2">
      <c r="A23" s="19" t="s">
        <v>313</v>
      </c>
      <c r="B23" s="19" t="s">
        <v>1761</v>
      </c>
      <c r="C23" s="19">
        <v>2015</v>
      </c>
      <c r="D23" s="19">
        <v>45</v>
      </c>
      <c r="E23" s="19">
        <v>1363</v>
      </c>
      <c r="F23" s="160" t="s">
        <v>965</v>
      </c>
      <c r="G23" s="19" t="s">
        <v>243</v>
      </c>
    </row>
    <row r="24" spans="1:9" ht="14.25" customHeight="1" x14ac:dyDescent="0.2">
      <c r="A24" s="19" t="s">
        <v>313</v>
      </c>
      <c r="B24" s="19" t="s">
        <v>1761</v>
      </c>
      <c r="C24" s="19">
        <v>2015</v>
      </c>
      <c r="D24" s="19">
        <v>45</v>
      </c>
      <c r="E24" s="19">
        <v>971</v>
      </c>
      <c r="F24" s="160" t="s">
        <v>1125</v>
      </c>
      <c r="H24" s="19" t="s">
        <v>1876</v>
      </c>
      <c r="I24" s="5" t="s">
        <v>1664</v>
      </c>
    </row>
    <row r="25" spans="1:9" ht="14.25" customHeight="1" x14ac:dyDescent="0.2">
      <c r="A25" s="19" t="s">
        <v>313</v>
      </c>
      <c r="B25" s="19" t="s">
        <v>1761</v>
      </c>
      <c r="C25" s="19">
        <v>2015</v>
      </c>
      <c r="D25" s="19">
        <v>45</v>
      </c>
      <c r="E25" s="19">
        <v>971</v>
      </c>
      <c r="F25" s="160" t="s">
        <v>1125</v>
      </c>
      <c r="G25" s="19" t="s">
        <v>235</v>
      </c>
    </row>
    <row r="26" spans="1:9" ht="14.25" customHeight="1" x14ac:dyDescent="0.2">
      <c r="A26" s="19" t="s">
        <v>313</v>
      </c>
      <c r="B26" s="19" t="s">
        <v>1761</v>
      </c>
      <c r="C26" s="19">
        <v>2015</v>
      </c>
      <c r="D26" s="19">
        <v>45</v>
      </c>
      <c r="E26" s="19">
        <v>236</v>
      </c>
      <c r="F26" s="160" t="s">
        <v>153</v>
      </c>
      <c r="G26" s="19" t="s">
        <v>251</v>
      </c>
    </row>
    <row r="27" spans="1:9" ht="14.25" customHeight="1" x14ac:dyDescent="0.2">
      <c r="A27" s="19" t="s">
        <v>313</v>
      </c>
      <c r="B27" s="19" t="s">
        <v>1761</v>
      </c>
      <c r="C27" s="19">
        <v>2015</v>
      </c>
      <c r="D27" s="19">
        <v>45</v>
      </c>
      <c r="E27" s="19">
        <v>1275</v>
      </c>
      <c r="F27" s="160" t="s">
        <v>999</v>
      </c>
      <c r="G27" s="19" t="s">
        <v>255</v>
      </c>
    </row>
    <row r="28" spans="1:9" ht="14.25" customHeight="1" x14ac:dyDescent="0.2">
      <c r="A28" s="19" t="s">
        <v>313</v>
      </c>
      <c r="B28" s="19" t="s">
        <v>1761</v>
      </c>
      <c r="C28" s="19">
        <v>2015</v>
      </c>
      <c r="D28" s="19">
        <v>45</v>
      </c>
      <c r="E28" s="19">
        <v>1275</v>
      </c>
      <c r="F28" s="160" t="s">
        <v>999</v>
      </c>
      <c r="G28" s="19" t="s">
        <v>243</v>
      </c>
    </row>
    <row r="29" spans="1:9" ht="14.25" customHeight="1" x14ac:dyDescent="0.2">
      <c r="A29" s="19" t="s">
        <v>313</v>
      </c>
      <c r="B29" s="19" t="s">
        <v>1761</v>
      </c>
      <c r="C29" s="19">
        <v>2015</v>
      </c>
      <c r="D29" s="19">
        <v>45</v>
      </c>
      <c r="E29" s="19">
        <v>2740</v>
      </c>
      <c r="F29" s="160" t="s">
        <v>544</v>
      </c>
      <c r="G29" s="19" t="s">
        <v>255</v>
      </c>
    </row>
    <row r="30" spans="1:9" ht="14.25" customHeight="1" x14ac:dyDescent="0.2">
      <c r="E30" s="19" t="s">
        <v>1979</v>
      </c>
    </row>
    <row r="31" spans="1:9" ht="14.25" customHeight="1" x14ac:dyDescent="0.2">
      <c r="E31" s="19" t="s">
        <v>1979</v>
      </c>
    </row>
    <row r="32" spans="1:9" ht="14.25" customHeight="1" x14ac:dyDescent="0.2">
      <c r="E32" s="19" t="s">
        <v>1979</v>
      </c>
    </row>
    <row r="33" spans="5:5" ht="14.25" customHeight="1" x14ac:dyDescent="0.2">
      <c r="E33" s="19" t="s">
        <v>1979</v>
      </c>
    </row>
    <row r="34" spans="5:5" ht="14.25" customHeight="1" x14ac:dyDescent="0.2">
      <c r="E34" s="19" t="s">
        <v>1979</v>
      </c>
    </row>
    <row r="35" spans="5:5" ht="14.25" customHeight="1" x14ac:dyDescent="0.2">
      <c r="E35" s="19" t="s">
        <v>1979</v>
      </c>
    </row>
    <row r="36" spans="5:5" ht="14.25" customHeight="1" x14ac:dyDescent="0.2">
      <c r="E36" s="19" t="s">
        <v>1979</v>
      </c>
    </row>
    <row r="37" spans="5:5" ht="14.25" customHeight="1" x14ac:dyDescent="0.2">
      <c r="E37" s="19" t="s">
        <v>1979</v>
      </c>
    </row>
    <row r="38" spans="5:5" ht="14.25" customHeight="1" x14ac:dyDescent="0.2">
      <c r="E38" s="19" t="s">
        <v>1979</v>
      </c>
    </row>
    <row r="39" spans="5:5" ht="14.25" customHeight="1" x14ac:dyDescent="0.2">
      <c r="E39" s="19" t="s">
        <v>1979</v>
      </c>
    </row>
    <row r="40" spans="5:5" ht="14.25" customHeight="1" x14ac:dyDescent="0.2">
      <c r="E40" s="19" t="s">
        <v>1979</v>
      </c>
    </row>
    <row r="41" spans="5:5" ht="14.25" customHeight="1" x14ac:dyDescent="0.2">
      <c r="E41" s="19" t="s">
        <v>1979</v>
      </c>
    </row>
    <row r="42" spans="5:5" ht="14.25" customHeight="1" x14ac:dyDescent="0.2">
      <c r="E42" s="19" t="s">
        <v>1979</v>
      </c>
    </row>
    <row r="43" spans="5:5" ht="14.25" customHeight="1" x14ac:dyDescent="0.2">
      <c r="E43" s="19" t="s">
        <v>1979</v>
      </c>
    </row>
    <row r="44" spans="5:5" ht="14.25" customHeight="1" x14ac:dyDescent="0.2">
      <c r="E44" s="19" t="s">
        <v>1979</v>
      </c>
    </row>
    <row r="45" spans="5:5" ht="14.25" customHeight="1" x14ac:dyDescent="0.2">
      <c r="E45" s="19" t="s">
        <v>1979</v>
      </c>
    </row>
    <row r="46" spans="5:5" ht="14.25" customHeight="1" x14ac:dyDescent="0.2">
      <c r="E46" s="19" t="s">
        <v>1979</v>
      </c>
    </row>
    <row r="47" spans="5:5" ht="14.25" customHeight="1" x14ac:dyDescent="0.2">
      <c r="E47" s="19" t="s">
        <v>1979</v>
      </c>
    </row>
    <row r="48" spans="5:5" ht="14.25" customHeight="1" x14ac:dyDescent="0.2">
      <c r="E48" s="19" t="s">
        <v>1979</v>
      </c>
    </row>
    <row r="49" spans="5:5" ht="14.25" customHeight="1" x14ac:dyDescent="0.2">
      <c r="E49" s="19" t="s">
        <v>1979</v>
      </c>
    </row>
    <row r="50" spans="5:5" ht="14.25" customHeight="1" x14ac:dyDescent="0.2">
      <c r="E50" s="19" t="s">
        <v>1979</v>
      </c>
    </row>
    <row r="51" spans="5:5" ht="14.25" customHeight="1" x14ac:dyDescent="0.2">
      <c r="E51" s="19" t="s">
        <v>1979</v>
      </c>
    </row>
    <row r="52" spans="5:5" ht="14.25" customHeight="1" x14ac:dyDescent="0.2">
      <c r="E52" s="19" t="s">
        <v>1979</v>
      </c>
    </row>
    <row r="53" spans="5:5" ht="14.25" customHeight="1" x14ac:dyDescent="0.2">
      <c r="E53" s="19" t="s">
        <v>1979</v>
      </c>
    </row>
    <row r="54" spans="5:5" ht="14.25" customHeight="1" x14ac:dyDescent="0.2">
      <c r="E54" s="19" t="s">
        <v>1979</v>
      </c>
    </row>
    <row r="55" spans="5:5" ht="14.25" customHeight="1" x14ac:dyDescent="0.2">
      <c r="E55" s="19" t="s">
        <v>1979</v>
      </c>
    </row>
    <row r="56" spans="5:5" ht="14.25" customHeight="1" x14ac:dyDescent="0.2">
      <c r="E56" s="19" t="s">
        <v>1979</v>
      </c>
    </row>
    <row r="57" spans="5:5" ht="14.25" customHeight="1" x14ac:dyDescent="0.2">
      <c r="E57" s="19" t="s">
        <v>1979</v>
      </c>
    </row>
    <row r="58" spans="5:5" ht="14.25" customHeight="1" x14ac:dyDescent="0.2">
      <c r="E58" s="19" t="s">
        <v>1979</v>
      </c>
    </row>
    <row r="59" spans="5:5" ht="14.25" customHeight="1" x14ac:dyDescent="0.2">
      <c r="E59" s="19" t="s">
        <v>1979</v>
      </c>
    </row>
    <row r="60" spans="5:5" ht="14.25" customHeight="1" x14ac:dyDescent="0.2">
      <c r="E60" s="19" t="s">
        <v>1979</v>
      </c>
    </row>
    <row r="61" spans="5:5" ht="14.25" customHeight="1" x14ac:dyDescent="0.2">
      <c r="E61" s="19" t="s">
        <v>1979</v>
      </c>
    </row>
    <row r="62" spans="5:5" ht="14.25" customHeight="1" x14ac:dyDescent="0.2">
      <c r="E62" s="19" t="s">
        <v>1979</v>
      </c>
    </row>
    <row r="63" spans="5:5" ht="14.25" customHeight="1" x14ac:dyDescent="0.2">
      <c r="E63" s="19" t="s">
        <v>1979</v>
      </c>
    </row>
    <row r="64" spans="5:5" ht="14.25" customHeight="1" x14ac:dyDescent="0.2">
      <c r="E64" s="19" t="s">
        <v>1979</v>
      </c>
    </row>
    <row r="65" spans="5:5" ht="14.25" customHeight="1" x14ac:dyDescent="0.2">
      <c r="E65" s="19" t="s">
        <v>1979</v>
      </c>
    </row>
    <row r="66" spans="5:5" ht="14.25" customHeight="1" x14ac:dyDescent="0.2">
      <c r="E66" s="19" t="s">
        <v>1979</v>
      </c>
    </row>
    <row r="67" spans="5:5" ht="14.25" customHeight="1" x14ac:dyDescent="0.2">
      <c r="E67" s="19" t="s">
        <v>1979</v>
      </c>
    </row>
    <row r="68" spans="5:5" ht="14.25" customHeight="1" x14ac:dyDescent="0.2">
      <c r="E68" s="19" t="s">
        <v>1979</v>
      </c>
    </row>
    <row r="69" spans="5:5" ht="14.25" customHeight="1" x14ac:dyDescent="0.2">
      <c r="E69" s="19" t="s">
        <v>1979</v>
      </c>
    </row>
    <row r="70" spans="5:5" ht="14.25" customHeight="1" x14ac:dyDescent="0.2">
      <c r="E70" s="19" t="s">
        <v>1979</v>
      </c>
    </row>
    <row r="71" spans="5:5" ht="14.25" customHeight="1" x14ac:dyDescent="0.2">
      <c r="E71" s="19" t="s">
        <v>1979</v>
      </c>
    </row>
    <row r="72" spans="5:5" ht="14.25" customHeight="1" x14ac:dyDescent="0.2">
      <c r="E72" s="19" t="s">
        <v>1979</v>
      </c>
    </row>
    <row r="73" spans="5:5" ht="14.25" customHeight="1" x14ac:dyDescent="0.2">
      <c r="E73" s="19" t="s">
        <v>1979</v>
      </c>
    </row>
    <row r="74" spans="5:5" ht="14.25" customHeight="1" x14ac:dyDescent="0.2">
      <c r="E74" s="19" t="s">
        <v>1979</v>
      </c>
    </row>
    <row r="75" spans="5:5" ht="14.25" customHeight="1" x14ac:dyDescent="0.2">
      <c r="E75" s="19" t="s">
        <v>1979</v>
      </c>
    </row>
    <row r="76" spans="5:5" ht="14.25" customHeight="1" x14ac:dyDescent="0.2">
      <c r="E76" s="19" t="s">
        <v>1979</v>
      </c>
    </row>
    <row r="77" spans="5:5" ht="14.25" customHeight="1" x14ac:dyDescent="0.2">
      <c r="E77" s="19" t="s">
        <v>1979</v>
      </c>
    </row>
    <row r="78" spans="5:5" ht="14.25" customHeight="1" x14ac:dyDescent="0.2">
      <c r="E78" s="19" t="s">
        <v>1979</v>
      </c>
    </row>
    <row r="79" spans="5:5" ht="14.25" customHeight="1" x14ac:dyDescent="0.2">
      <c r="E79" s="19" t="s">
        <v>1979</v>
      </c>
    </row>
    <row r="80" spans="5:5" ht="14.25" customHeight="1" x14ac:dyDescent="0.2">
      <c r="E80" s="19" t="s">
        <v>1979</v>
      </c>
    </row>
    <row r="81" spans="5:5" ht="14.25" customHeight="1" x14ac:dyDescent="0.2">
      <c r="E81" s="19" t="s">
        <v>1979</v>
      </c>
    </row>
    <row r="82" spans="5:5" ht="14.25" customHeight="1" x14ac:dyDescent="0.2">
      <c r="E82" s="19" t="s">
        <v>1979</v>
      </c>
    </row>
    <row r="83" spans="5:5" ht="14.25" customHeight="1" x14ac:dyDescent="0.2">
      <c r="E83" s="19" t="s">
        <v>1979</v>
      </c>
    </row>
    <row r="84" spans="5:5" ht="14.25" customHeight="1" x14ac:dyDescent="0.2">
      <c r="E84" s="19" t="s">
        <v>1979</v>
      </c>
    </row>
    <row r="85" spans="5:5" ht="14.25" customHeight="1" x14ac:dyDescent="0.2">
      <c r="E85" s="19" t="s">
        <v>1979</v>
      </c>
    </row>
    <row r="86" spans="5:5" ht="14.25" customHeight="1" x14ac:dyDescent="0.2">
      <c r="E86" s="19" t="s">
        <v>1979</v>
      </c>
    </row>
    <row r="87" spans="5:5" ht="14.25" customHeight="1" x14ac:dyDescent="0.2">
      <c r="E87" s="19" t="s">
        <v>1979</v>
      </c>
    </row>
    <row r="88" spans="5:5" ht="14.25" customHeight="1" x14ac:dyDescent="0.2">
      <c r="E88" s="19" t="s">
        <v>1979</v>
      </c>
    </row>
    <row r="89" spans="5:5" ht="14.25" customHeight="1" x14ac:dyDescent="0.2">
      <c r="E89" s="19" t="s">
        <v>1979</v>
      </c>
    </row>
    <row r="90" spans="5:5" ht="14.25" customHeight="1" x14ac:dyDescent="0.2">
      <c r="E90" s="19" t="s">
        <v>1979</v>
      </c>
    </row>
    <row r="91" spans="5:5" ht="14.25" customHeight="1" x14ac:dyDescent="0.2">
      <c r="E91" s="19" t="s">
        <v>1979</v>
      </c>
    </row>
    <row r="92" spans="5:5" ht="14.25" customHeight="1" x14ac:dyDescent="0.2">
      <c r="E92" s="19" t="s">
        <v>1979</v>
      </c>
    </row>
    <row r="93" spans="5:5" ht="14.25" customHeight="1" x14ac:dyDescent="0.2">
      <c r="E93" s="19" t="s">
        <v>1979</v>
      </c>
    </row>
    <row r="94" spans="5:5" ht="14.25" customHeight="1" x14ac:dyDescent="0.2">
      <c r="E94" s="19" t="s">
        <v>1979</v>
      </c>
    </row>
    <row r="95" spans="5:5" ht="14.25" customHeight="1" x14ac:dyDescent="0.2">
      <c r="E95" s="19" t="s">
        <v>1979</v>
      </c>
    </row>
    <row r="96" spans="5:5" ht="14.25" customHeight="1" x14ac:dyDescent="0.2">
      <c r="E96" s="19" t="s">
        <v>1979</v>
      </c>
    </row>
    <row r="97" spans="5:5" ht="14.25" customHeight="1" x14ac:dyDescent="0.2">
      <c r="E97" s="19" t="s">
        <v>1979</v>
      </c>
    </row>
    <row r="98" spans="5:5" ht="14.25" customHeight="1" x14ac:dyDescent="0.2">
      <c r="E98" s="19" t="s">
        <v>1979</v>
      </c>
    </row>
    <row r="99" spans="5:5" ht="14.25" customHeight="1" x14ac:dyDescent="0.2">
      <c r="E99" s="19" t="s">
        <v>1979</v>
      </c>
    </row>
    <row r="100" spans="5:5" ht="14.25" customHeight="1" x14ac:dyDescent="0.2">
      <c r="E100" s="19" t="s">
        <v>1979</v>
      </c>
    </row>
    <row r="101" spans="5:5" ht="14.25" customHeight="1" x14ac:dyDescent="0.2">
      <c r="E101" s="19" t="s">
        <v>1979</v>
      </c>
    </row>
    <row r="102" spans="5:5" ht="14.25" customHeight="1" x14ac:dyDescent="0.2">
      <c r="E102" s="19" t="s">
        <v>1979</v>
      </c>
    </row>
    <row r="103" spans="5:5" ht="14.25" customHeight="1" x14ac:dyDescent="0.2">
      <c r="E103" s="19" t="s">
        <v>1979</v>
      </c>
    </row>
    <row r="104" spans="5:5" ht="14.25" customHeight="1" x14ac:dyDescent="0.2">
      <c r="E104" s="19" t="s">
        <v>1979</v>
      </c>
    </row>
    <row r="105" spans="5:5" ht="14.25" customHeight="1" x14ac:dyDescent="0.2">
      <c r="E105" s="19" t="s">
        <v>1979</v>
      </c>
    </row>
    <row r="106" spans="5:5" ht="14.25" customHeight="1" x14ac:dyDescent="0.2">
      <c r="E106" s="19" t="s">
        <v>1979</v>
      </c>
    </row>
    <row r="107" spans="5:5" ht="14.25" customHeight="1" x14ac:dyDescent="0.2">
      <c r="E107" s="19" t="s">
        <v>1979</v>
      </c>
    </row>
    <row r="108" spans="5:5" ht="14.25" customHeight="1" x14ac:dyDescent="0.2">
      <c r="E108" s="19" t="s">
        <v>1979</v>
      </c>
    </row>
    <row r="109" spans="5:5" ht="14.25" customHeight="1" x14ac:dyDescent="0.2">
      <c r="E109" s="19" t="s">
        <v>1979</v>
      </c>
    </row>
    <row r="110" spans="5:5" ht="14.25" customHeight="1" x14ac:dyDescent="0.2">
      <c r="E110" s="19" t="s">
        <v>1979</v>
      </c>
    </row>
    <row r="111" spans="5:5" ht="14.25" customHeight="1" x14ac:dyDescent="0.2">
      <c r="E111" s="19" t="s">
        <v>1979</v>
      </c>
    </row>
    <row r="112" spans="5:5" ht="14.25" customHeight="1" x14ac:dyDescent="0.2">
      <c r="E112" s="19" t="s">
        <v>1979</v>
      </c>
    </row>
    <row r="113" spans="5:5" ht="14.25" customHeight="1" x14ac:dyDescent="0.2">
      <c r="E113" s="19" t="s">
        <v>1979</v>
      </c>
    </row>
    <row r="114" spans="5:5" ht="14.25" customHeight="1" x14ac:dyDescent="0.2">
      <c r="E114" s="19" t="s">
        <v>1979</v>
      </c>
    </row>
    <row r="115" spans="5:5" ht="14.25" customHeight="1" x14ac:dyDescent="0.2">
      <c r="E115" s="19" t="s">
        <v>1979</v>
      </c>
    </row>
    <row r="116" spans="5:5" ht="14.25" customHeight="1" x14ac:dyDescent="0.2">
      <c r="E116" s="19" t="s">
        <v>1979</v>
      </c>
    </row>
    <row r="117" spans="5:5" ht="14.25" customHeight="1" x14ac:dyDescent="0.2">
      <c r="E117" s="19" t="s">
        <v>1979</v>
      </c>
    </row>
    <row r="118" spans="5:5" ht="14.25" customHeight="1" x14ac:dyDescent="0.2">
      <c r="E118" s="19" t="s">
        <v>1979</v>
      </c>
    </row>
    <row r="119" spans="5:5" ht="14.25" customHeight="1" x14ac:dyDescent="0.2">
      <c r="E119" s="19" t="s">
        <v>1979</v>
      </c>
    </row>
    <row r="120" spans="5:5" ht="14.25" customHeight="1" x14ac:dyDescent="0.2">
      <c r="E120" s="19" t="s">
        <v>1979</v>
      </c>
    </row>
    <row r="121" spans="5:5" ht="14.25" customHeight="1" x14ac:dyDescent="0.2">
      <c r="E121" s="19" t="s">
        <v>1979</v>
      </c>
    </row>
    <row r="122" spans="5:5" ht="14.25" customHeight="1" x14ac:dyDescent="0.2">
      <c r="E122" s="19" t="s">
        <v>1979</v>
      </c>
    </row>
    <row r="123" spans="5:5" ht="14.25" customHeight="1" x14ac:dyDescent="0.2">
      <c r="E123" s="19" t="s">
        <v>1979</v>
      </c>
    </row>
    <row r="124" spans="5:5" ht="14.25" customHeight="1" x14ac:dyDescent="0.2">
      <c r="E124" s="19" t="s">
        <v>1979</v>
      </c>
    </row>
    <row r="125" spans="5:5" ht="14.25" customHeight="1" x14ac:dyDescent="0.2">
      <c r="E125" s="19" t="s">
        <v>1979</v>
      </c>
    </row>
    <row r="126" spans="5:5" ht="14.25" customHeight="1" x14ac:dyDescent="0.2">
      <c r="E126" s="19" t="s">
        <v>1979</v>
      </c>
    </row>
    <row r="127" spans="5:5" ht="14.25" customHeight="1" x14ac:dyDescent="0.2">
      <c r="E127" s="19" t="s">
        <v>1979</v>
      </c>
    </row>
    <row r="128" spans="5:5" ht="14.25" customHeight="1" x14ac:dyDescent="0.2">
      <c r="E128" s="19" t="s">
        <v>1979</v>
      </c>
    </row>
    <row r="129" spans="5:5" ht="14.25" customHeight="1" x14ac:dyDescent="0.2">
      <c r="E129" s="19" t="s">
        <v>1979</v>
      </c>
    </row>
    <row r="130" spans="5:5" ht="14.25" customHeight="1" x14ac:dyDescent="0.2">
      <c r="E130" s="19" t="s">
        <v>1979</v>
      </c>
    </row>
    <row r="131" spans="5:5" ht="14.25" customHeight="1" x14ac:dyDescent="0.2">
      <c r="E131" s="19" t="s">
        <v>1979</v>
      </c>
    </row>
    <row r="132" spans="5:5" ht="14.25" customHeight="1" x14ac:dyDescent="0.2">
      <c r="E132" s="19" t="s">
        <v>1979</v>
      </c>
    </row>
    <row r="133" spans="5:5" ht="14.25" customHeight="1" x14ac:dyDescent="0.2">
      <c r="E133" s="19" t="s">
        <v>1979</v>
      </c>
    </row>
    <row r="134" spans="5:5" ht="14.25" customHeight="1" x14ac:dyDescent="0.2">
      <c r="E134" s="19" t="s">
        <v>1979</v>
      </c>
    </row>
    <row r="135" spans="5:5" ht="14.25" customHeight="1" x14ac:dyDescent="0.2">
      <c r="E135" s="19" t="s">
        <v>1979</v>
      </c>
    </row>
    <row r="136" spans="5:5" ht="14.25" customHeight="1" x14ac:dyDescent="0.2">
      <c r="E136" s="19" t="s">
        <v>1979</v>
      </c>
    </row>
    <row r="137" spans="5:5" ht="14.25" customHeight="1" x14ac:dyDescent="0.2">
      <c r="E137" s="19" t="s">
        <v>1979</v>
      </c>
    </row>
    <row r="138" spans="5:5" ht="14.25" customHeight="1" x14ac:dyDescent="0.2">
      <c r="E138" s="19" t="s">
        <v>1979</v>
      </c>
    </row>
    <row r="139" spans="5:5" ht="14.25" customHeight="1" x14ac:dyDescent="0.2">
      <c r="E139" s="19" t="s">
        <v>1979</v>
      </c>
    </row>
    <row r="140" spans="5:5" ht="14.25" customHeight="1" x14ac:dyDescent="0.2">
      <c r="E140" s="19" t="s">
        <v>1979</v>
      </c>
    </row>
    <row r="141" spans="5:5" ht="14.25" customHeight="1" x14ac:dyDescent="0.2">
      <c r="E141" s="19" t="s">
        <v>1979</v>
      </c>
    </row>
    <row r="142" spans="5:5" ht="14.25" customHeight="1" x14ac:dyDescent="0.2">
      <c r="E142" s="19" t="s">
        <v>1979</v>
      </c>
    </row>
    <row r="143" spans="5:5" ht="14.25" customHeight="1" x14ac:dyDescent="0.2">
      <c r="E143" s="19" t="s">
        <v>1979</v>
      </c>
    </row>
    <row r="144" spans="5:5" ht="14.25" customHeight="1" x14ac:dyDescent="0.2">
      <c r="E144" s="19" t="s">
        <v>1979</v>
      </c>
    </row>
    <row r="145" spans="5:5" ht="14.25" customHeight="1" x14ac:dyDescent="0.2">
      <c r="E145" s="19" t="s">
        <v>1979</v>
      </c>
    </row>
    <row r="146" spans="5:5" ht="14.25" customHeight="1" x14ac:dyDescent="0.2">
      <c r="E146" s="19" t="s">
        <v>1979</v>
      </c>
    </row>
    <row r="147" spans="5:5" ht="14.25" customHeight="1" x14ac:dyDescent="0.2">
      <c r="E147" s="19" t="s">
        <v>1979</v>
      </c>
    </row>
    <row r="148" spans="5:5" ht="14.25" customHeight="1" x14ac:dyDescent="0.2">
      <c r="E148" s="19" t="s">
        <v>1979</v>
      </c>
    </row>
    <row r="149" spans="5:5" ht="14.25" customHeight="1" x14ac:dyDescent="0.2">
      <c r="E149" s="19" t="s">
        <v>1979</v>
      </c>
    </row>
    <row r="150" spans="5:5" ht="14.25" customHeight="1" x14ac:dyDescent="0.2">
      <c r="E150" s="19" t="s">
        <v>1979</v>
      </c>
    </row>
    <row r="151" spans="5:5" ht="14.25" customHeight="1" x14ac:dyDescent="0.2">
      <c r="E151" s="19" t="s">
        <v>1979</v>
      </c>
    </row>
    <row r="152" spans="5:5" ht="14.25" customHeight="1" x14ac:dyDescent="0.2">
      <c r="E152" s="19" t="s">
        <v>1979</v>
      </c>
    </row>
    <row r="153" spans="5:5" ht="14.25" customHeight="1" x14ac:dyDescent="0.2">
      <c r="E153" s="19" t="s">
        <v>1979</v>
      </c>
    </row>
    <row r="154" spans="5:5" ht="14.25" customHeight="1" x14ac:dyDescent="0.2">
      <c r="E154" s="19" t="s">
        <v>1979</v>
      </c>
    </row>
    <row r="155" spans="5:5" ht="14.25" customHeight="1" x14ac:dyDescent="0.2">
      <c r="E155" s="19" t="s">
        <v>1979</v>
      </c>
    </row>
    <row r="156" spans="5:5" ht="14.25" customHeight="1" x14ac:dyDescent="0.2">
      <c r="E156" s="19" t="s">
        <v>1979</v>
      </c>
    </row>
    <row r="157" spans="5:5" ht="14.25" customHeight="1" x14ac:dyDescent="0.2">
      <c r="E157" s="19" t="s">
        <v>1979</v>
      </c>
    </row>
    <row r="158" spans="5:5" ht="14.25" customHeight="1" x14ac:dyDescent="0.2">
      <c r="E158" s="19" t="s">
        <v>1979</v>
      </c>
    </row>
    <row r="159" spans="5:5" ht="14.25" customHeight="1" x14ac:dyDescent="0.2">
      <c r="E159" s="19" t="s">
        <v>1979</v>
      </c>
    </row>
    <row r="160" spans="5:5" ht="14.25" customHeight="1" x14ac:dyDescent="0.2">
      <c r="E160" s="19" t="s">
        <v>1979</v>
      </c>
    </row>
    <row r="161" spans="5:5" ht="14.25" customHeight="1" x14ac:dyDescent="0.2">
      <c r="E161" s="19" t="s">
        <v>1979</v>
      </c>
    </row>
    <row r="162" spans="5:5" ht="14.25" customHeight="1" x14ac:dyDescent="0.2">
      <c r="E162" s="19" t="s">
        <v>1979</v>
      </c>
    </row>
    <row r="163" spans="5:5" ht="14.25" customHeight="1" x14ac:dyDescent="0.2">
      <c r="E163" s="19" t="s">
        <v>1979</v>
      </c>
    </row>
    <row r="164" spans="5:5" ht="14.25" customHeight="1" x14ac:dyDescent="0.2">
      <c r="E164" s="19" t="s">
        <v>1979</v>
      </c>
    </row>
    <row r="165" spans="5:5" ht="14.25" customHeight="1" x14ac:dyDescent="0.2">
      <c r="E165" s="19" t="s">
        <v>1979</v>
      </c>
    </row>
    <row r="166" spans="5:5" ht="14.25" customHeight="1" x14ac:dyDescent="0.2">
      <c r="E166" s="19" t="s">
        <v>1979</v>
      </c>
    </row>
    <row r="167" spans="5:5" ht="14.25" customHeight="1" x14ac:dyDescent="0.2">
      <c r="E167" s="19" t="s">
        <v>1979</v>
      </c>
    </row>
    <row r="168" spans="5:5" ht="14.25" customHeight="1" x14ac:dyDescent="0.2">
      <c r="E168" s="19" t="s">
        <v>1979</v>
      </c>
    </row>
    <row r="169" spans="5:5" ht="14.25" customHeight="1" x14ac:dyDescent="0.2">
      <c r="E169" s="19" t="s">
        <v>1979</v>
      </c>
    </row>
    <row r="170" spans="5:5" ht="14.25" customHeight="1" x14ac:dyDescent="0.2">
      <c r="E170" s="19" t="s">
        <v>1979</v>
      </c>
    </row>
    <row r="171" spans="5:5" ht="14.25" customHeight="1" x14ac:dyDescent="0.2">
      <c r="E171" s="19" t="s">
        <v>1979</v>
      </c>
    </row>
    <row r="172" spans="5:5" ht="14.25" customHeight="1" x14ac:dyDescent="0.2">
      <c r="E172" s="19" t="s">
        <v>1979</v>
      </c>
    </row>
    <row r="173" spans="5:5" ht="14.25" customHeight="1" x14ac:dyDescent="0.2">
      <c r="E173" s="19" t="s">
        <v>1979</v>
      </c>
    </row>
    <row r="174" spans="5:5" ht="14.25" customHeight="1" x14ac:dyDescent="0.2">
      <c r="E174" s="19" t="s">
        <v>1979</v>
      </c>
    </row>
    <row r="175" spans="5:5" ht="14.25" customHeight="1" x14ac:dyDescent="0.2">
      <c r="E175" s="19" t="s">
        <v>1979</v>
      </c>
    </row>
    <row r="176" spans="5:5" ht="14.25" customHeight="1" x14ac:dyDescent="0.2">
      <c r="E176" s="19" t="s">
        <v>1979</v>
      </c>
    </row>
    <row r="177" spans="5:5" ht="14.25" customHeight="1" x14ac:dyDescent="0.2">
      <c r="E177" s="19" t="s">
        <v>1979</v>
      </c>
    </row>
    <row r="178" spans="5:5" ht="14.25" customHeight="1" x14ac:dyDescent="0.2">
      <c r="E178" s="19" t="s">
        <v>1979</v>
      </c>
    </row>
    <row r="179" spans="5:5" ht="14.25" customHeight="1" x14ac:dyDescent="0.2">
      <c r="E179" s="19" t="s">
        <v>1979</v>
      </c>
    </row>
    <row r="180" spans="5:5" ht="14.25" customHeight="1" x14ac:dyDescent="0.2">
      <c r="E180" s="19" t="s">
        <v>1979</v>
      </c>
    </row>
    <row r="181" spans="5:5" ht="14.25" customHeight="1" x14ac:dyDescent="0.2">
      <c r="E181" s="19" t="s">
        <v>1979</v>
      </c>
    </row>
    <row r="182" spans="5:5" ht="14.25" customHeight="1" x14ac:dyDescent="0.2">
      <c r="E182" s="19" t="s">
        <v>1979</v>
      </c>
    </row>
    <row r="183" spans="5:5" ht="14.25" customHeight="1" x14ac:dyDescent="0.2">
      <c r="E183" s="19" t="s">
        <v>1979</v>
      </c>
    </row>
    <row r="184" spans="5:5" ht="14.25" customHeight="1" x14ac:dyDescent="0.2">
      <c r="E184" s="19" t="s">
        <v>1979</v>
      </c>
    </row>
    <row r="185" spans="5:5" ht="14.25" customHeight="1" x14ac:dyDescent="0.2">
      <c r="E185" s="19" t="s">
        <v>1979</v>
      </c>
    </row>
    <row r="186" spans="5:5" ht="14.25" customHeight="1" x14ac:dyDescent="0.2">
      <c r="E186" s="19" t="s">
        <v>1979</v>
      </c>
    </row>
    <row r="187" spans="5:5" ht="14.25" customHeight="1" x14ac:dyDescent="0.2">
      <c r="E187" s="19" t="s">
        <v>1979</v>
      </c>
    </row>
    <row r="188" spans="5:5" ht="14.25" customHeight="1" x14ac:dyDescent="0.2">
      <c r="E188" s="19" t="s">
        <v>1979</v>
      </c>
    </row>
    <row r="189" spans="5:5" ht="14.25" customHeight="1" x14ac:dyDescent="0.2">
      <c r="E189" s="19" t="s">
        <v>1979</v>
      </c>
    </row>
    <row r="190" spans="5:5" ht="14.25" customHeight="1" x14ac:dyDescent="0.2">
      <c r="E190" s="19" t="s">
        <v>1979</v>
      </c>
    </row>
    <row r="191" spans="5:5" ht="14.25" customHeight="1" x14ac:dyDescent="0.2">
      <c r="E191" s="19" t="s">
        <v>1979</v>
      </c>
    </row>
    <row r="192" spans="5:5" ht="14.25" customHeight="1" x14ac:dyDescent="0.2">
      <c r="E192" s="19" t="s">
        <v>1979</v>
      </c>
    </row>
    <row r="193" spans="5:5" ht="14.25" customHeight="1" x14ac:dyDescent="0.2">
      <c r="E193" s="19" t="s">
        <v>1979</v>
      </c>
    </row>
    <row r="194" spans="5:5" ht="14.25" customHeight="1" x14ac:dyDescent="0.2">
      <c r="E194" s="19" t="s">
        <v>1979</v>
      </c>
    </row>
    <row r="195" spans="5:5" ht="14.25" customHeight="1" x14ac:dyDescent="0.2">
      <c r="E195" s="19" t="s">
        <v>1979</v>
      </c>
    </row>
    <row r="196" spans="5:5" ht="14.25" customHeight="1" x14ac:dyDescent="0.2">
      <c r="E196" s="19" t="s">
        <v>1979</v>
      </c>
    </row>
    <row r="197" spans="5:5" ht="14.25" customHeight="1" x14ac:dyDescent="0.2">
      <c r="E197" s="19" t="s">
        <v>1979</v>
      </c>
    </row>
    <row r="198" spans="5:5" ht="14.25" customHeight="1" x14ac:dyDescent="0.2">
      <c r="E198" s="19" t="s">
        <v>1979</v>
      </c>
    </row>
    <row r="199" spans="5:5" ht="14.25" customHeight="1" x14ac:dyDescent="0.2">
      <c r="E199" s="19" t="s">
        <v>1979</v>
      </c>
    </row>
    <row r="200" spans="5:5" ht="14.25" customHeight="1" x14ac:dyDescent="0.2">
      <c r="E200" s="19" t="s">
        <v>1979</v>
      </c>
    </row>
    <row r="201" spans="5:5" ht="14.25" customHeight="1" x14ac:dyDescent="0.2">
      <c r="E201" s="19" t="s">
        <v>1979</v>
      </c>
    </row>
    <row r="202" spans="5:5" ht="14.25" customHeight="1" x14ac:dyDescent="0.2">
      <c r="E202" s="19" t="s">
        <v>1979</v>
      </c>
    </row>
    <row r="203" spans="5:5" ht="14.25" customHeight="1" x14ac:dyDescent="0.2">
      <c r="E203" s="19" t="s">
        <v>1979</v>
      </c>
    </row>
    <row r="204" spans="5:5" ht="14.25" customHeight="1" x14ac:dyDescent="0.2">
      <c r="E204" s="19" t="s">
        <v>1979</v>
      </c>
    </row>
    <row r="205" spans="5:5" ht="14.25" customHeight="1" x14ac:dyDescent="0.2">
      <c r="E205" s="19" t="s">
        <v>1979</v>
      </c>
    </row>
    <row r="206" spans="5:5" ht="14.25" customHeight="1" x14ac:dyDescent="0.2">
      <c r="E206" s="19" t="s">
        <v>1979</v>
      </c>
    </row>
    <row r="207" spans="5:5" ht="14.25" customHeight="1" x14ac:dyDescent="0.2">
      <c r="E207" s="19" t="s">
        <v>1979</v>
      </c>
    </row>
    <row r="208" spans="5:5" ht="14.25" customHeight="1" x14ac:dyDescent="0.2">
      <c r="E208" s="19" t="s">
        <v>1979</v>
      </c>
    </row>
    <row r="209" spans="5:5" ht="14.25" customHeight="1" x14ac:dyDescent="0.2">
      <c r="E209" s="19" t="s">
        <v>1979</v>
      </c>
    </row>
    <row r="210" spans="5:5" ht="14.25" customHeight="1" x14ac:dyDescent="0.2">
      <c r="E210" s="19" t="s">
        <v>1979</v>
      </c>
    </row>
    <row r="211" spans="5:5" ht="14.25" customHeight="1" x14ac:dyDescent="0.2">
      <c r="E211" s="19" t="s">
        <v>1979</v>
      </c>
    </row>
    <row r="212" spans="5:5" ht="14.25" customHeight="1" x14ac:dyDescent="0.2">
      <c r="E212" s="19" t="s">
        <v>1979</v>
      </c>
    </row>
    <row r="213" spans="5:5" ht="14.25" customHeight="1" x14ac:dyDescent="0.2">
      <c r="E213" s="19" t="s">
        <v>1979</v>
      </c>
    </row>
    <row r="214" spans="5:5" ht="14.25" customHeight="1" x14ac:dyDescent="0.2">
      <c r="E214" s="19" t="s">
        <v>1979</v>
      </c>
    </row>
    <row r="215" spans="5:5" ht="14.25" customHeight="1" x14ac:dyDescent="0.2">
      <c r="E215" s="19" t="s">
        <v>1979</v>
      </c>
    </row>
    <row r="216" spans="5:5" ht="14.25" customHeight="1" x14ac:dyDescent="0.2">
      <c r="E216" s="19" t="s">
        <v>1979</v>
      </c>
    </row>
    <row r="217" spans="5:5" ht="14.25" customHeight="1" x14ac:dyDescent="0.2">
      <c r="E217" s="19" t="s">
        <v>1979</v>
      </c>
    </row>
    <row r="218" spans="5:5" ht="14.25" customHeight="1" x14ac:dyDescent="0.2">
      <c r="E218" s="19" t="s">
        <v>1979</v>
      </c>
    </row>
    <row r="219" spans="5:5" ht="14.25" customHeight="1" x14ac:dyDescent="0.2">
      <c r="E219" s="19" t="s">
        <v>1979</v>
      </c>
    </row>
    <row r="220" spans="5:5" ht="14.25" customHeight="1" x14ac:dyDescent="0.2">
      <c r="E220" s="19" t="s">
        <v>1979</v>
      </c>
    </row>
    <row r="221" spans="5:5" ht="14.25" customHeight="1" x14ac:dyDescent="0.2">
      <c r="E221" s="19" t="s">
        <v>1979</v>
      </c>
    </row>
    <row r="222" spans="5:5" ht="14.25" customHeight="1" x14ac:dyDescent="0.2">
      <c r="E222" s="19" t="s">
        <v>1979</v>
      </c>
    </row>
    <row r="223" spans="5:5" ht="14.25" customHeight="1" x14ac:dyDescent="0.2">
      <c r="E223" s="19" t="s">
        <v>1979</v>
      </c>
    </row>
    <row r="224" spans="5:5" ht="14.25" customHeight="1" x14ac:dyDescent="0.2">
      <c r="E224" s="19" t="s">
        <v>1979</v>
      </c>
    </row>
    <row r="225" spans="5:5" ht="14.25" customHeight="1" x14ac:dyDescent="0.2">
      <c r="E225" s="19" t="s">
        <v>1979</v>
      </c>
    </row>
    <row r="226" spans="5:5" ht="14.25" customHeight="1" x14ac:dyDescent="0.2">
      <c r="E226" s="19" t="s">
        <v>1979</v>
      </c>
    </row>
    <row r="227" spans="5:5" ht="14.25" customHeight="1" x14ac:dyDescent="0.2">
      <c r="E227" s="19" t="s">
        <v>1979</v>
      </c>
    </row>
    <row r="228" spans="5:5" ht="14.25" customHeight="1" x14ac:dyDescent="0.2">
      <c r="E228" s="19" t="s">
        <v>1979</v>
      </c>
    </row>
    <row r="229" spans="5:5" ht="14.25" customHeight="1" x14ac:dyDescent="0.2">
      <c r="E229" s="19" t="s">
        <v>1979</v>
      </c>
    </row>
    <row r="230" spans="5:5" ht="14.25" customHeight="1" x14ac:dyDescent="0.2">
      <c r="E230" s="19" t="s">
        <v>1979</v>
      </c>
    </row>
    <row r="231" spans="5:5" ht="14.25" customHeight="1" x14ac:dyDescent="0.2">
      <c r="E231" s="19" t="s">
        <v>1979</v>
      </c>
    </row>
    <row r="232" spans="5:5" ht="14.25" customHeight="1" x14ac:dyDescent="0.2">
      <c r="E232" s="19" t="s">
        <v>1979</v>
      </c>
    </row>
    <row r="233" spans="5:5" ht="14.25" customHeight="1" x14ac:dyDescent="0.2">
      <c r="E233" s="19" t="s">
        <v>1979</v>
      </c>
    </row>
    <row r="234" spans="5:5" ht="14.25" customHeight="1" x14ac:dyDescent="0.2">
      <c r="E234" s="19" t="s">
        <v>1979</v>
      </c>
    </row>
    <row r="235" spans="5:5" ht="14.25" customHeight="1" x14ac:dyDescent="0.2">
      <c r="E235" s="19" t="s">
        <v>1979</v>
      </c>
    </row>
    <row r="236" spans="5:5" ht="14.25" customHeight="1" x14ac:dyDescent="0.2">
      <c r="E236" s="19" t="s">
        <v>1979</v>
      </c>
    </row>
    <row r="237" spans="5:5" ht="14.25" customHeight="1" x14ac:dyDescent="0.2">
      <c r="E237" s="19" t="s">
        <v>1979</v>
      </c>
    </row>
    <row r="238" spans="5:5" ht="14.25" customHeight="1" x14ac:dyDescent="0.2">
      <c r="E238" s="19" t="s">
        <v>1979</v>
      </c>
    </row>
    <row r="239" spans="5:5" ht="14.25" customHeight="1" x14ac:dyDescent="0.2">
      <c r="E239" s="19" t="s">
        <v>1979</v>
      </c>
    </row>
    <row r="240" spans="5:5" ht="14.25" customHeight="1" x14ac:dyDescent="0.2">
      <c r="E240" s="19" t="s">
        <v>1979</v>
      </c>
    </row>
    <row r="241" spans="5:5" ht="14.25" customHeight="1" x14ac:dyDescent="0.2">
      <c r="E241" s="19" t="s">
        <v>1979</v>
      </c>
    </row>
    <row r="242" spans="5:5" ht="14.25" customHeight="1" x14ac:dyDescent="0.2">
      <c r="E242" s="19" t="s">
        <v>1979</v>
      </c>
    </row>
    <row r="243" spans="5:5" ht="14.25" customHeight="1" x14ac:dyDescent="0.2">
      <c r="E243" s="19" t="s">
        <v>1979</v>
      </c>
    </row>
    <row r="244" spans="5:5" ht="14.25" customHeight="1" x14ac:dyDescent="0.2">
      <c r="E244" s="19" t="s">
        <v>1979</v>
      </c>
    </row>
    <row r="245" spans="5:5" ht="14.25" customHeight="1" x14ac:dyDescent="0.2">
      <c r="E245" s="19" t="s">
        <v>1979</v>
      </c>
    </row>
    <row r="246" spans="5:5" ht="14.25" customHeight="1" x14ac:dyDescent="0.2">
      <c r="E246" s="19" t="s">
        <v>1979</v>
      </c>
    </row>
    <row r="247" spans="5:5" ht="14.25" customHeight="1" x14ac:dyDescent="0.2">
      <c r="E247" s="19" t="s">
        <v>1979</v>
      </c>
    </row>
    <row r="248" spans="5:5" ht="14.25" customHeight="1" x14ac:dyDescent="0.2">
      <c r="E248" s="19" t="s">
        <v>1979</v>
      </c>
    </row>
    <row r="249" spans="5:5" ht="14.25" customHeight="1" x14ac:dyDescent="0.2">
      <c r="E249" s="19" t="s">
        <v>1979</v>
      </c>
    </row>
    <row r="250" spans="5:5" ht="14.25" customHeight="1" x14ac:dyDescent="0.2">
      <c r="E250" s="19" t="s">
        <v>1979</v>
      </c>
    </row>
    <row r="251" spans="5:5" ht="14.25" customHeight="1" x14ac:dyDescent="0.2">
      <c r="E251" s="19" t="s">
        <v>1979</v>
      </c>
    </row>
    <row r="252" spans="5:5" ht="14.25" customHeight="1" x14ac:dyDescent="0.2">
      <c r="E252" s="19" t="s">
        <v>1979</v>
      </c>
    </row>
    <row r="253" spans="5:5" ht="14.25" customHeight="1" x14ac:dyDescent="0.2">
      <c r="E253" s="19" t="s">
        <v>1979</v>
      </c>
    </row>
    <row r="254" spans="5:5" ht="14.25" customHeight="1" x14ac:dyDescent="0.2">
      <c r="E254" s="19" t="s">
        <v>1979</v>
      </c>
    </row>
    <row r="255" spans="5:5" ht="14.25" customHeight="1" x14ac:dyDescent="0.2">
      <c r="E255" s="19" t="s">
        <v>1979</v>
      </c>
    </row>
    <row r="256" spans="5:5" ht="14.25" customHeight="1" x14ac:dyDescent="0.2">
      <c r="E256" s="19" t="s">
        <v>1979</v>
      </c>
    </row>
    <row r="257" spans="5:5" ht="14.25" customHeight="1" x14ac:dyDescent="0.2">
      <c r="E257" s="19" t="s">
        <v>1979</v>
      </c>
    </row>
    <row r="258" spans="5:5" ht="14.25" customHeight="1" x14ac:dyDescent="0.2">
      <c r="E258" s="19" t="s">
        <v>1979</v>
      </c>
    </row>
    <row r="259" spans="5:5" ht="14.25" customHeight="1" x14ac:dyDescent="0.2">
      <c r="E259" s="19" t="s">
        <v>1979</v>
      </c>
    </row>
    <row r="260" spans="5:5" ht="14.25" customHeight="1" x14ac:dyDescent="0.2">
      <c r="E260" s="19" t="s">
        <v>1979</v>
      </c>
    </row>
    <row r="261" spans="5:5" ht="14.25" customHeight="1" x14ac:dyDescent="0.2">
      <c r="E261" s="19" t="s">
        <v>1979</v>
      </c>
    </row>
    <row r="262" spans="5:5" ht="14.25" customHeight="1" x14ac:dyDescent="0.2">
      <c r="E262" s="19" t="s">
        <v>1979</v>
      </c>
    </row>
    <row r="263" spans="5:5" ht="14.25" customHeight="1" x14ac:dyDescent="0.2">
      <c r="E263" s="19" t="s">
        <v>1979</v>
      </c>
    </row>
    <row r="264" spans="5:5" ht="14.25" customHeight="1" x14ac:dyDescent="0.2">
      <c r="E264" s="19" t="s">
        <v>1979</v>
      </c>
    </row>
    <row r="265" spans="5:5" ht="14.25" customHeight="1" x14ac:dyDescent="0.2">
      <c r="E265" s="19" t="s">
        <v>1979</v>
      </c>
    </row>
    <row r="266" spans="5:5" ht="14.25" customHeight="1" x14ac:dyDescent="0.2">
      <c r="E266" s="19" t="s">
        <v>1979</v>
      </c>
    </row>
    <row r="267" spans="5:5" ht="14.25" customHeight="1" x14ac:dyDescent="0.2">
      <c r="E267" s="19" t="s">
        <v>1979</v>
      </c>
    </row>
    <row r="268" spans="5:5" ht="14.25" customHeight="1" x14ac:dyDescent="0.2">
      <c r="E268" s="19" t="s">
        <v>1979</v>
      </c>
    </row>
    <row r="269" spans="5:5" ht="14.25" customHeight="1" x14ac:dyDescent="0.2">
      <c r="E269" s="19" t="s">
        <v>1979</v>
      </c>
    </row>
    <row r="270" spans="5:5" ht="14.25" customHeight="1" x14ac:dyDescent="0.2">
      <c r="E270" s="19" t="s">
        <v>1979</v>
      </c>
    </row>
    <row r="271" spans="5:5" ht="14.25" customHeight="1" x14ac:dyDescent="0.2">
      <c r="E271" s="19" t="s">
        <v>1979</v>
      </c>
    </row>
    <row r="272" spans="5:5" ht="14.25" customHeight="1" x14ac:dyDescent="0.2">
      <c r="E272" s="19" t="s">
        <v>1979</v>
      </c>
    </row>
    <row r="273" spans="5:5" ht="14.25" customHeight="1" x14ac:dyDescent="0.2">
      <c r="E273" s="19" t="s">
        <v>1979</v>
      </c>
    </row>
    <row r="274" spans="5:5" ht="14.25" customHeight="1" x14ac:dyDescent="0.2">
      <c r="E274" s="19" t="s">
        <v>1979</v>
      </c>
    </row>
    <row r="275" spans="5:5" ht="14.25" customHeight="1" x14ac:dyDescent="0.2">
      <c r="E275" s="19" t="s">
        <v>1979</v>
      </c>
    </row>
    <row r="276" spans="5:5" ht="14.25" customHeight="1" x14ac:dyDescent="0.2">
      <c r="E276" s="19" t="s">
        <v>1979</v>
      </c>
    </row>
    <row r="277" spans="5:5" ht="14.25" customHeight="1" x14ac:dyDescent="0.2">
      <c r="E277" s="19" t="s">
        <v>1979</v>
      </c>
    </row>
    <row r="278" spans="5:5" ht="14.25" customHeight="1" x14ac:dyDescent="0.2">
      <c r="E278" s="19" t="s">
        <v>1979</v>
      </c>
    </row>
    <row r="279" spans="5:5" ht="14.25" customHeight="1" x14ac:dyDescent="0.2">
      <c r="E279" s="19" t="s">
        <v>1979</v>
      </c>
    </row>
    <row r="280" spans="5:5" ht="14.25" customHeight="1" x14ac:dyDescent="0.2">
      <c r="E280" s="19" t="s">
        <v>1979</v>
      </c>
    </row>
    <row r="281" spans="5:5" ht="14.25" customHeight="1" x14ac:dyDescent="0.2">
      <c r="E281" s="19" t="s">
        <v>1979</v>
      </c>
    </row>
    <row r="282" spans="5:5" ht="14.25" customHeight="1" x14ac:dyDescent="0.2">
      <c r="E282" s="19" t="s">
        <v>1979</v>
      </c>
    </row>
    <row r="283" spans="5:5" ht="14.25" customHeight="1" x14ac:dyDescent="0.2">
      <c r="E283" s="19" t="s">
        <v>1979</v>
      </c>
    </row>
    <row r="284" spans="5:5" ht="14.25" customHeight="1" x14ac:dyDescent="0.2">
      <c r="E284" s="19" t="s">
        <v>1979</v>
      </c>
    </row>
    <row r="285" spans="5:5" ht="14.25" customHeight="1" x14ac:dyDescent="0.2">
      <c r="E285" s="19" t="s">
        <v>1979</v>
      </c>
    </row>
    <row r="286" spans="5:5" ht="14.25" customHeight="1" x14ac:dyDescent="0.2">
      <c r="E286" s="19" t="s">
        <v>1979</v>
      </c>
    </row>
    <row r="287" spans="5:5" ht="14.25" customHeight="1" x14ac:dyDescent="0.2">
      <c r="E287" s="19" t="s">
        <v>1979</v>
      </c>
    </row>
    <row r="288" spans="5:5" ht="14.25" customHeight="1" x14ac:dyDescent="0.2">
      <c r="E288" s="19" t="s">
        <v>1979</v>
      </c>
    </row>
    <row r="289" spans="5:5" ht="14.25" customHeight="1" x14ac:dyDescent="0.2">
      <c r="E289" s="19" t="s">
        <v>1979</v>
      </c>
    </row>
    <row r="290" spans="5:5" ht="14.25" customHeight="1" x14ac:dyDescent="0.2">
      <c r="E290" s="19" t="s">
        <v>1979</v>
      </c>
    </row>
    <row r="291" spans="5:5" ht="14.25" customHeight="1" x14ac:dyDescent="0.2">
      <c r="E291" s="19" t="s">
        <v>1979</v>
      </c>
    </row>
    <row r="292" spans="5:5" ht="14.25" customHeight="1" x14ac:dyDescent="0.2">
      <c r="E292" s="19" t="s">
        <v>1979</v>
      </c>
    </row>
    <row r="293" spans="5:5" ht="14.25" customHeight="1" x14ac:dyDescent="0.2">
      <c r="E293" s="19" t="s">
        <v>1979</v>
      </c>
    </row>
    <row r="294" spans="5:5" ht="14.25" customHeight="1" x14ac:dyDescent="0.2">
      <c r="E294" s="19" t="s">
        <v>1979</v>
      </c>
    </row>
    <row r="295" spans="5:5" ht="14.25" customHeight="1" x14ac:dyDescent="0.2">
      <c r="E295" s="19" t="s">
        <v>1979</v>
      </c>
    </row>
    <row r="296" spans="5:5" ht="14.25" customHeight="1" x14ac:dyDescent="0.2">
      <c r="E296" s="19" t="s">
        <v>1979</v>
      </c>
    </row>
    <row r="297" spans="5:5" ht="14.25" customHeight="1" x14ac:dyDescent="0.2">
      <c r="E297" s="19" t="s">
        <v>1979</v>
      </c>
    </row>
    <row r="298" spans="5:5" ht="14.25" customHeight="1" x14ac:dyDescent="0.2">
      <c r="E298" s="19" t="s">
        <v>1979</v>
      </c>
    </row>
    <row r="299" spans="5:5" ht="14.25" customHeight="1" x14ac:dyDescent="0.2">
      <c r="E299" s="19" t="s">
        <v>1979</v>
      </c>
    </row>
    <row r="300" spans="5:5" ht="14.25" customHeight="1" x14ac:dyDescent="0.2">
      <c r="E300" s="19" t="s">
        <v>1979</v>
      </c>
    </row>
    <row r="301" spans="5:5" ht="14.25" customHeight="1" x14ac:dyDescent="0.2">
      <c r="E301" s="19" t="s">
        <v>1979</v>
      </c>
    </row>
    <row r="302" spans="5:5" ht="14.25" customHeight="1" x14ac:dyDescent="0.2">
      <c r="E302" s="19" t="s">
        <v>1979</v>
      </c>
    </row>
    <row r="303" spans="5:5" ht="14.25" customHeight="1" x14ac:dyDescent="0.2">
      <c r="E303" s="19" t="s">
        <v>1979</v>
      </c>
    </row>
    <row r="304" spans="5:5" ht="14.25" customHeight="1" x14ac:dyDescent="0.2">
      <c r="E304" s="19" t="s">
        <v>1979</v>
      </c>
    </row>
    <row r="305" spans="5:5" ht="14.25" customHeight="1" x14ac:dyDescent="0.2">
      <c r="E305" s="19" t="s">
        <v>1979</v>
      </c>
    </row>
    <row r="306" spans="5:5" ht="14.25" customHeight="1" x14ac:dyDescent="0.2">
      <c r="E306" s="19" t="s">
        <v>1979</v>
      </c>
    </row>
    <row r="307" spans="5:5" ht="14.25" customHeight="1" x14ac:dyDescent="0.2">
      <c r="E307" s="19" t="s">
        <v>1979</v>
      </c>
    </row>
    <row r="308" spans="5:5" ht="14.25" customHeight="1" x14ac:dyDescent="0.2">
      <c r="E308" s="19" t="s">
        <v>1979</v>
      </c>
    </row>
    <row r="309" spans="5:5" ht="14.25" customHeight="1" x14ac:dyDescent="0.2">
      <c r="E309" s="19" t="s">
        <v>1979</v>
      </c>
    </row>
    <row r="310" spans="5:5" ht="14.25" customHeight="1" x14ac:dyDescent="0.2">
      <c r="E310" s="19" t="s">
        <v>1979</v>
      </c>
    </row>
    <row r="311" spans="5:5" ht="14.25" customHeight="1" x14ac:dyDescent="0.2">
      <c r="E311" s="19" t="s">
        <v>1979</v>
      </c>
    </row>
    <row r="312" spans="5:5" ht="14.25" customHeight="1" x14ac:dyDescent="0.2">
      <c r="E312" s="19" t="s">
        <v>1979</v>
      </c>
    </row>
    <row r="313" spans="5:5" ht="14.25" customHeight="1" x14ac:dyDescent="0.2">
      <c r="E313" s="19" t="s">
        <v>1979</v>
      </c>
    </row>
    <row r="314" spans="5:5" ht="14.25" customHeight="1" x14ac:dyDescent="0.2">
      <c r="E314" s="19" t="s">
        <v>1979</v>
      </c>
    </row>
    <row r="315" spans="5:5" ht="14.25" customHeight="1" x14ac:dyDescent="0.2">
      <c r="E315" s="19" t="s">
        <v>1979</v>
      </c>
    </row>
    <row r="316" spans="5:5" ht="14.25" customHeight="1" x14ac:dyDescent="0.2">
      <c r="E316" s="19" t="s">
        <v>1979</v>
      </c>
    </row>
    <row r="317" spans="5:5" ht="14.25" customHeight="1" x14ac:dyDescent="0.2">
      <c r="E317" s="19" t="s">
        <v>1979</v>
      </c>
    </row>
    <row r="318" spans="5:5" ht="14.25" customHeight="1" x14ac:dyDescent="0.2">
      <c r="E318" s="19" t="s">
        <v>1979</v>
      </c>
    </row>
    <row r="319" spans="5:5" ht="14.25" customHeight="1" x14ac:dyDescent="0.2">
      <c r="E319" s="19" t="s">
        <v>1979</v>
      </c>
    </row>
    <row r="320" spans="5:5" ht="14.25" customHeight="1" x14ac:dyDescent="0.2">
      <c r="E320" s="19" t="s">
        <v>1979</v>
      </c>
    </row>
    <row r="321" spans="5:5" ht="14.25" customHeight="1" x14ac:dyDescent="0.2">
      <c r="E321" s="19" t="s">
        <v>1979</v>
      </c>
    </row>
    <row r="322" spans="5:5" ht="14.25" customHeight="1" x14ac:dyDescent="0.2">
      <c r="E322" s="19" t="s">
        <v>1979</v>
      </c>
    </row>
    <row r="323" spans="5:5" ht="14.25" customHeight="1" x14ac:dyDescent="0.2">
      <c r="E323" s="19" t="s">
        <v>1979</v>
      </c>
    </row>
    <row r="324" spans="5:5" ht="14.25" customHeight="1" x14ac:dyDescent="0.2">
      <c r="E324" s="19" t="s">
        <v>1979</v>
      </c>
    </row>
    <row r="325" spans="5:5" ht="14.25" customHeight="1" x14ac:dyDescent="0.2">
      <c r="E325" s="19" t="s">
        <v>1979</v>
      </c>
    </row>
    <row r="326" spans="5:5" ht="14.25" customHeight="1" x14ac:dyDescent="0.2">
      <c r="E326" s="19" t="s">
        <v>1979</v>
      </c>
    </row>
    <row r="327" spans="5:5" ht="14.25" customHeight="1" x14ac:dyDescent="0.2">
      <c r="E327" s="19" t="s">
        <v>1979</v>
      </c>
    </row>
    <row r="328" spans="5:5" ht="14.25" customHeight="1" x14ac:dyDescent="0.2">
      <c r="E328" s="19" t="s">
        <v>1979</v>
      </c>
    </row>
    <row r="329" spans="5:5" ht="14.25" customHeight="1" x14ac:dyDescent="0.2">
      <c r="E329" s="19" t="s">
        <v>1979</v>
      </c>
    </row>
    <row r="330" spans="5:5" ht="14.25" customHeight="1" x14ac:dyDescent="0.2">
      <c r="E330" s="19" t="s">
        <v>1979</v>
      </c>
    </row>
    <row r="331" spans="5:5" ht="14.25" customHeight="1" x14ac:dyDescent="0.2">
      <c r="E331" s="19" t="s">
        <v>1979</v>
      </c>
    </row>
    <row r="332" spans="5:5" ht="14.25" customHeight="1" x14ac:dyDescent="0.2">
      <c r="E332" s="19" t="s">
        <v>1979</v>
      </c>
    </row>
    <row r="333" spans="5:5" ht="14.25" customHeight="1" x14ac:dyDescent="0.2">
      <c r="E333" s="19" t="s">
        <v>1979</v>
      </c>
    </row>
    <row r="334" spans="5:5" ht="14.25" customHeight="1" x14ac:dyDescent="0.2">
      <c r="E334" s="19" t="s">
        <v>1979</v>
      </c>
    </row>
    <row r="335" spans="5:5" ht="14.25" customHeight="1" x14ac:dyDescent="0.2">
      <c r="E335" s="19" t="s">
        <v>1979</v>
      </c>
    </row>
    <row r="336" spans="5:5" ht="14.25" customHeight="1" x14ac:dyDescent="0.2">
      <c r="E336" s="19" t="s">
        <v>1979</v>
      </c>
    </row>
    <row r="337" spans="5:5" ht="14.25" customHeight="1" x14ac:dyDescent="0.2">
      <c r="E337" s="19" t="s">
        <v>1979</v>
      </c>
    </row>
    <row r="338" spans="5:5" ht="14.25" customHeight="1" x14ac:dyDescent="0.2">
      <c r="E338" s="19" t="s">
        <v>1979</v>
      </c>
    </row>
    <row r="339" spans="5:5" ht="14.25" customHeight="1" x14ac:dyDescent="0.2">
      <c r="E339" s="19" t="s">
        <v>1979</v>
      </c>
    </row>
    <row r="340" spans="5:5" ht="14.25" customHeight="1" x14ac:dyDescent="0.2">
      <c r="E340" s="19" t="s">
        <v>1979</v>
      </c>
    </row>
    <row r="341" spans="5:5" ht="14.25" customHeight="1" x14ac:dyDescent="0.2">
      <c r="E341" s="19" t="s">
        <v>1979</v>
      </c>
    </row>
    <row r="342" spans="5:5" ht="14.25" customHeight="1" x14ac:dyDescent="0.2">
      <c r="E342" s="19" t="s">
        <v>1979</v>
      </c>
    </row>
    <row r="343" spans="5:5" ht="14.25" customHeight="1" x14ac:dyDescent="0.2">
      <c r="E343" s="19" t="s">
        <v>1979</v>
      </c>
    </row>
    <row r="344" spans="5:5" ht="14.25" customHeight="1" x14ac:dyDescent="0.2">
      <c r="E344" s="19" t="s">
        <v>1979</v>
      </c>
    </row>
    <row r="345" spans="5:5" ht="14.25" customHeight="1" x14ac:dyDescent="0.2">
      <c r="E345" s="19" t="s">
        <v>1979</v>
      </c>
    </row>
    <row r="346" spans="5:5" ht="14.25" customHeight="1" x14ac:dyDescent="0.2">
      <c r="E346" s="19" t="s">
        <v>1979</v>
      </c>
    </row>
    <row r="347" spans="5:5" ht="14.25" customHeight="1" x14ac:dyDescent="0.2">
      <c r="E347" s="19" t="s">
        <v>1979</v>
      </c>
    </row>
    <row r="348" spans="5:5" ht="14.25" customHeight="1" x14ac:dyDescent="0.2">
      <c r="E348" s="19" t="s">
        <v>1979</v>
      </c>
    </row>
    <row r="349" spans="5:5" ht="14.25" customHeight="1" x14ac:dyDescent="0.2">
      <c r="E349" s="19" t="s">
        <v>1979</v>
      </c>
    </row>
    <row r="350" spans="5:5" ht="14.25" customHeight="1" x14ac:dyDescent="0.2">
      <c r="E350" s="19" t="s">
        <v>1979</v>
      </c>
    </row>
    <row r="351" spans="5:5" ht="14.25" customHeight="1" x14ac:dyDescent="0.2">
      <c r="E351" s="19" t="s">
        <v>1979</v>
      </c>
    </row>
    <row r="352" spans="5:5" ht="14.25" customHeight="1" x14ac:dyDescent="0.2">
      <c r="E352" s="19" t="s">
        <v>1979</v>
      </c>
    </row>
    <row r="353" spans="5:5" ht="14.25" customHeight="1" x14ac:dyDescent="0.2">
      <c r="E353" s="19" t="s">
        <v>1979</v>
      </c>
    </row>
    <row r="354" spans="5:5" ht="14.25" customHeight="1" x14ac:dyDescent="0.2">
      <c r="E354" s="19" t="s">
        <v>1979</v>
      </c>
    </row>
    <row r="355" spans="5:5" ht="14.25" customHeight="1" x14ac:dyDescent="0.2">
      <c r="E355" s="19" t="s">
        <v>1979</v>
      </c>
    </row>
    <row r="356" spans="5:5" ht="14.25" customHeight="1" x14ac:dyDescent="0.2">
      <c r="E356" s="19" t="s">
        <v>1979</v>
      </c>
    </row>
    <row r="357" spans="5:5" ht="14.25" customHeight="1" x14ac:dyDescent="0.2">
      <c r="E357" s="19" t="s">
        <v>1979</v>
      </c>
    </row>
    <row r="358" spans="5:5" ht="14.25" customHeight="1" x14ac:dyDescent="0.2">
      <c r="E358" s="19" t="s">
        <v>1979</v>
      </c>
    </row>
    <row r="359" spans="5:5" ht="14.25" customHeight="1" x14ac:dyDescent="0.2">
      <c r="E359" s="19" t="s">
        <v>1979</v>
      </c>
    </row>
    <row r="360" spans="5:5" ht="14.25" customHeight="1" x14ac:dyDescent="0.2">
      <c r="E360" s="19" t="s">
        <v>1979</v>
      </c>
    </row>
    <row r="361" spans="5:5" ht="14.25" customHeight="1" x14ac:dyDescent="0.2">
      <c r="E361" s="19" t="s">
        <v>1979</v>
      </c>
    </row>
    <row r="362" spans="5:5" ht="14.25" customHeight="1" x14ac:dyDescent="0.2">
      <c r="E362" s="19" t="s">
        <v>1979</v>
      </c>
    </row>
    <row r="363" spans="5:5" ht="14.25" customHeight="1" x14ac:dyDescent="0.2">
      <c r="E363" s="19" t="s">
        <v>1979</v>
      </c>
    </row>
    <row r="364" spans="5:5" ht="14.25" customHeight="1" x14ac:dyDescent="0.2">
      <c r="E364" s="19" t="s">
        <v>1979</v>
      </c>
    </row>
    <row r="365" spans="5:5" ht="14.25" customHeight="1" x14ac:dyDescent="0.2">
      <c r="E365" s="19" t="s">
        <v>1979</v>
      </c>
    </row>
    <row r="366" spans="5:5" ht="14.25" customHeight="1" x14ac:dyDescent="0.2">
      <c r="E366" s="19" t="s">
        <v>1979</v>
      </c>
    </row>
    <row r="367" spans="5:5" ht="14.25" customHeight="1" x14ac:dyDescent="0.2">
      <c r="E367" s="19" t="s">
        <v>1979</v>
      </c>
    </row>
    <row r="368" spans="5:5" ht="14.25" customHeight="1" x14ac:dyDescent="0.2">
      <c r="E368" s="19" t="s">
        <v>1979</v>
      </c>
    </row>
    <row r="369" spans="5:5" ht="14.25" customHeight="1" x14ac:dyDescent="0.2">
      <c r="E369" s="19" t="s">
        <v>1979</v>
      </c>
    </row>
    <row r="370" spans="5:5" ht="14.25" customHeight="1" x14ac:dyDescent="0.2">
      <c r="E370" s="19" t="s">
        <v>1979</v>
      </c>
    </row>
    <row r="371" spans="5:5" ht="14.25" customHeight="1" x14ac:dyDescent="0.2">
      <c r="E371" s="19" t="s">
        <v>1979</v>
      </c>
    </row>
    <row r="372" spans="5:5" ht="14.25" customHeight="1" x14ac:dyDescent="0.2">
      <c r="E372" s="19" t="s">
        <v>1979</v>
      </c>
    </row>
    <row r="373" spans="5:5" ht="14.25" customHeight="1" x14ac:dyDescent="0.2">
      <c r="E373" s="19" t="s">
        <v>1979</v>
      </c>
    </row>
    <row r="374" spans="5:5" ht="14.25" customHeight="1" x14ac:dyDescent="0.2">
      <c r="E374" s="19" t="s">
        <v>1979</v>
      </c>
    </row>
    <row r="375" spans="5:5" ht="14.25" customHeight="1" x14ac:dyDescent="0.2">
      <c r="E375" s="19" t="s">
        <v>1979</v>
      </c>
    </row>
    <row r="376" spans="5:5" ht="14.25" customHeight="1" x14ac:dyDescent="0.2">
      <c r="E376" s="19" t="s">
        <v>1979</v>
      </c>
    </row>
    <row r="377" spans="5:5" ht="14.25" customHeight="1" x14ac:dyDescent="0.2">
      <c r="E377" s="19" t="s">
        <v>1979</v>
      </c>
    </row>
    <row r="378" spans="5:5" ht="14.25" customHeight="1" x14ac:dyDescent="0.2">
      <c r="E378" s="19" t="s">
        <v>1979</v>
      </c>
    </row>
    <row r="379" spans="5:5" ht="14.25" customHeight="1" x14ac:dyDescent="0.2">
      <c r="E379" s="19" t="s">
        <v>1979</v>
      </c>
    </row>
    <row r="380" spans="5:5" ht="14.25" customHeight="1" x14ac:dyDescent="0.2">
      <c r="E380" s="19" t="s">
        <v>1979</v>
      </c>
    </row>
    <row r="381" spans="5:5" ht="14.25" customHeight="1" x14ac:dyDescent="0.2">
      <c r="E381" s="19" t="s">
        <v>1979</v>
      </c>
    </row>
    <row r="382" spans="5:5" ht="14.25" customHeight="1" x14ac:dyDescent="0.2">
      <c r="E382" s="19" t="s">
        <v>1979</v>
      </c>
    </row>
    <row r="383" spans="5:5" ht="14.25" customHeight="1" x14ac:dyDescent="0.2">
      <c r="E383" s="19" t="s">
        <v>1979</v>
      </c>
    </row>
    <row r="384" spans="5:5" ht="14.25" customHeight="1" x14ac:dyDescent="0.2">
      <c r="E384" s="19" t="s">
        <v>1979</v>
      </c>
    </row>
    <row r="385" spans="5:5" ht="14.25" customHeight="1" x14ac:dyDescent="0.2">
      <c r="E385" s="19" t="s">
        <v>1979</v>
      </c>
    </row>
    <row r="386" spans="5:5" ht="14.25" customHeight="1" x14ac:dyDescent="0.2">
      <c r="E386" s="19" t="s">
        <v>1979</v>
      </c>
    </row>
    <row r="387" spans="5:5" ht="14.25" customHeight="1" x14ac:dyDescent="0.2">
      <c r="E387" s="19" t="s">
        <v>1979</v>
      </c>
    </row>
    <row r="388" spans="5:5" ht="14.25" customHeight="1" x14ac:dyDescent="0.2">
      <c r="E388" s="19" t="s">
        <v>1979</v>
      </c>
    </row>
    <row r="389" spans="5:5" ht="14.25" customHeight="1" x14ac:dyDescent="0.2">
      <c r="E389" s="19" t="s">
        <v>1979</v>
      </c>
    </row>
    <row r="390" spans="5:5" ht="14.25" customHeight="1" x14ac:dyDescent="0.2">
      <c r="E390" s="19" t="s">
        <v>1979</v>
      </c>
    </row>
    <row r="391" spans="5:5" ht="14.25" customHeight="1" x14ac:dyDescent="0.2">
      <c r="E391" s="19" t="s">
        <v>1979</v>
      </c>
    </row>
    <row r="392" spans="5:5" ht="14.25" customHeight="1" x14ac:dyDescent="0.2">
      <c r="E392" s="19" t="s">
        <v>1979</v>
      </c>
    </row>
    <row r="393" spans="5:5" ht="14.25" customHeight="1" x14ac:dyDescent="0.2">
      <c r="E393" s="19" t="s">
        <v>1979</v>
      </c>
    </row>
    <row r="394" spans="5:5" ht="14.25" customHeight="1" x14ac:dyDescent="0.2">
      <c r="E394" s="19" t="s">
        <v>1979</v>
      </c>
    </row>
    <row r="395" spans="5:5" ht="14.25" customHeight="1" x14ac:dyDescent="0.2">
      <c r="E395" s="19" t="s">
        <v>1979</v>
      </c>
    </row>
    <row r="396" spans="5:5" ht="14.25" customHeight="1" x14ac:dyDescent="0.2">
      <c r="E396" s="19" t="s">
        <v>1979</v>
      </c>
    </row>
    <row r="397" spans="5:5" ht="14.25" customHeight="1" x14ac:dyDescent="0.2">
      <c r="E397" s="19" t="s">
        <v>1979</v>
      </c>
    </row>
    <row r="398" spans="5:5" ht="14.25" customHeight="1" x14ac:dyDescent="0.2">
      <c r="E398" s="19" t="s">
        <v>1979</v>
      </c>
    </row>
    <row r="399" spans="5:5" ht="14.25" customHeight="1" x14ac:dyDescent="0.2">
      <c r="E399" s="19" t="s">
        <v>1979</v>
      </c>
    </row>
    <row r="400" spans="5:5" ht="14.25" customHeight="1" x14ac:dyDescent="0.2">
      <c r="E400" s="19" t="s">
        <v>1979</v>
      </c>
    </row>
    <row r="401" spans="5:5" ht="14.25" customHeight="1" x14ac:dyDescent="0.2">
      <c r="E401" s="19" t="s">
        <v>1979</v>
      </c>
    </row>
    <row r="402" spans="5:5" ht="14.25" customHeight="1" x14ac:dyDescent="0.2">
      <c r="E402" s="19" t="s">
        <v>1979</v>
      </c>
    </row>
    <row r="403" spans="5:5" ht="14.25" customHeight="1" x14ac:dyDescent="0.2">
      <c r="E403" s="19" t="s">
        <v>1979</v>
      </c>
    </row>
    <row r="404" spans="5:5" ht="14.25" customHeight="1" x14ac:dyDescent="0.2">
      <c r="E404" s="19" t="s">
        <v>1979</v>
      </c>
    </row>
    <row r="405" spans="5:5" ht="14.25" customHeight="1" x14ac:dyDescent="0.2">
      <c r="E405" s="19" t="s">
        <v>1979</v>
      </c>
    </row>
    <row r="406" spans="5:5" ht="14.25" customHeight="1" x14ac:dyDescent="0.2">
      <c r="E406" s="19" t="s">
        <v>1979</v>
      </c>
    </row>
    <row r="407" spans="5:5" ht="14.25" customHeight="1" x14ac:dyDescent="0.2">
      <c r="E407" s="19" t="s">
        <v>1979</v>
      </c>
    </row>
    <row r="408" spans="5:5" ht="14.25" customHeight="1" x14ac:dyDescent="0.2">
      <c r="E408" s="19" t="s">
        <v>1979</v>
      </c>
    </row>
    <row r="409" spans="5:5" ht="14.25" customHeight="1" x14ac:dyDescent="0.2">
      <c r="E409" s="19" t="s">
        <v>1979</v>
      </c>
    </row>
    <row r="410" spans="5:5" ht="14.25" customHeight="1" x14ac:dyDescent="0.2">
      <c r="E410" s="19" t="s">
        <v>1979</v>
      </c>
    </row>
    <row r="411" spans="5:5" ht="14.25" customHeight="1" x14ac:dyDescent="0.2">
      <c r="E411" s="19" t="s">
        <v>1979</v>
      </c>
    </row>
    <row r="412" spans="5:5" ht="14.25" customHeight="1" x14ac:dyDescent="0.2">
      <c r="E412" s="19" t="s">
        <v>1979</v>
      </c>
    </row>
    <row r="413" spans="5:5" ht="14.25" customHeight="1" x14ac:dyDescent="0.2">
      <c r="E413" s="19" t="s">
        <v>1979</v>
      </c>
    </row>
    <row r="414" spans="5:5" ht="14.25" customHeight="1" x14ac:dyDescent="0.2">
      <c r="E414" s="19" t="s">
        <v>1979</v>
      </c>
    </row>
    <row r="415" spans="5:5" ht="14.25" customHeight="1" x14ac:dyDescent="0.2">
      <c r="E415" s="19" t="s">
        <v>1979</v>
      </c>
    </row>
    <row r="416" spans="5:5" ht="14.25" customHeight="1" x14ac:dyDescent="0.2">
      <c r="E416" s="19" t="s">
        <v>1979</v>
      </c>
    </row>
    <row r="417" spans="5:5" ht="14.25" customHeight="1" x14ac:dyDescent="0.2">
      <c r="E417" s="19" t="s">
        <v>1979</v>
      </c>
    </row>
    <row r="418" spans="5:5" ht="14.25" customHeight="1" x14ac:dyDescent="0.2">
      <c r="E418" s="19" t="s">
        <v>1979</v>
      </c>
    </row>
    <row r="419" spans="5:5" ht="14.25" customHeight="1" x14ac:dyDescent="0.2">
      <c r="E419" s="19" t="s">
        <v>1979</v>
      </c>
    </row>
    <row r="420" spans="5:5" ht="14.25" customHeight="1" x14ac:dyDescent="0.2">
      <c r="E420" s="19" t="s">
        <v>1979</v>
      </c>
    </row>
    <row r="421" spans="5:5" ht="14.25" customHeight="1" x14ac:dyDescent="0.2">
      <c r="E421" s="19" t="s">
        <v>1979</v>
      </c>
    </row>
    <row r="422" spans="5:5" ht="14.25" customHeight="1" x14ac:dyDescent="0.2">
      <c r="E422" s="19" t="s">
        <v>1979</v>
      </c>
    </row>
    <row r="423" spans="5:5" ht="14.25" customHeight="1" x14ac:dyDescent="0.2">
      <c r="E423" s="19" t="s">
        <v>1979</v>
      </c>
    </row>
    <row r="424" spans="5:5" ht="14.25" customHeight="1" x14ac:dyDescent="0.2">
      <c r="E424" s="19" t="s">
        <v>1979</v>
      </c>
    </row>
    <row r="425" spans="5:5" ht="14.25" customHeight="1" x14ac:dyDescent="0.2">
      <c r="E425" s="19" t="s">
        <v>1979</v>
      </c>
    </row>
    <row r="426" spans="5:5" ht="14.25" customHeight="1" x14ac:dyDescent="0.2">
      <c r="E426" s="19" t="s">
        <v>1979</v>
      </c>
    </row>
    <row r="427" spans="5:5" ht="14.25" customHeight="1" x14ac:dyDescent="0.2">
      <c r="E427" s="19" t="s">
        <v>1979</v>
      </c>
    </row>
    <row r="428" spans="5:5" ht="14.25" customHeight="1" x14ac:dyDescent="0.2">
      <c r="E428" s="19" t="s">
        <v>1979</v>
      </c>
    </row>
    <row r="429" spans="5:5" ht="14.25" customHeight="1" x14ac:dyDescent="0.2">
      <c r="E429" s="19" t="s">
        <v>1979</v>
      </c>
    </row>
    <row r="430" spans="5:5" ht="14.25" customHeight="1" x14ac:dyDescent="0.2">
      <c r="E430" s="19" t="s">
        <v>1979</v>
      </c>
    </row>
    <row r="431" spans="5:5" ht="14.25" customHeight="1" x14ac:dyDescent="0.2">
      <c r="E431" s="19" t="s">
        <v>1979</v>
      </c>
    </row>
    <row r="432" spans="5:5" ht="14.25" customHeight="1" x14ac:dyDescent="0.2">
      <c r="E432" s="19" t="s">
        <v>1979</v>
      </c>
    </row>
    <row r="433" spans="5:5" ht="14.25" customHeight="1" x14ac:dyDescent="0.2">
      <c r="E433" s="19" t="s">
        <v>1979</v>
      </c>
    </row>
    <row r="434" spans="5:5" ht="14.25" customHeight="1" x14ac:dyDescent="0.2">
      <c r="E434" s="19" t="s">
        <v>1979</v>
      </c>
    </row>
    <row r="435" spans="5:5" ht="14.25" customHeight="1" x14ac:dyDescent="0.2">
      <c r="E435" s="19" t="s">
        <v>1979</v>
      </c>
    </row>
    <row r="436" spans="5:5" ht="14.25" customHeight="1" x14ac:dyDescent="0.2">
      <c r="E436" s="19" t="s">
        <v>1979</v>
      </c>
    </row>
    <row r="437" spans="5:5" ht="14.25" customHeight="1" x14ac:dyDescent="0.2">
      <c r="E437" s="19" t="s">
        <v>1979</v>
      </c>
    </row>
    <row r="438" spans="5:5" ht="14.25" customHeight="1" x14ac:dyDescent="0.2">
      <c r="E438" s="19" t="s">
        <v>1979</v>
      </c>
    </row>
    <row r="439" spans="5:5" ht="14.25" customHeight="1" x14ac:dyDescent="0.2">
      <c r="E439" s="19" t="s">
        <v>1979</v>
      </c>
    </row>
    <row r="440" spans="5:5" ht="14.25" customHeight="1" x14ac:dyDescent="0.2">
      <c r="E440" s="19" t="s">
        <v>1979</v>
      </c>
    </row>
    <row r="441" spans="5:5" ht="14.25" customHeight="1" x14ac:dyDescent="0.2">
      <c r="E441" s="19" t="s">
        <v>1979</v>
      </c>
    </row>
    <row r="442" spans="5:5" ht="14.25" customHeight="1" x14ac:dyDescent="0.2">
      <c r="E442" s="19" t="s">
        <v>1979</v>
      </c>
    </row>
    <row r="443" spans="5:5" ht="14.25" customHeight="1" x14ac:dyDescent="0.2">
      <c r="E443" s="19" t="s">
        <v>1979</v>
      </c>
    </row>
    <row r="444" spans="5:5" ht="14.25" customHeight="1" x14ac:dyDescent="0.2">
      <c r="E444" s="19" t="s">
        <v>1979</v>
      </c>
    </row>
    <row r="445" spans="5:5" ht="14.25" customHeight="1" x14ac:dyDescent="0.2">
      <c r="E445" s="19" t="s">
        <v>1979</v>
      </c>
    </row>
    <row r="446" spans="5:5" ht="14.25" customHeight="1" x14ac:dyDescent="0.2">
      <c r="E446" s="19" t="s">
        <v>1979</v>
      </c>
    </row>
    <row r="447" spans="5:5" ht="14.25" customHeight="1" x14ac:dyDescent="0.2">
      <c r="E447" s="19" t="s">
        <v>1979</v>
      </c>
    </row>
    <row r="448" spans="5:5" ht="14.25" customHeight="1" x14ac:dyDescent="0.2">
      <c r="E448" s="19" t="s">
        <v>1979</v>
      </c>
    </row>
    <row r="449" spans="5:5" ht="14.25" customHeight="1" x14ac:dyDescent="0.2">
      <c r="E449" s="19" t="s">
        <v>1979</v>
      </c>
    </row>
    <row r="450" spans="5:5" ht="14.25" customHeight="1" x14ac:dyDescent="0.2">
      <c r="E450" s="19" t="s">
        <v>1979</v>
      </c>
    </row>
    <row r="451" spans="5:5" ht="14.25" customHeight="1" x14ac:dyDescent="0.2">
      <c r="E451" s="19" t="s">
        <v>1979</v>
      </c>
    </row>
    <row r="452" spans="5:5" ht="14.25" customHeight="1" x14ac:dyDescent="0.2">
      <c r="E452" s="19" t="s">
        <v>1979</v>
      </c>
    </row>
    <row r="453" spans="5:5" ht="14.25" customHeight="1" x14ac:dyDescent="0.2">
      <c r="E453" s="19" t="s">
        <v>1979</v>
      </c>
    </row>
    <row r="454" spans="5:5" ht="14.25" customHeight="1" x14ac:dyDescent="0.2">
      <c r="E454" s="19" t="s">
        <v>1979</v>
      </c>
    </row>
    <row r="455" spans="5:5" ht="14.25" customHeight="1" x14ac:dyDescent="0.2">
      <c r="E455" s="19" t="s">
        <v>1979</v>
      </c>
    </row>
    <row r="456" spans="5:5" ht="14.25" customHeight="1" x14ac:dyDescent="0.2">
      <c r="E456" s="19" t="s">
        <v>1979</v>
      </c>
    </row>
    <row r="457" spans="5:5" ht="14.25" customHeight="1" x14ac:dyDescent="0.2">
      <c r="E457" s="19" t="s">
        <v>1979</v>
      </c>
    </row>
    <row r="458" spans="5:5" ht="14.25" customHeight="1" x14ac:dyDescent="0.2">
      <c r="E458" s="19" t="s">
        <v>1979</v>
      </c>
    </row>
    <row r="459" spans="5:5" ht="14.25" customHeight="1" x14ac:dyDescent="0.2">
      <c r="E459" s="19" t="s">
        <v>1979</v>
      </c>
    </row>
    <row r="460" spans="5:5" ht="14.25" customHeight="1" x14ac:dyDescent="0.2">
      <c r="E460" s="19" t="s">
        <v>1979</v>
      </c>
    </row>
    <row r="461" spans="5:5" ht="14.25" customHeight="1" x14ac:dyDescent="0.2">
      <c r="E461" s="19" t="s">
        <v>1979</v>
      </c>
    </row>
    <row r="462" spans="5:5" ht="14.25" customHeight="1" x14ac:dyDescent="0.2">
      <c r="E462" s="19" t="s">
        <v>1979</v>
      </c>
    </row>
    <row r="463" spans="5:5" ht="14.25" customHeight="1" x14ac:dyDescent="0.2">
      <c r="E463" s="19" t="s">
        <v>1979</v>
      </c>
    </row>
    <row r="464" spans="5:5" ht="14.25" customHeight="1" x14ac:dyDescent="0.2">
      <c r="E464" s="19" t="s">
        <v>1979</v>
      </c>
    </row>
    <row r="465" spans="5:5" ht="14.25" customHeight="1" x14ac:dyDescent="0.2">
      <c r="E465" s="19" t="s">
        <v>1979</v>
      </c>
    </row>
    <row r="466" spans="5:5" ht="14.25" customHeight="1" x14ac:dyDescent="0.2">
      <c r="E466" s="19" t="s">
        <v>1979</v>
      </c>
    </row>
    <row r="467" spans="5:5" ht="14.25" customHeight="1" x14ac:dyDescent="0.2">
      <c r="E467" s="19" t="s">
        <v>1979</v>
      </c>
    </row>
    <row r="468" spans="5:5" ht="14.25" customHeight="1" x14ac:dyDescent="0.2">
      <c r="E468" s="19" t="s">
        <v>1979</v>
      </c>
    </row>
    <row r="469" spans="5:5" ht="14.25" customHeight="1" x14ac:dyDescent="0.2">
      <c r="E469" s="19" t="s">
        <v>1979</v>
      </c>
    </row>
    <row r="470" spans="5:5" ht="14.25" customHeight="1" x14ac:dyDescent="0.2">
      <c r="E470" s="19" t="s">
        <v>1979</v>
      </c>
    </row>
    <row r="471" spans="5:5" ht="14.25" customHeight="1" x14ac:dyDescent="0.2">
      <c r="E471" s="19" t="s">
        <v>1979</v>
      </c>
    </row>
    <row r="472" spans="5:5" ht="14.25" customHeight="1" x14ac:dyDescent="0.2">
      <c r="E472" s="19" t="s">
        <v>1979</v>
      </c>
    </row>
    <row r="473" spans="5:5" ht="14.25" customHeight="1" x14ac:dyDescent="0.2">
      <c r="E473" s="19" t="s">
        <v>1979</v>
      </c>
    </row>
    <row r="474" spans="5:5" ht="14.25" customHeight="1" x14ac:dyDescent="0.2">
      <c r="E474" s="19" t="s">
        <v>1979</v>
      </c>
    </row>
    <row r="475" spans="5:5" ht="14.25" customHeight="1" x14ac:dyDescent="0.2">
      <c r="E475" s="19" t="s">
        <v>1979</v>
      </c>
    </row>
    <row r="476" spans="5:5" ht="14.25" customHeight="1" x14ac:dyDescent="0.2">
      <c r="E476" s="19" t="s">
        <v>1979</v>
      </c>
    </row>
    <row r="477" spans="5:5" ht="14.25" customHeight="1" x14ac:dyDescent="0.2">
      <c r="E477" s="19" t="s">
        <v>1979</v>
      </c>
    </row>
    <row r="478" spans="5:5" ht="14.25" customHeight="1" x14ac:dyDescent="0.2">
      <c r="E478" s="19" t="s">
        <v>1979</v>
      </c>
    </row>
    <row r="479" spans="5:5" ht="14.25" customHeight="1" x14ac:dyDescent="0.2">
      <c r="E479" s="19" t="s">
        <v>1979</v>
      </c>
    </row>
    <row r="480" spans="5:5" ht="14.25" customHeight="1" x14ac:dyDescent="0.2">
      <c r="E480" s="19" t="s">
        <v>1979</v>
      </c>
    </row>
    <row r="481" spans="5:5" ht="14.25" customHeight="1" x14ac:dyDescent="0.2">
      <c r="E481" s="19" t="s">
        <v>1979</v>
      </c>
    </row>
    <row r="482" spans="5:5" ht="14.25" customHeight="1" x14ac:dyDescent="0.2">
      <c r="E482" s="19" t="s">
        <v>1979</v>
      </c>
    </row>
    <row r="483" spans="5:5" ht="14.25" customHeight="1" x14ac:dyDescent="0.2">
      <c r="E483" s="19" t="s">
        <v>1979</v>
      </c>
    </row>
    <row r="484" spans="5:5" ht="14.25" customHeight="1" x14ac:dyDescent="0.2">
      <c r="E484" s="19" t="s">
        <v>1979</v>
      </c>
    </row>
    <row r="485" spans="5:5" ht="14.25" customHeight="1" x14ac:dyDescent="0.2">
      <c r="E485" s="19" t="s">
        <v>1979</v>
      </c>
    </row>
    <row r="486" spans="5:5" ht="14.25" customHeight="1" x14ac:dyDescent="0.2">
      <c r="E486" s="19" t="s">
        <v>1979</v>
      </c>
    </row>
    <row r="487" spans="5:5" ht="14.25" customHeight="1" x14ac:dyDescent="0.2">
      <c r="E487" s="19" t="s">
        <v>1979</v>
      </c>
    </row>
    <row r="488" spans="5:5" ht="14.25" customHeight="1" x14ac:dyDescent="0.2">
      <c r="E488" s="19" t="s">
        <v>1979</v>
      </c>
    </row>
    <row r="489" spans="5:5" ht="14.25" customHeight="1" x14ac:dyDescent="0.2">
      <c r="E489" s="19" t="s">
        <v>1979</v>
      </c>
    </row>
    <row r="490" spans="5:5" ht="14.25" customHeight="1" x14ac:dyDescent="0.2">
      <c r="E490" s="19" t="s">
        <v>1979</v>
      </c>
    </row>
    <row r="491" spans="5:5" ht="14.25" customHeight="1" x14ac:dyDescent="0.2">
      <c r="E491" s="19" t="s">
        <v>1979</v>
      </c>
    </row>
    <row r="492" spans="5:5" ht="14.25" customHeight="1" x14ac:dyDescent="0.2">
      <c r="E492" s="19" t="s">
        <v>1979</v>
      </c>
    </row>
    <row r="493" spans="5:5" ht="14.25" customHeight="1" x14ac:dyDescent="0.2">
      <c r="E493" s="19" t="s">
        <v>1979</v>
      </c>
    </row>
    <row r="494" spans="5:5" ht="14.25" customHeight="1" x14ac:dyDescent="0.2">
      <c r="E494" s="19" t="s">
        <v>1979</v>
      </c>
    </row>
    <row r="495" spans="5:5" ht="14.25" customHeight="1" x14ac:dyDescent="0.2">
      <c r="E495" s="19" t="s">
        <v>1979</v>
      </c>
    </row>
    <row r="496" spans="5:5" ht="14.25" customHeight="1" x14ac:dyDescent="0.2">
      <c r="E496" s="19" t="s">
        <v>1979</v>
      </c>
    </row>
    <row r="497" spans="5:5" ht="14.25" customHeight="1" x14ac:dyDescent="0.2">
      <c r="E497" s="19" t="s">
        <v>1979</v>
      </c>
    </row>
    <row r="498" spans="5:5" ht="14.25" customHeight="1" x14ac:dyDescent="0.2">
      <c r="E498" s="19" t="s">
        <v>1979</v>
      </c>
    </row>
    <row r="499" spans="5:5" ht="14.25" customHeight="1" x14ac:dyDescent="0.2">
      <c r="E499" s="19" t="s">
        <v>1979</v>
      </c>
    </row>
    <row r="500" spans="5:5" ht="14.25" customHeight="1" x14ac:dyDescent="0.2">
      <c r="E500" s="19" t="s">
        <v>1979</v>
      </c>
    </row>
    <row r="501" spans="5:5" ht="14.25" customHeight="1" x14ac:dyDescent="0.2">
      <c r="E501" s="19" t="s">
        <v>1979</v>
      </c>
    </row>
    <row r="502" spans="5:5" ht="14.25" customHeight="1" x14ac:dyDescent="0.2">
      <c r="E502" s="19" t="s">
        <v>1979</v>
      </c>
    </row>
    <row r="503" spans="5:5" ht="14.25" customHeight="1" x14ac:dyDescent="0.2">
      <c r="E503" s="19" t="s">
        <v>1979</v>
      </c>
    </row>
    <row r="504" spans="5:5" ht="14.25" customHeight="1" x14ac:dyDescent="0.2">
      <c r="E504" s="19" t="s">
        <v>1979</v>
      </c>
    </row>
    <row r="505" spans="5:5" ht="14.25" customHeight="1" x14ac:dyDescent="0.2">
      <c r="E505" s="19" t="s">
        <v>1979</v>
      </c>
    </row>
    <row r="506" spans="5:5" ht="14.25" customHeight="1" x14ac:dyDescent="0.2">
      <c r="E506" s="19" t="s">
        <v>1979</v>
      </c>
    </row>
    <row r="507" spans="5:5" ht="14.25" customHeight="1" x14ac:dyDescent="0.2">
      <c r="E507" s="19" t="s">
        <v>1979</v>
      </c>
    </row>
    <row r="508" spans="5:5" ht="14.25" customHeight="1" x14ac:dyDescent="0.2">
      <c r="E508" s="19" t="s">
        <v>1979</v>
      </c>
    </row>
    <row r="509" spans="5:5" ht="14.25" customHeight="1" x14ac:dyDescent="0.2">
      <c r="E509" s="19" t="s">
        <v>1979</v>
      </c>
    </row>
    <row r="510" spans="5:5" ht="14.25" customHeight="1" x14ac:dyDescent="0.2">
      <c r="E510" s="19" t="s">
        <v>1979</v>
      </c>
    </row>
    <row r="511" spans="5:5" ht="14.25" customHeight="1" x14ac:dyDescent="0.2">
      <c r="E511" s="19" t="s">
        <v>1979</v>
      </c>
    </row>
    <row r="512" spans="5:5" ht="14.25" customHeight="1" x14ac:dyDescent="0.2">
      <c r="E512" s="19" t="s">
        <v>1979</v>
      </c>
    </row>
    <row r="513" spans="5:5" ht="14.25" customHeight="1" x14ac:dyDescent="0.2">
      <c r="E513" s="19" t="s">
        <v>1979</v>
      </c>
    </row>
    <row r="514" spans="5:5" ht="14.25" customHeight="1" x14ac:dyDescent="0.2">
      <c r="E514" s="19" t="s">
        <v>1979</v>
      </c>
    </row>
    <row r="515" spans="5:5" ht="14.25" customHeight="1" x14ac:dyDescent="0.2">
      <c r="E515" s="19" t="s">
        <v>1979</v>
      </c>
    </row>
    <row r="516" spans="5:5" ht="14.25" customHeight="1" x14ac:dyDescent="0.2">
      <c r="E516" s="19" t="s">
        <v>1979</v>
      </c>
    </row>
    <row r="517" spans="5:5" ht="14.25" customHeight="1" x14ac:dyDescent="0.2">
      <c r="E517" s="19" t="s">
        <v>1979</v>
      </c>
    </row>
    <row r="518" spans="5:5" ht="14.25" customHeight="1" x14ac:dyDescent="0.2">
      <c r="E518" s="19" t="s">
        <v>1979</v>
      </c>
    </row>
    <row r="519" spans="5:5" ht="14.25" customHeight="1" x14ac:dyDescent="0.2">
      <c r="E519" s="19" t="s">
        <v>1979</v>
      </c>
    </row>
    <row r="520" spans="5:5" ht="14.25" customHeight="1" x14ac:dyDescent="0.2">
      <c r="E520" s="19" t="s">
        <v>1979</v>
      </c>
    </row>
    <row r="521" spans="5:5" ht="14.25" customHeight="1" x14ac:dyDescent="0.2">
      <c r="E521" s="19" t="s">
        <v>1979</v>
      </c>
    </row>
    <row r="522" spans="5:5" ht="14.25" customHeight="1" x14ac:dyDescent="0.2">
      <c r="E522" s="19" t="s">
        <v>1979</v>
      </c>
    </row>
    <row r="523" spans="5:5" ht="14.25" customHeight="1" x14ac:dyDescent="0.2">
      <c r="E523" s="19" t="s">
        <v>1979</v>
      </c>
    </row>
    <row r="524" spans="5:5" ht="14.25" customHeight="1" x14ac:dyDescent="0.2">
      <c r="E524" s="19" t="s">
        <v>1979</v>
      </c>
    </row>
    <row r="525" spans="5:5" ht="14.25" customHeight="1" x14ac:dyDescent="0.2">
      <c r="E525" s="19" t="s">
        <v>1979</v>
      </c>
    </row>
    <row r="526" spans="5:5" ht="14.25" customHeight="1" x14ac:dyDescent="0.2">
      <c r="E526" s="19" t="s">
        <v>1979</v>
      </c>
    </row>
    <row r="527" spans="5:5" ht="14.25" customHeight="1" x14ac:dyDescent="0.2">
      <c r="E527" s="19" t="s">
        <v>1979</v>
      </c>
    </row>
    <row r="528" spans="5:5" ht="14.25" customHeight="1" x14ac:dyDescent="0.2">
      <c r="E528" s="19" t="s">
        <v>1979</v>
      </c>
    </row>
    <row r="529" spans="5:5" ht="14.25" customHeight="1" x14ac:dyDescent="0.2">
      <c r="E529" s="19" t="s">
        <v>1979</v>
      </c>
    </row>
    <row r="530" spans="5:5" ht="14.25" customHeight="1" x14ac:dyDescent="0.2">
      <c r="E530" s="19" t="s">
        <v>1979</v>
      </c>
    </row>
    <row r="531" spans="5:5" ht="14.25" customHeight="1" x14ac:dyDescent="0.2">
      <c r="E531" s="19" t="s">
        <v>1979</v>
      </c>
    </row>
    <row r="532" spans="5:5" ht="14.25" customHeight="1" x14ac:dyDescent="0.2">
      <c r="E532" s="19" t="s">
        <v>1979</v>
      </c>
    </row>
    <row r="533" spans="5:5" ht="14.25" customHeight="1" x14ac:dyDescent="0.2">
      <c r="E533" s="19" t="s">
        <v>1979</v>
      </c>
    </row>
    <row r="534" spans="5:5" ht="14.25" customHeight="1" x14ac:dyDescent="0.2">
      <c r="E534" s="19" t="s">
        <v>1979</v>
      </c>
    </row>
    <row r="535" spans="5:5" ht="14.25" customHeight="1" x14ac:dyDescent="0.2">
      <c r="E535" s="19" t="s">
        <v>1979</v>
      </c>
    </row>
    <row r="536" spans="5:5" ht="14.25" customHeight="1" x14ac:dyDescent="0.2">
      <c r="E536" s="19" t="s">
        <v>1979</v>
      </c>
    </row>
    <row r="537" spans="5:5" ht="14.25" customHeight="1" x14ac:dyDescent="0.2">
      <c r="E537" s="19" t="s">
        <v>1979</v>
      </c>
    </row>
    <row r="538" spans="5:5" ht="14.25" customHeight="1" x14ac:dyDescent="0.2">
      <c r="E538" s="19" t="s">
        <v>1979</v>
      </c>
    </row>
    <row r="539" spans="5:5" ht="14.25" customHeight="1" x14ac:dyDescent="0.2">
      <c r="E539" s="19" t="s">
        <v>1979</v>
      </c>
    </row>
    <row r="540" spans="5:5" ht="14.25" customHeight="1" x14ac:dyDescent="0.2">
      <c r="E540" s="19" t="s">
        <v>1979</v>
      </c>
    </row>
    <row r="541" spans="5:5" ht="14.25" customHeight="1" x14ac:dyDescent="0.2">
      <c r="E541" s="19" t="s">
        <v>1979</v>
      </c>
    </row>
    <row r="542" spans="5:5" ht="14.25" customHeight="1" x14ac:dyDescent="0.2">
      <c r="E542" s="19" t="s">
        <v>1979</v>
      </c>
    </row>
    <row r="543" spans="5:5" ht="14.25" customHeight="1" x14ac:dyDescent="0.2">
      <c r="E543" s="19" t="s">
        <v>1979</v>
      </c>
    </row>
    <row r="544" spans="5:5" ht="14.25" customHeight="1" x14ac:dyDescent="0.2">
      <c r="E544" s="19" t="s">
        <v>1979</v>
      </c>
    </row>
    <row r="545" spans="5:5" ht="14.25" customHeight="1" x14ac:dyDescent="0.2">
      <c r="E545" s="19" t="s">
        <v>1979</v>
      </c>
    </row>
    <row r="546" spans="5:5" ht="14.25" customHeight="1" x14ac:dyDescent="0.2">
      <c r="E546" s="19" t="s">
        <v>1979</v>
      </c>
    </row>
    <row r="547" spans="5:5" ht="14.25" customHeight="1" x14ac:dyDescent="0.2">
      <c r="E547" s="19" t="s">
        <v>1979</v>
      </c>
    </row>
    <row r="548" spans="5:5" ht="14.25" customHeight="1" x14ac:dyDescent="0.2">
      <c r="E548" s="19" t="s">
        <v>1979</v>
      </c>
    </row>
    <row r="549" spans="5:5" ht="14.25" customHeight="1" x14ac:dyDescent="0.2">
      <c r="E549" s="19" t="s">
        <v>1979</v>
      </c>
    </row>
    <row r="550" spans="5:5" ht="14.25" customHeight="1" x14ac:dyDescent="0.2">
      <c r="E550" s="19" t="s">
        <v>1979</v>
      </c>
    </row>
    <row r="551" spans="5:5" ht="14.25" customHeight="1" x14ac:dyDescent="0.2">
      <c r="E551" s="19" t="s">
        <v>1979</v>
      </c>
    </row>
    <row r="552" spans="5:5" ht="14.25" customHeight="1" x14ac:dyDescent="0.2">
      <c r="E552" s="19" t="s">
        <v>1979</v>
      </c>
    </row>
    <row r="553" spans="5:5" ht="14.25" customHeight="1" x14ac:dyDescent="0.2">
      <c r="E553" s="19" t="s">
        <v>1979</v>
      </c>
    </row>
    <row r="554" spans="5:5" ht="14.25" customHeight="1" x14ac:dyDescent="0.2">
      <c r="E554" s="19" t="s">
        <v>1979</v>
      </c>
    </row>
    <row r="555" spans="5:5" ht="14.25" customHeight="1" x14ac:dyDescent="0.2">
      <c r="E555" s="19" t="s">
        <v>1979</v>
      </c>
    </row>
    <row r="556" spans="5:5" ht="14.25" customHeight="1" x14ac:dyDescent="0.2">
      <c r="E556" s="19" t="s">
        <v>1979</v>
      </c>
    </row>
    <row r="557" spans="5:5" ht="14.25" customHeight="1" x14ac:dyDescent="0.2">
      <c r="E557" s="19" t="s">
        <v>1979</v>
      </c>
    </row>
    <row r="558" spans="5:5" ht="14.25" customHeight="1" x14ac:dyDescent="0.2">
      <c r="E558" s="19" t="s">
        <v>1979</v>
      </c>
    </row>
    <row r="559" spans="5:5" ht="14.25" customHeight="1" x14ac:dyDescent="0.2">
      <c r="E559" s="19" t="s">
        <v>1979</v>
      </c>
    </row>
    <row r="560" spans="5:5" ht="14.25" customHeight="1" x14ac:dyDescent="0.2">
      <c r="E560" s="19" t="s">
        <v>1979</v>
      </c>
    </row>
    <row r="561" spans="5:5" ht="14.25" customHeight="1" x14ac:dyDescent="0.2">
      <c r="E561" s="19" t="s">
        <v>1979</v>
      </c>
    </row>
    <row r="562" spans="5:5" ht="14.25" customHeight="1" x14ac:dyDescent="0.2">
      <c r="E562" s="19" t="s">
        <v>1979</v>
      </c>
    </row>
    <row r="563" spans="5:5" ht="14.25" customHeight="1" x14ac:dyDescent="0.2">
      <c r="E563" s="19" t="s">
        <v>1979</v>
      </c>
    </row>
    <row r="564" spans="5:5" ht="14.25" customHeight="1" x14ac:dyDescent="0.2">
      <c r="E564" s="19" t="s">
        <v>1979</v>
      </c>
    </row>
    <row r="565" spans="5:5" ht="14.25" customHeight="1" x14ac:dyDescent="0.2">
      <c r="E565" s="19" t="s">
        <v>1979</v>
      </c>
    </row>
    <row r="566" spans="5:5" ht="14.25" customHeight="1" x14ac:dyDescent="0.2">
      <c r="E566" s="19" t="s">
        <v>1979</v>
      </c>
    </row>
    <row r="567" spans="5:5" ht="14.25" customHeight="1" x14ac:dyDescent="0.2">
      <c r="E567" s="19" t="s">
        <v>1979</v>
      </c>
    </row>
    <row r="568" spans="5:5" ht="14.25" customHeight="1" x14ac:dyDescent="0.2">
      <c r="E568" s="19" t="s">
        <v>1979</v>
      </c>
    </row>
    <row r="569" spans="5:5" ht="14.25" customHeight="1" x14ac:dyDescent="0.2">
      <c r="E569" s="19" t="s">
        <v>1979</v>
      </c>
    </row>
    <row r="570" spans="5:5" ht="14.25" customHeight="1" x14ac:dyDescent="0.2">
      <c r="E570" s="19" t="s">
        <v>1979</v>
      </c>
    </row>
    <row r="571" spans="5:5" ht="14.25" customHeight="1" x14ac:dyDescent="0.2">
      <c r="E571" s="19" t="s">
        <v>1979</v>
      </c>
    </row>
    <row r="572" spans="5:5" ht="14.25" customHeight="1" x14ac:dyDescent="0.2">
      <c r="E572" s="19" t="s">
        <v>1979</v>
      </c>
    </row>
    <row r="573" spans="5:5" ht="14.25" customHeight="1" x14ac:dyDescent="0.2">
      <c r="E573" s="19" t="s">
        <v>1979</v>
      </c>
    </row>
    <row r="574" spans="5:5" ht="14.25" customHeight="1" x14ac:dyDescent="0.2">
      <c r="E574" s="19" t="s">
        <v>1979</v>
      </c>
    </row>
    <row r="575" spans="5:5" ht="14.25" customHeight="1" x14ac:dyDescent="0.2">
      <c r="E575" s="19" t="s">
        <v>1979</v>
      </c>
    </row>
    <row r="576" spans="5:5" ht="14.25" customHeight="1" x14ac:dyDescent="0.2">
      <c r="E576" s="19" t="s">
        <v>1979</v>
      </c>
    </row>
    <row r="577" spans="5:5" ht="14.25" customHeight="1" x14ac:dyDescent="0.2">
      <c r="E577" s="19" t="s">
        <v>1979</v>
      </c>
    </row>
    <row r="578" spans="5:5" ht="14.25" customHeight="1" x14ac:dyDescent="0.2">
      <c r="E578" s="19" t="s">
        <v>1979</v>
      </c>
    </row>
    <row r="579" spans="5:5" ht="14.25" customHeight="1" x14ac:dyDescent="0.2">
      <c r="E579" s="19" t="s">
        <v>1979</v>
      </c>
    </row>
    <row r="580" spans="5:5" ht="14.25" customHeight="1" x14ac:dyDescent="0.2">
      <c r="E580" s="19" t="s">
        <v>1979</v>
      </c>
    </row>
    <row r="581" spans="5:5" ht="14.25" customHeight="1" x14ac:dyDescent="0.2">
      <c r="E581" s="19" t="s">
        <v>1979</v>
      </c>
    </row>
    <row r="582" spans="5:5" ht="14.25" customHeight="1" x14ac:dyDescent="0.2">
      <c r="E582" s="19" t="s">
        <v>1979</v>
      </c>
    </row>
    <row r="583" spans="5:5" ht="14.25" customHeight="1" x14ac:dyDescent="0.2">
      <c r="E583" s="19" t="s">
        <v>1979</v>
      </c>
    </row>
    <row r="584" spans="5:5" ht="14.25" customHeight="1" x14ac:dyDescent="0.2">
      <c r="E584" s="19" t="s">
        <v>1979</v>
      </c>
    </row>
    <row r="585" spans="5:5" ht="14.25" customHeight="1" x14ac:dyDescent="0.2">
      <c r="E585" s="19" t="s">
        <v>1979</v>
      </c>
    </row>
    <row r="586" spans="5:5" ht="14.25" customHeight="1" x14ac:dyDescent="0.2">
      <c r="E586" s="19" t="s">
        <v>1979</v>
      </c>
    </row>
    <row r="587" spans="5:5" ht="14.25" customHeight="1" x14ac:dyDescent="0.2">
      <c r="E587" s="19" t="s">
        <v>1979</v>
      </c>
    </row>
    <row r="588" spans="5:5" ht="14.25" customHeight="1" x14ac:dyDescent="0.2">
      <c r="E588" s="19" t="s">
        <v>1979</v>
      </c>
    </row>
    <row r="589" spans="5:5" ht="14.25" customHeight="1" x14ac:dyDescent="0.2">
      <c r="E589" s="19" t="s">
        <v>1979</v>
      </c>
    </row>
    <row r="590" spans="5:5" ht="14.25" customHeight="1" x14ac:dyDescent="0.2">
      <c r="E590" s="19" t="s">
        <v>1979</v>
      </c>
    </row>
    <row r="591" spans="5:5" ht="14.25" customHeight="1" x14ac:dyDescent="0.2">
      <c r="E591" s="19" t="s">
        <v>1979</v>
      </c>
    </row>
    <row r="592" spans="5:5" ht="14.25" customHeight="1" x14ac:dyDescent="0.2">
      <c r="E592" s="19" t="s">
        <v>1979</v>
      </c>
    </row>
    <row r="593" spans="5:5" ht="14.25" customHeight="1" x14ac:dyDescent="0.2">
      <c r="E593" s="19" t="s">
        <v>1979</v>
      </c>
    </row>
    <row r="594" spans="5:5" ht="14.25" customHeight="1" x14ac:dyDescent="0.2">
      <c r="E594" s="19" t="s">
        <v>1979</v>
      </c>
    </row>
    <row r="595" spans="5:5" ht="14.25" customHeight="1" x14ac:dyDescent="0.2">
      <c r="E595" s="19" t="s">
        <v>1979</v>
      </c>
    </row>
    <row r="596" spans="5:5" ht="14.25" customHeight="1" x14ac:dyDescent="0.2">
      <c r="E596" s="19" t="s">
        <v>1979</v>
      </c>
    </row>
    <row r="597" spans="5:5" ht="14.25" customHeight="1" x14ac:dyDescent="0.2">
      <c r="E597" s="19" t="s">
        <v>1979</v>
      </c>
    </row>
    <row r="598" spans="5:5" ht="14.25" customHeight="1" x14ac:dyDescent="0.2">
      <c r="E598" s="19" t="s">
        <v>1979</v>
      </c>
    </row>
    <row r="599" spans="5:5" ht="14.25" customHeight="1" x14ac:dyDescent="0.2">
      <c r="E599" s="19" t="s">
        <v>1979</v>
      </c>
    </row>
    <row r="600" spans="5:5" ht="14.25" customHeight="1" x14ac:dyDescent="0.2">
      <c r="E600" s="19" t="s">
        <v>1979</v>
      </c>
    </row>
    <row r="601" spans="5:5" ht="14.25" customHeight="1" x14ac:dyDescent="0.2">
      <c r="E601" s="19" t="s">
        <v>1979</v>
      </c>
    </row>
    <row r="602" spans="5:5" ht="14.25" customHeight="1" x14ac:dyDescent="0.2">
      <c r="E602" s="19" t="s">
        <v>1979</v>
      </c>
    </row>
    <row r="603" spans="5:5" ht="14.25" customHeight="1" x14ac:dyDescent="0.2">
      <c r="E603" s="19" t="s">
        <v>1979</v>
      </c>
    </row>
    <row r="604" spans="5:5" ht="14.25" customHeight="1" x14ac:dyDescent="0.2">
      <c r="E604" s="19" t="s">
        <v>1979</v>
      </c>
    </row>
    <row r="605" spans="5:5" ht="14.25" customHeight="1" x14ac:dyDescent="0.2">
      <c r="E605" s="19" t="s">
        <v>1979</v>
      </c>
    </row>
    <row r="606" spans="5:5" ht="14.25" customHeight="1" x14ac:dyDescent="0.2">
      <c r="E606" s="19" t="s">
        <v>1979</v>
      </c>
    </row>
    <row r="607" spans="5:5" ht="14.25" customHeight="1" x14ac:dyDescent="0.2">
      <c r="E607" s="19" t="s">
        <v>1979</v>
      </c>
    </row>
    <row r="608" spans="5:5" ht="14.25" customHeight="1" x14ac:dyDescent="0.2">
      <c r="E608" s="19" t="s">
        <v>1979</v>
      </c>
    </row>
    <row r="609" spans="5:5" ht="14.25" customHeight="1" x14ac:dyDescent="0.2">
      <c r="E609" s="19" t="s">
        <v>1979</v>
      </c>
    </row>
    <row r="610" spans="5:5" ht="14.25" customHeight="1" x14ac:dyDescent="0.2">
      <c r="E610" s="19" t="s">
        <v>1979</v>
      </c>
    </row>
    <row r="611" spans="5:5" ht="14.25" customHeight="1" x14ac:dyDescent="0.2">
      <c r="E611" s="19" t="s">
        <v>1979</v>
      </c>
    </row>
    <row r="612" spans="5:5" ht="14.25" customHeight="1" x14ac:dyDescent="0.2">
      <c r="E612" s="19" t="s">
        <v>1979</v>
      </c>
    </row>
    <row r="613" spans="5:5" ht="14.25" customHeight="1" x14ac:dyDescent="0.2">
      <c r="E613" s="19" t="s">
        <v>1979</v>
      </c>
    </row>
    <row r="614" spans="5:5" ht="14.25" customHeight="1" x14ac:dyDescent="0.2">
      <c r="E614" s="19" t="s">
        <v>1979</v>
      </c>
    </row>
    <row r="615" spans="5:5" ht="14.25" customHeight="1" x14ac:dyDescent="0.2">
      <c r="E615" s="19" t="s">
        <v>1979</v>
      </c>
    </row>
    <row r="616" spans="5:5" ht="14.25" customHeight="1" x14ac:dyDescent="0.2">
      <c r="E616" s="19" t="s">
        <v>1979</v>
      </c>
    </row>
    <row r="617" spans="5:5" ht="14.25" customHeight="1" x14ac:dyDescent="0.2">
      <c r="E617" s="19" t="s">
        <v>1979</v>
      </c>
    </row>
    <row r="618" spans="5:5" ht="14.25" customHeight="1" x14ac:dyDescent="0.2">
      <c r="E618" s="19" t="s">
        <v>1979</v>
      </c>
    </row>
    <row r="619" spans="5:5" ht="14.25" customHeight="1" x14ac:dyDescent="0.2">
      <c r="E619" s="19" t="s">
        <v>1979</v>
      </c>
    </row>
    <row r="620" spans="5:5" ht="14.25" customHeight="1" x14ac:dyDescent="0.2">
      <c r="E620" s="19" t="s">
        <v>1979</v>
      </c>
    </row>
    <row r="621" spans="5:5" ht="14.25" customHeight="1" x14ac:dyDescent="0.2">
      <c r="E621" s="19" t="s">
        <v>1979</v>
      </c>
    </row>
    <row r="622" spans="5:5" ht="14.25" customHeight="1" x14ac:dyDescent="0.2">
      <c r="E622" s="19" t="s">
        <v>1979</v>
      </c>
    </row>
    <row r="623" spans="5:5" ht="14.25" customHeight="1" x14ac:dyDescent="0.2">
      <c r="E623" s="19" t="s">
        <v>1979</v>
      </c>
    </row>
    <row r="624" spans="5:5" ht="14.25" customHeight="1" x14ac:dyDescent="0.2">
      <c r="E624" s="19" t="s">
        <v>1979</v>
      </c>
    </row>
    <row r="625" spans="5:5" ht="14.25" customHeight="1" x14ac:dyDescent="0.2">
      <c r="E625" s="19" t="s">
        <v>1979</v>
      </c>
    </row>
    <row r="626" spans="5:5" ht="14.25" customHeight="1" x14ac:dyDescent="0.2">
      <c r="E626" s="19" t="s">
        <v>1979</v>
      </c>
    </row>
    <row r="627" spans="5:5" ht="14.25" customHeight="1" x14ac:dyDescent="0.2">
      <c r="E627" s="19" t="s">
        <v>1979</v>
      </c>
    </row>
    <row r="628" spans="5:5" ht="14.25" customHeight="1" x14ac:dyDescent="0.2">
      <c r="E628" s="19" t="s">
        <v>1979</v>
      </c>
    </row>
    <row r="629" spans="5:5" ht="14.25" customHeight="1" x14ac:dyDescent="0.2">
      <c r="E629" s="19" t="s">
        <v>1979</v>
      </c>
    </row>
    <row r="630" spans="5:5" ht="14.25" customHeight="1" x14ac:dyDescent="0.2">
      <c r="E630" s="19" t="s">
        <v>1979</v>
      </c>
    </row>
    <row r="631" spans="5:5" ht="14.25" customHeight="1" x14ac:dyDescent="0.2">
      <c r="E631" s="19" t="s">
        <v>1979</v>
      </c>
    </row>
    <row r="632" spans="5:5" ht="14.25" customHeight="1" x14ac:dyDescent="0.2">
      <c r="E632" s="19" t="s">
        <v>1979</v>
      </c>
    </row>
    <row r="633" spans="5:5" ht="14.25" customHeight="1" x14ac:dyDescent="0.2">
      <c r="E633" s="19" t="s">
        <v>1979</v>
      </c>
    </row>
    <row r="634" spans="5:5" ht="14.25" customHeight="1" x14ac:dyDescent="0.2">
      <c r="E634" s="19" t="s">
        <v>1979</v>
      </c>
    </row>
    <row r="635" spans="5:5" ht="14.25" customHeight="1" x14ac:dyDescent="0.2">
      <c r="E635" s="19" t="s">
        <v>1979</v>
      </c>
    </row>
    <row r="636" spans="5:5" ht="14.25" customHeight="1" x14ac:dyDescent="0.2">
      <c r="E636" s="19" t="s">
        <v>1979</v>
      </c>
    </row>
    <row r="637" spans="5:5" ht="14.25" customHeight="1" x14ac:dyDescent="0.2">
      <c r="E637" s="19" t="s">
        <v>1979</v>
      </c>
    </row>
    <row r="638" spans="5:5" ht="14.25" customHeight="1" x14ac:dyDescent="0.2">
      <c r="E638" s="19" t="s">
        <v>1979</v>
      </c>
    </row>
    <row r="639" spans="5:5" ht="14.25" customHeight="1" x14ac:dyDescent="0.2">
      <c r="E639" s="19" t="s">
        <v>1979</v>
      </c>
    </row>
    <row r="640" spans="5:5" ht="14.25" customHeight="1" x14ac:dyDescent="0.2">
      <c r="E640" s="19" t="s">
        <v>1979</v>
      </c>
    </row>
    <row r="641" spans="5:5" ht="14.25" customHeight="1" x14ac:dyDescent="0.2">
      <c r="E641" s="19" t="s">
        <v>1979</v>
      </c>
    </row>
    <row r="642" spans="5:5" ht="14.25" customHeight="1" x14ac:dyDescent="0.2">
      <c r="E642" s="19" t="s">
        <v>1979</v>
      </c>
    </row>
    <row r="643" spans="5:5" ht="14.25" customHeight="1" x14ac:dyDescent="0.2">
      <c r="E643" s="19" t="s">
        <v>1979</v>
      </c>
    </row>
    <row r="644" spans="5:5" ht="14.25" customHeight="1" x14ac:dyDescent="0.2">
      <c r="E644" s="19" t="s">
        <v>1979</v>
      </c>
    </row>
    <row r="645" spans="5:5" ht="14.25" customHeight="1" x14ac:dyDescent="0.2">
      <c r="E645" s="19" t="s">
        <v>1979</v>
      </c>
    </row>
    <row r="646" spans="5:5" ht="14.25" customHeight="1" x14ac:dyDescent="0.2">
      <c r="E646" s="19" t="s">
        <v>1979</v>
      </c>
    </row>
    <row r="647" spans="5:5" ht="14.25" customHeight="1" x14ac:dyDescent="0.2">
      <c r="E647" s="19" t="s">
        <v>1979</v>
      </c>
    </row>
    <row r="648" spans="5:5" ht="14.25" customHeight="1" x14ac:dyDescent="0.2">
      <c r="E648" s="19" t="s">
        <v>1979</v>
      </c>
    </row>
    <row r="649" spans="5:5" ht="14.25" customHeight="1" x14ac:dyDescent="0.2">
      <c r="E649" s="19" t="s">
        <v>1979</v>
      </c>
    </row>
    <row r="650" spans="5:5" ht="14.25" customHeight="1" x14ac:dyDescent="0.2">
      <c r="E650" s="19" t="s">
        <v>1979</v>
      </c>
    </row>
    <row r="651" spans="5:5" ht="14.25" customHeight="1" x14ac:dyDescent="0.2">
      <c r="E651" s="19" t="s">
        <v>1979</v>
      </c>
    </row>
    <row r="652" spans="5:5" ht="14.25" customHeight="1" x14ac:dyDescent="0.2">
      <c r="E652" s="19" t="s">
        <v>1979</v>
      </c>
    </row>
    <row r="653" spans="5:5" ht="14.25" customHeight="1" x14ac:dyDescent="0.2">
      <c r="E653" s="19" t="s">
        <v>1979</v>
      </c>
    </row>
    <row r="654" spans="5:5" ht="14.25" customHeight="1" x14ac:dyDescent="0.2">
      <c r="E654" s="19" t="s">
        <v>1979</v>
      </c>
    </row>
    <row r="655" spans="5:5" ht="14.25" customHeight="1" x14ac:dyDescent="0.2">
      <c r="E655" s="19" t="s">
        <v>1979</v>
      </c>
    </row>
    <row r="656" spans="5:5" ht="14.25" customHeight="1" x14ac:dyDescent="0.2">
      <c r="E656" s="19" t="s">
        <v>1979</v>
      </c>
    </row>
    <row r="657" spans="5:5" ht="14.25" customHeight="1" x14ac:dyDescent="0.2">
      <c r="E657" s="19" t="s">
        <v>1979</v>
      </c>
    </row>
    <row r="658" spans="5:5" ht="14.25" customHeight="1" x14ac:dyDescent="0.2">
      <c r="E658" s="19" t="s">
        <v>1979</v>
      </c>
    </row>
    <row r="659" spans="5:5" ht="14.25" customHeight="1" x14ac:dyDescent="0.2">
      <c r="E659" s="19" t="s">
        <v>1979</v>
      </c>
    </row>
    <row r="660" spans="5:5" ht="14.25" customHeight="1" x14ac:dyDescent="0.2">
      <c r="E660" s="19" t="s">
        <v>1979</v>
      </c>
    </row>
    <row r="661" spans="5:5" ht="14.25" customHeight="1" x14ac:dyDescent="0.2">
      <c r="E661" s="19" t="s">
        <v>1979</v>
      </c>
    </row>
    <row r="662" spans="5:5" ht="14.25" customHeight="1" x14ac:dyDescent="0.2">
      <c r="E662" s="19" t="s">
        <v>1979</v>
      </c>
    </row>
    <row r="663" spans="5:5" ht="14.25" customHeight="1" x14ac:dyDescent="0.2">
      <c r="E663" s="19" t="s">
        <v>1979</v>
      </c>
    </row>
    <row r="664" spans="5:5" ht="14.25" customHeight="1" x14ac:dyDescent="0.2">
      <c r="E664" s="19" t="s">
        <v>1979</v>
      </c>
    </row>
    <row r="665" spans="5:5" ht="14.25" customHeight="1" x14ac:dyDescent="0.2">
      <c r="E665" s="19" t="s">
        <v>1979</v>
      </c>
    </row>
    <row r="666" spans="5:5" ht="14.25" customHeight="1" x14ac:dyDescent="0.2">
      <c r="E666" s="19" t="s">
        <v>1979</v>
      </c>
    </row>
    <row r="667" spans="5:5" ht="14.25" customHeight="1" x14ac:dyDescent="0.2">
      <c r="E667" s="19" t="s">
        <v>1979</v>
      </c>
    </row>
    <row r="668" spans="5:5" ht="14.25" customHeight="1" x14ac:dyDescent="0.2">
      <c r="E668" s="19" t="s">
        <v>1979</v>
      </c>
    </row>
    <row r="669" spans="5:5" ht="14.25" customHeight="1" x14ac:dyDescent="0.2">
      <c r="E669" s="19" t="s">
        <v>1979</v>
      </c>
    </row>
    <row r="670" spans="5:5" ht="14.25" customHeight="1" x14ac:dyDescent="0.2">
      <c r="E670" s="19" t="s">
        <v>1979</v>
      </c>
    </row>
    <row r="671" spans="5:5" ht="14.25" customHeight="1" x14ac:dyDescent="0.2">
      <c r="E671" s="19" t="s">
        <v>1979</v>
      </c>
    </row>
    <row r="672" spans="5:5" ht="14.25" customHeight="1" x14ac:dyDescent="0.2">
      <c r="E672" s="19" t="s">
        <v>1979</v>
      </c>
    </row>
    <row r="673" spans="5:5" ht="14.25" customHeight="1" x14ac:dyDescent="0.2">
      <c r="E673" s="19" t="s">
        <v>1979</v>
      </c>
    </row>
    <row r="674" spans="5:5" ht="14.25" customHeight="1" x14ac:dyDescent="0.2">
      <c r="E674" s="19" t="s">
        <v>1979</v>
      </c>
    </row>
    <row r="675" spans="5:5" ht="14.25" customHeight="1" x14ac:dyDescent="0.2">
      <c r="E675" s="19" t="s">
        <v>1979</v>
      </c>
    </row>
    <row r="676" spans="5:5" ht="14.25" customHeight="1" x14ac:dyDescent="0.2">
      <c r="E676" s="19" t="s">
        <v>1979</v>
      </c>
    </row>
    <row r="677" spans="5:5" ht="14.25" customHeight="1" x14ac:dyDescent="0.2">
      <c r="E677" s="19" t="s">
        <v>1979</v>
      </c>
    </row>
    <row r="678" spans="5:5" ht="14.25" customHeight="1" x14ac:dyDescent="0.2">
      <c r="E678" s="19" t="s">
        <v>1979</v>
      </c>
    </row>
    <row r="679" spans="5:5" ht="14.25" customHeight="1" x14ac:dyDescent="0.2">
      <c r="E679" s="19" t="s">
        <v>1979</v>
      </c>
    </row>
    <row r="680" spans="5:5" ht="14.25" customHeight="1" x14ac:dyDescent="0.2">
      <c r="E680" s="19" t="s">
        <v>1979</v>
      </c>
    </row>
    <row r="681" spans="5:5" ht="14.25" customHeight="1" x14ac:dyDescent="0.2">
      <c r="E681" s="19" t="s">
        <v>1979</v>
      </c>
    </row>
    <row r="682" spans="5:5" ht="14.25" customHeight="1" x14ac:dyDescent="0.2">
      <c r="E682" s="19" t="s">
        <v>1979</v>
      </c>
    </row>
    <row r="683" spans="5:5" ht="14.25" customHeight="1" x14ac:dyDescent="0.2">
      <c r="E683" s="19" t="s">
        <v>1979</v>
      </c>
    </row>
    <row r="684" spans="5:5" ht="14.25" customHeight="1" x14ac:dyDescent="0.2">
      <c r="E684" s="19" t="s">
        <v>1979</v>
      </c>
    </row>
    <row r="685" spans="5:5" ht="14.25" customHeight="1" x14ac:dyDescent="0.2">
      <c r="E685" s="19" t="s">
        <v>1979</v>
      </c>
    </row>
    <row r="686" spans="5:5" ht="14.25" customHeight="1" x14ac:dyDescent="0.2">
      <c r="E686" s="19" t="s">
        <v>1979</v>
      </c>
    </row>
    <row r="687" spans="5:5" ht="14.25" customHeight="1" x14ac:dyDescent="0.2">
      <c r="E687" s="19" t="s">
        <v>1979</v>
      </c>
    </row>
    <row r="688" spans="5:5" ht="14.25" customHeight="1" x14ac:dyDescent="0.2">
      <c r="E688" s="19" t="s">
        <v>1979</v>
      </c>
    </row>
    <row r="689" spans="5:5" ht="14.25" customHeight="1" x14ac:dyDescent="0.2">
      <c r="E689" s="19" t="s">
        <v>1979</v>
      </c>
    </row>
    <row r="690" spans="5:5" ht="14.25" customHeight="1" x14ac:dyDescent="0.2">
      <c r="E690" s="19" t="s">
        <v>1979</v>
      </c>
    </row>
    <row r="691" spans="5:5" ht="14.25" customHeight="1" x14ac:dyDescent="0.2">
      <c r="E691" s="19" t="s">
        <v>1979</v>
      </c>
    </row>
    <row r="692" spans="5:5" ht="14.25" customHeight="1" x14ac:dyDescent="0.2">
      <c r="E692" s="19" t="s">
        <v>1979</v>
      </c>
    </row>
    <row r="693" spans="5:5" ht="14.25" customHeight="1" x14ac:dyDescent="0.2">
      <c r="E693" s="19" t="s">
        <v>1979</v>
      </c>
    </row>
    <row r="694" spans="5:5" ht="14.25" customHeight="1" x14ac:dyDescent="0.2">
      <c r="E694" s="19" t="s">
        <v>1979</v>
      </c>
    </row>
    <row r="695" spans="5:5" ht="14.25" customHeight="1" x14ac:dyDescent="0.2">
      <c r="E695" s="19" t="s">
        <v>1979</v>
      </c>
    </row>
    <row r="696" spans="5:5" ht="14.25" customHeight="1" x14ac:dyDescent="0.2">
      <c r="E696" s="19" t="s">
        <v>1979</v>
      </c>
    </row>
    <row r="697" spans="5:5" ht="14.25" customHeight="1" x14ac:dyDescent="0.2">
      <c r="E697" s="19" t="s">
        <v>1979</v>
      </c>
    </row>
    <row r="698" spans="5:5" ht="14.25" customHeight="1" x14ac:dyDescent="0.2">
      <c r="E698" s="19" t="s">
        <v>1979</v>
      </c>
    </row>
    <row r="699" spans="5:5" ht="14.25" customHeight="1" x14ac:dyDescent="0.2">
      <c r="E699" s="19" t="s">
        <v>1979</v>
      </c>
    </row>
    <row r="700" spans="5:5" ht="14.25" customHeight="1" x14ac:dyDescent="0.2">
      <c r="E700" s="19" t="s">
        <v>1979</v>
      </c>
    </row>
    <row r="701" spans="5:5" ht="14.25" customHeight="1" x14ac:dyDescent="0.2">
      <c r="E701" s="19" t="s">
        <v>1979</v>
      </c>
    </row>
    <row r="702" spans="5:5" ht="14.25" customHeight="1" x14ac:dyDescent="0.2">
      <c r="E702" s="19" t="s">
        <v>1979</v>
      </c>
    </row>
    <row r="703" spans="5:5" ht="14.25" customHeight="1" x14ac:dyDescent="0.2">
      <c r="E703" s="19" t="s">
        <v>1979</v>
      </c>
    </row>
    <row r="704" spans="5:5" ht="14.25" customHeight="1" x14ac:dyDescent="0.2">
      <c r="E704" s="19" t="s">
        <v>1979</v>
      </c>
    </row>
    <row r="705" spans="5:5" ht="14.25" customHeight="1" x14ac:dyDescent="0.2">
      <c r="E705" s="19" t="s">
        <v>1979</v>
      </c>
    </row>
    <row r="706" spans="5:5" ht="14.25" customHeight="1" x14ac:dyDescent="0.2">
      <c r="E706" s="19" t="s">
        <v>1979</v>
      </c>
    </row>
    <row r="707" spans="5:5" ht="14.25" customHeight="1" x14ac:dyDescent="0.2">
      <c r="E707" s="19" t="s">
        <v>1979</v>
      </c>
    </row>
    <row r="708" spans="5:5" ht="14.25" customHeight="1" x14ac:dyDescent="0.2">
      <c r="E708" s="19" t="s">
        <v>1979</v>
      </c>
    </row>
    <row r="709" spans="5:5" ht="14.25" customHeight="1" x14ac:dyDescent="0.2">
      <c r="E709" s="19" t="s">
        <v>1979</v>
      </c>
    </row>
    <row r="710" spans="5:5" ht="14.25" customHeight="1" x14ac:dyDescent="0.2">
      <c r="E710" s="19" t="s">
        <v>1979</v>
      </c>
    </row>
    <row r="711" spans="5:5" ht="14.25" customHeight="1" x14ac:dyDescent="0.2">
      <c r="E711" s="19" t="s">
        <v>1979</v>
      </c>
    </row>
    <row r="712" spans="5:5" ht="14.25" customHeight="1" x14ac:dyDescent="0.2">
      <c r="E712" s="19" t="s">
        <v>1979</v>
      </c>
    </row>
    <row r="713" spans="5:5" ht="14.25" customHeight="1" x14ac:dyDescent="0.2">
      <c r="E713" s="19" t="s">
        <v>1979</v>
      </c>
    </row>
    <row r="714" spans="5:5" ht="14.25" customHeight="1" x14ac:dyDescent="0.2">
      <c r="E714" s="19" t="s">
        <v>1979</v>
      </c>
    </row>
    <row r="715" spans="5:5" ht="14.25" customHeight="1" x14ac:dyDescent="0.2">
      <c r="E715" s="19" t="s">
        <v>1979</v>
      </c>
    </row>
    <row r="716" spans="5:5" ht="14.25" customHeight="1" x14ac:dyDescent="0.2">
      <c r="E716" s="19" t="s">
        <v>1979</v>
      </c>
    </row>
    <row r="717" spans="5:5" ht="14.25" customHeight="1" x14ac:dyDescent="0.2">
      <c r="E717" s="19" t="s">
        <v>1979</v>
      </c>
    </row>
    <row r="718" spans="5:5" ht="14.25" customHeight="1" x14ac:dyDescent="0.2">
      <c r="E718" s="19" t="s">
        <v>1979</v>
      </c>
    </row>
    <row r="719" spans="5:5" ht="14.25" customHeight="1" x14ac:dyDescent="0.2">
      <c r="E719" s="19" t="s">
        <v>1979</v>
      </c>
    </row>
    <row r="720" spans="5:5" ht="14.25" customHeight="1" x14ac:dyDescent="0.2">
      <c r="E720" s="19" t="s">
        <v>1979</v>
      </c>
    </row>
    <row r="721" spans="5:5" ht="14.25" customHeight="1" x14ac:dyDescent="0.2">
      <c r="E721" s="19" t="s">
        <v>1979</v>
      </c>
    </row>
    <row r="722" spans="5:5" ht="14.25" customHeight="1" x14ac:dyDescent="0.2">
      <c r="E722" s="19" t="s">
        <v>1979</v>
      </c>
    </row>
    <row r="723" spans="5:5" ht="14.25" customHeight="1" x14ac:dyDescent="0.2">
      <c r="E723" s="19" t="s">
        <v>1979</v>
      </c>
    </row>
    <row r="724" spans="5:5" ht="14.25" customHeight="1" x14ac:dyDescent="0.2">
      <c r="E724" s="19" t="s">
        <v>1979</v>
      </c>
    </row>
    <row r="725" spans="5:5" ht="14.25" customHeight="1" x14ac:dyDescent="0.2">
      <c r="E725" s="19" t="s">
        <v>1979</v>
      </c>
    </row>
    <row r="726" spans="5:5" ht="14.25" customHeight="1" x14ac:dyDescent="0.2">
      <c r="E726" s="19" t="s">
        <v>1979</v>
      </c>
    </row>
    <row r="727" spans="5:5" ht="14.25" customHeight="1" x14ac:dyDescent="0.2">
      <c r="E727" s="19" t="s">
        <v>1979</v>
      </c>
    </row>
    <row r="728" spans="5:5" ht="14.25" customHeight="1" x14ac:dyDescent="0.2">
      <c r="E728" s="19" t="s">
        <v>1979</v>
      </c>
    </row>
    <row r="729" spans="5:5" ht="14.25" customHeight="1" x14ac:dyDescent="0.2">
      <c r="E729" s="19" t="s">
        <v>1979</v>
      </c>
    </row>
    <row r="730" spans="5:5" ht="14.25" customHeight="1" x14ac:dyDescent="0.2">
      <c r="E730" s="19" t="s">
        <v>1979</v>
      </c>
    </row>
    <row r="731" spans="5:5" ht="14.25" customHeight="1" x14ac:dyDescent="0.2">
      <c r="E731" s="19" t="s">
        <v>1979</v>
      </c>
    </row>
    <row r="732" spans="5:5" ht="14.25" customHeight="1" x14ac:dyDescent="0.2">
      <c r="E732" s="19" t="s">
        <v>1979</v>
      </c>
    </row>
    <row r="733" spans="5:5" ht="14.25" customHeight="1" x14ac:dyDescent="0.2">
      <c r="E733" s="19" t="s">
        <v>1979</v>
      </c>
    </row>
    <row r="734" spans="5:5" ht="14.25" customHeight="1" x14ac:dyDescent="0.2">
      <c r="E734" s="19" t="s">
        <v>1979</v>
      </c>
    </row>
    <row r="735" spans="5:5" ht="14.25" customHeight="1" x14ac:dyDescent="0.2">
      <c r="E735" s="19" t="s">
        <v>1979</v>
      </c>
    </row>
    <row r="736" spans="5:5" ht="14.25" customHeight="1" x14ac:dyDescent="0.2">
      <c r="E736" s="19" t="s">
        <v>1979</v>
      </c>
    </row>
    <row r="737" spans="5:5" ht="14.25" customHeight="1" x14ac:dyDescent="0.2">
      <c r="E737" s="19" t="s">
        <v>1979</v>
      </c>
    </row>
    <row r="738" spans="5:5" ht="14.25" customHeight="1" x14ac:dyDescent="0.2">
      <c r="E738" s="19" t="s">
        <v>1979</v>
      </c>
    </row>
    <row r="739" spans="5:5" ht="14.25" customHeight="1" x14ac:dyDescent="0.2">
      <c r="E739" s="19" t="s">
        <v>1979</v>
      </c>
    </row>
    <row r="740" spans="5:5" ht="14.25" customHeight="1" x14ac:dyDescent="0.2">
      <c r="E740" s="19" t="s">
        <v>1979</v>
      </c>
    </row>
    <row r="741" spans="5:5" ht="14.25" customHeight="1" x14ac:dyDescent="0.2">
      <c r="E741" s="19" t="s">
        <v>1979</v>
      </c>
    </row>
    <row r="742" spans="5:5" ht="14.25" customHeight="1" x14ac:dyDescent="0.2">
      <c r="E742" s="19" t="s">
        <v>1979</v>
      </c>
    </row>
    <row r="743" spans="5:5" ht="14.25" customHeight="1" x14ac:dyDescent="0.2">
      <c r="E743" s="19" t="s">
        <v>1979</v>
      </c>
    </row>
    <row r="744" spans="5:5" ht="14.25" customHeight="1" x14ac:dyDescent="0.2">
      <c r="E744" s="19" t="s">
        <v>1979</v>
      </c>
    </row>
    <row r="745" spans="5:5" ht="14.25" customHeight="1" x14ac:dyDescent="0.2">
      <c r="E745" s="19" t="s">
        <v>1979</v>
      </c>
    </row>
    <row r="746" spans="5:5" ht="14.25" customHeight="1" x14ac:dyDescent="0.2">
      <c r="E746" s="19" t="s">
        <v>1979</v>
      </c>
    </row>
    <row r="747" spans="5:5" ht="14.25" customHeight="1" x14ac:dyDescent="0.2">
      <c r="E747" s="19" t="s">
        <v>1979</v>
      </c>
    </row>
    <row r="748" spans="5:5" ht="14.25" customHeight="1" x14ac:dyDescent="0.2">
      <c r="E748" s="19" t="s">
        <v>1979</v>
      </c>
    </row>
    <row r="749" spans="5:5" ht="14.25" customHeight="1" x14ac:dyDescent="0.2">
      <c r="E749" s="19" t="s">
        <v>1979</v>
      </c>
    </row>
    <row r="750" spans="5:5" ht="14.25" customHeight="1" x14ac:dyDescent="0.2">
      <c r="E750" s="19" t="s">
        <v>1979</v>
      </c>
    </row>
    <row r="751" spans="5:5" ht="14.25" customHeight="1" x14ac:dyDescent="0.2">
      <c r="E751" s="19" t="s">
        <v>1979</v>
      </c>
    </row>
    <row r="752" spans="5:5" ht="14.25" customHeight="1" x14ac:dyDescent="0.2">
      <c r="E752" s="19" t="s">
        <v>1979</v>
      </c>
    </row>
    <row r="753" spans="5:5" ht="14.25" customHeight="1" x14ac:dyDescent="0.2">
      <c r="E753" s="19" t="s">
        <v>1979</v>
      </c>
    </row>
    <row r="754" spans="5:5" ht="14.25" customHeight="1" x14ac:dyDescent="0.2">
      <c r="E754" s="19" t="s">
        <v>1979</v>
      </c>
    </row>
    <row r="755" spans="5:5" ht="14.25" customHeight="1" x14ac:dyDescent="0.2">
      <c r="E755" s="19" t="s">
        <v>1979</v>
      </c>
    </row>
    <row r="756" spans="5:5" ht="14.25" customHeight="1" x14ac:dyDescent="0.2">
      <c r="E756" s="19" t="s">
        <v>1979</v>
      </c>
    </row>
    <row r="757" spans="5:5" ht="14.25" customHeight="1" x14ac:dyDescent="0.2">
      <c r="E757" s="19" t="s">
        <v>1979</v>
      </c>
    </row>
    <row r="758" spans="5:5" ht="14.25" customHeight="1" x14ac:dyDescent="0.2">
      <c r="E758" s="19" t="s">
        <v>1979</v>
      </c>
    </row>
    <row r="759" spans="5:5" ht="14.25" customHeight="1" x14ac:dyDescent="0.2">
      <c r="E759" s="19" t="s">
        <v>1979</v>
      </c>
    </row>
    <row r="760" spans="5:5" ht="14.25" customHeight="1" x14ac:dyDescent="0.2">
      <c r="E760" s="19" t="s">
        <v>1979</v>
      </c>
    </row>
    <row r="761" spans="5:5" ht="14.25" customHeight="1" x14ac:dyDescent="0.2">
      <c r="E761" s="19" t="s">
        <v>1979</v>
      </c>
    </row>
    <row r="762" spans="5:5" ht="14.25" customHeight="1" x14ac:dyDescent="0.2">
      <c r="E762" s="19" t="s">
        <v>1979</v>
      </c>
    </row>
    <row r="763" spans="5:5" ht="14.25" customHeight="1" x14ac:dyDescent="0.2">
      <c r="E763" s="19" t="s">
        <v>1979</v>
      </c>
    </row>
    <row r="764" spans="5:5" ht="14.25" customHeight="1" x14ac:dyDescent="0.2">
      <c r="E764" s="19" t="s">
        <v>1979</v>
      </c>
    </row>
    <row r="765" spans="5:5" ht="14.25" customHeight="1" x14ac:dyDescent="0.2">
      <c r="E765" s="19" t="s">
        <v>1979</v>
      </c>
    </row>
    <row r="766" spans="5:5" ht="14.25" customHeight="1" x14ac:dyDescent="0.2">
      <c r="E766" s="19" t="s">
        <v>1979</v>
      </c>
    </row>
    <row r="767" spans="5:5" ht="14.25" customHeight="1" x14ac:dyDescent="0.2">
      <c r="E767" s="19" t="s">
        <v>1979</v>
      </c>
    </row>
    <row r="768" spans="5:5" ht="14.25" customHeight="1" x14ac:dyDescent="0.2">
      <c r="E768" s="19" t="s">
        <v>1979</v>
      </c>
    </row>
    <row r="769" spans="5:5" ht="14.25" customHeight="1" x14ac:dyDescent="0.2">
      <c r="E769" s="19" t="s">
        <v>1979</v>
      </c>
    </row>
    <row r="770" spans="5:5" ht="14.25" customHeight="1" x14ac:dyDescent="0.2">
      <c r="E770" s="19" t="s">
        <v>1979</v>
      </c>
    </row>
    <row r="771" spans="5:5" ht="14.25" customHeight="1" x14ac:dyDescent="0.2">
      <c r="E771" s="19" t="s">
        <v>1979</v>
      </c>
    </row>
    <row r="772" spans="5:5" ht="14.25" customHeight="1" x14ac:dyDescent="0.2">
      <c r="E772" s="19" t="s">
        <v>1979</v>
      </c>
    </row>
    <row r="773" spans="5:5" ht="14.25" customHeight="1" x14ac:dyDescent="0.2">
      <c r="E773" s="19" t="s">
        <v>1979</v>
      </c>
    </row>
    <row r="774" spans="5:5" ht="14.25" customHeight="1" x14ac:dyDescent="0.2">
      <c r="E774" s="19" t="s">
        <v>1979</v>
      </c>
    </row>
    <row r="775" spans="5:5" ht="14.25" customHeight="1" x14ac:dyDescent="0.2">
      <c r="E775" s="19" t="s">
        <v>1979</v>
      </c>
    </row>
    <row r="776" spans="5:5" ht="14.25" customHeight="1" x14ac:dyDescent="0.2">
      <c r="E776" s="19" t="s">
        <v>1979</v>
      </c>
    </row>
    <row r="777" spans="5:5" ht="14.25" customHeight="1" x14ac:dyDescent="0.2">
      <c r="E777" s="19" t="s">
        <v>1979</v>
      </c>
    </row>
    <row r="778" spans="5:5" ht="14.25" customHeight="1" x14ac:dyDescent="0.2">
      <c r="E778" s="19" t="s">
        <v>1979</v>
      </c>
    </row>
    <row r="779" spans="5:5" ht="14.25" customHeight="1" x14ac:dyDescent="0.2">
      <c r="E779" s="19" t="s">
        <v>1979</v>
      </c>
    </row>
    <row r="780" spans="5:5" ht="14.25" customHeight="1" x14ac:dyDescent="0.2">
      <c r="E780" s="19" t="s">
        <v>1979</v>
      </c>
    </row>
    <row r="781" spans="5:5" ht="14.25" customHeight="1" x14ac:dyDescent="0.2">
      <c r="E781" s="19" t="s">
        <v>1979</v>
      </c>
    </row>
    <row r="782" spans="5:5" ht="14.25" customHeight="1" x14ac:dyDescent="0.2">
      <c r="E782" s="19" t="s">
        <v>1979</v>
      </c>
    </row>
    <row r="783" spans="5:5" ht="14.25" customHeight="1" x14ac:dyDescent="0.2">
      <c r="E783" s="19" t="s">
        <v>1979</v>
      </c>
    </row>
    <row r="784" spans="5:5" ht="14.25" customHeight="1" x14ac:dyDescent="0.2">
      <c r="E784" s="19" t="s">
        <v>1979</v>
      </c>
    </row>
    <row r="785" spans="5:5" ht="14.25" customHeight="1" x14ac:dyDescent="0.2">
      <c r="E785" s="19" t="s">
        <v>1979</v>
      </c>
    </row>
    <row r="786" spans="5:5" ht="14.25" customHeight="1" x14ac:dyDescent="0.2">
      <c r="E786" s="19" t="s">
        <v>1979</v>
      </c>
    </row>
    <row r="787" spans="5:5" ht="14.25" customHeight="1" x14ac:dyDescent="0.2">
      <c r="E787" s="19" t="s">
        <v>1979</v>
      </c>
    </row>
    <row r="788" spans="5:5" ht="14.25" customHeight="1" x14ac:dyDescent="0.2">
      <c r="E788" s="19" t="s">
        <v>1979</v>
      </c>
    </row>
    <row r="789" spans="5:5" ht="14.25" customHeight="1" x14ac:dyDescent="0.2">
      <c r="E789" s="19" t="s">
        <v>1979</v>
      </c>
    </row>
    <row r="790" spans="5:5" ht="14.25" customHeight="1" x14ac:dyDescent="0.2">
      <c r="E790" s="19" t="s">
        <v>1979</v>
      </c>
    </row>
    <row r="791" spans="5:5" ht="14.25" customHeight="1" x14ac:dyDescent="0.2">
      <c r="E791" s="19" t="s">
        <v>1979</v>
      </c>
    </row>
    <row r="792" spans="5:5" ht="14.25" customHeight="1" x14ac:dyDescent="0.2">
      <c r="E792" s="19" t="s">
        <v>1979</v>
      </c>
    </row>
    <row r="793" spans="5:5" ht="14.25" customHeight="1" x14ac:dyDescent="0.2">
      <c r="E793" s="19" t="s">
        <v>1979</v>
      </c>
    </row>
    <row r="794" spans="5:5" ht="14.25" customHeight="1" x14ac:dyDescent="0.2">
      <c r="E794" s="19" t="s">
        <v>1979</v>
      </c>
    </row>
    <row r="795" spans="5:5" ht="14.25" customHeight="1" x14ac:dyDescent="0.2">
      <c r="E795" s="19" t="s">
        <v>1979</v>
      </c>
    </row>
    <row r="796" spans="5:5" ht="14.25" customHeight="1" x14ac:dyDescent="0.2">
      <c r="E796" s="19" t="s">
        <v>1979</v>
      </c>
    </row>
    <row r="797" spans="5:5" ht="14.25" customHeight="1" x14ac:dyDescent="0.2">
      <c r="E797" s="19" t="s">
        <v>1979</v>
      </c>
    </row>
    <row r="798" spans="5:5" ht="14.25" customHeight="1" x14ac:dyDescent="0.2">
      <c r="E798" s="19" t="s">
        <v>1979</v>
      </c>
    </row>
    <row r="799" spans="5:5" ht="14.25" customHeight="1" x14ac:dyDescent="0.2">
      <c r="E799" s="19" t="s">
        <v>1979</v>
      </c>
    </row>
    <row r="800" spans="5:5" ht="14.25" customHeight="1" x14ac:dyDescent="0.2">
      <c r="E800" s="19" t="s">
        <v>1979</v>
      </c>
    </row>
    <row r="801" spans="5:5" ht="14.25" customHeight="1" x14ac:dyDescent="0.2">
      <c r="E801" s="19" t="s">
        <v>1979</v>
      </c>
    </row>
    <row r="802" spans="5:5" ht="14.25" customHeight="1" x14ac:dyDescent="0.2">
      <c r="E802" s="19" t="s">
        <v>1979</v>
      </c>
    </row>
    <row r="803" spans="5:5" ht="14.25" customHeight="1" x14ac:dyDescent="0.2">
      <c r="E803" s="19" t="s">
        <v>1979</v>
      </c>
    </row>
    <row r="804" spans="5:5" ht="14.25" customHeight="1" x14ac:dyDescent="0.2">
      <c r="E804" s="19" t="s">
        <v>1979</v>
      </c>
    </row>
    <row r="805" spans="5:5" ht="14.25" customHeight="1" x14ac:dyDescent="0.2">
      <c r="E805" s="19" t="s">
        <v>1979</v>
      </c>
    </row>
    <row r="806" spans="5:5" ht="14.25" customHeight="1" x14ac:dyDescent="0.2">
      <c r="E806" s="19" t="s">
        <v>1979</v>
      </c>
    </row>
    <row r="807" spans="5:5" ht="14.25" customHeight="1" x14ac:dyDescent="0.2">
      <c r="E807" s="19" t="s">
        <v>1979</v>
      </c>
    </row>
    <row r="808" spans="5:5" ht="14.25" customHeight="1" x14ac:dyDescent="0.2">
      <c r="E808" s="19" t="s">
        <v>1979</v>
      </c>
    </row>
    <row r="809" spans="5:5" ht="14.25" customHeight="1" x14ac:dyDescent="0.2">
      <c r="E809" s="19" t="s">
        <v>1979</v>
      </c>
    </row>
    <row r="810" spans="5:5" ht="14.25" customHeight="1" x14ac:dyDescent="0.2">
      <c r="E810" s="19" t="s">
        <v>1979</v>
      </c>
    </row>
    <row r="811" spans="5:5" ht="14.25" customHeight="1" x14ac:dyDescent="0.2">
      <c r="E811" s="19" t="s">
        <v>1979</v>
      </c>
    </row>
    <row r="812" spans="5:5" ht="14.25" customHeight="1" x14ac:dyDescent="0.2">
      <c r="E812" s="19" t="s">
        <v>1979</v>
      </c>
    </row>
    <row r="813" spans="5:5" ht="14.25" customHeight="1" x14ac:dyDescent="0.2">
      <c r="E813" s="19" t="s">
        <v>1979</v>
      </c>
    </row>
    <row r="814" spans="5:5" ht="14.25" customHeight="1" x14ac:dyDescent="0.2">
      <c r="E814" s="19" t="s">
        <v>1979</v>
      </c>
    </row>
    <row r="815" spans="5:5" ht="14.25" customHeight="1" x14ac:dyDescent="0.2">
      <c r="E815" s="19" t="s">
        <v>1979</v>
      </c>
    </row>
    <row r="816" spans="5:5" ht="14.25" customHeight="1" x14ac:dyDescent="0.2">
      <c r="E816" s="19" t="s">
        <v>1979</v>
      </c>
    </row>
    <row r="817" spans="5:5" ht="14.25" customHeight="1" x14ac:dyDescent="0.2">
      <c r="E817" s="19" t="s">
        <v>1979</v>
      </c>
    </row>
    <row r="818" spans="5:5" ht="14.25" customHeight="1" x14ac:dyDescent="0.2">
      <c r="E818" s="19" t="s">
        <v>1979</v>
      </c>
    </row>
    <row r="819" spans="5:5" ht="14.25" customHeight="1" x14ac:dyDescent="0.2">
      <c r="E819" s="19" t="s">
        <v>1979</v>
      </c>
    </row>
    <row r="820" spans="5:5" ht="14.25" customHeight="1" x14ac:dyDescent="0.2">
      <c r="E820" s="19" t="s">
        <v>1979</v>
      </c>
    </row>
    <row r="821" spans="5:5" ht="14.25" customHeight="1" x14ac:dyDescent="0.2">
      <c r="E821" s="19" t="s">
        <v>1979</v>
      </c>
    </row>
    <row r="822" spans="5:5" ht="14.25" customHeight="1" x14ac:dyDescent="0.2">
      <c r="E822" s="19" t="s">
        <v>1979</v>
      </c>
    </row>
    <row r="823" spans="5:5" ht="14.25" customHeight="1" x14ac:dyDescent="0.2">
      <c r="E823" s="19" t="s">
        <v>1979</v>
      </c>
    </row>
    <row r="824" spans="5:5" ht="14.25" customHeight="1" x14ac:dyDescent="0.2">
      <c r="E824" s="19" t="s">
        <v>1979</v>
      </c>
    </row>
    <row r="825" spans="5:5" ht="14.25" customHeight="1" x14ac:dyDescent="0.2">
      <c r="E825" s="19" t="s">
        <v>1979</v>
      </c>
    </row>
    <row r="826" spans="5:5" ht="14.25" customHeight="1" x14ac:dyDescent="0.2">
      <c r="E826" s="19" t="s">
        <v>1979</v>
      </c>
    </row>
    <row r="827" spans="5:5" ht="14.25" customHeight="1" x14ac:dyDescent="0.2">
      <c r="E827" s="19" t="s">
        <v>1979</v>
      </c>
    </row>
    <row r="828" spans="5:5" ht="14.25" customHeight="1" x14ac:dyDescent="0.2">
      <c r="E828" s="19" t="s">
        <v>1979</v>
      </c>
    </row>
    <row r="829" spans="5:5" ht="14.25" customHeight="1" x14ac:dyDescent="0.2">
      <c r="E829" s="19" t="s">
        <v>1979</v>
      </c>
    </row>
    <row r="830" spans="5:5" ht="14.25" customHeight="1" x14ac:dyDescent="0.2">
      <c r="E830" s="19" t="s">
        <v>1979</v>
      </c>
    </row>
    <row r="831" spans="5:5" ht="14.25" customHeight="1" x14ac:dyDescent="0.2">
      <c r="E831" s="19" t="s">
        <v>1979</v>
      </c>
    </row>
    <row r="832" spans="5:5" ht="14.25" customHeight="1" x14ac:dyDescent="0.2">
      <c r="E832" s="19" t="s">
        <v>1979</v>
      </c>
    </row>
    <row r="833" spans="5:5" ht="14.25" customHeight="1" x14ac:dyDescent="0.2">
      <c r="E833" s="19" t="s">
        <v>1979</v>
      </c>
    </row>
    <row r="834" spans="5:5" ht="14.25" customHeight="1" x14ac:dyDescent="0.2">
      <c r="E834" s="19" t="s">
        <v>1979</v>
      </c>
    </row>
    <row r="835" spans="5:5" ht="14.25" customHeight="1" x14ac:dyDescent="0.2">
      <c r="E835" s="19" t="s">
        <v>1979</v>
      </c>
    </row>
    <row r="836" spans="5:5" ht="14.25" customHeight="1" x14ac:dyDescent="0.2">
      <c r="E836" s="19" t="s">
        <v>1979</v>
      </c>
    </row>
    <row r="837" spans="5:5" ht="14.25" customHeight="1" x14ac:dyDescent="0.2">
      <c r="E837" s="19" t="s">
        <v>1979</v>
      </c>
    </row>
    <row r="838" spans="5:5" ht="14.25" customHeight="1" x14ac:dyDescent="0.2">
      <c r="E838" s="19" t="s">
        <v>1979</v>
      </c>
    </row>
    <row r="839" spans="5:5" ht="14.25" customHeight="1" x14ac:dyDescent="0.2">
      <c r="E839" s="19" t="s">
        <v>1979</v>
      </c>
    </row>
    <row r="840" spans="5:5" ht="14.25" customHeight="1" x14ac:dyDescent="0.2">
      <c r="E840" s="19" t="s">
        <v>1979</v>
      </c>
    </row>
    <row r="841" spans="5:5" ht="14.25" customHeight="1" x14ac:dyDescent="0.2">
      <c r="E841" s="19" t="s">
        <v>1979</v>
      </c>
    </row>
    <row r="842" spans="5:5" ht="14.25" customHeight="1" x14ac:dyDescent="0.2">
      <c r="E842" s="19" t="s">
        <v>1979</v>
      </c>
    </row>
    <row r="843" spans="5:5" ht="14.25" customHeight="1" x14ac:dyDescent="0.2">
      <c r="E843" s="19" t="s">
        <v>1979</v>
      </c>
    </row>
    <row r="844" spans="5:5" ht="14.25" customHeight="1" x14ac:dyDescent="0.2">
      <c r="E844" s="19" t="s">
        <v>1979</v>
      </c>
    </row>
    <row r="845" spans="5:5" ht="14.25" customHeight="1" x14ac:dyDescent="0.2">
      <c r="E845" s="19" t="s">
        <v>1979</v>
      </c>
    </row>
    <row r="846" spans="5:5" ht="14.25" customHeight="1" x14ac:dyDescent="0.2">
      <c r="E846" s="19" t="s">
        <v>1979</v>
      </c>
    </row>
    <row r="847" spans="5:5" ht="14.25" customHeight="1" x14ac:dyDescent="0.2">
      <c r="E847" s="19" t="s">
        <v>1979</v>
      </c>
    </row>
    <row r="848" spans="5:5" ht="14.25" customHeight="1" x14ac:dyDescent="0.2">
      <c r="E848" s="19" t="s">
        <v>1979</v>
      </c>
    </row>
    <row r="849" spans="5:5" ht="14.25" customHeight="1" x14ac:dyDescent="0.2">
      <c r="E849" s="19" t="s">
        <v>1979</v>
      </c>
    </row>
    <row r="850" spans="5:5" ht="14.25" customHeight="1" x14ac:dyDescent="0.2">
      <c r="E850" s="19" t="s">
        <v>1979</v>
      </c>
    </row>
    <row r="851" spans="5:5" ht="14.25" customHeight="1" x14ac:dyDescent="0.2">
      <c r="E851" s="19" t="s">
        <v>1979</v>
      </c>
    </row>
    <row r="852" spans="5:5" ht="14.25" customHeight="1" x14ac:dyDescent="0.2">
      <c r="E852" s="19" t="s">
        <v>1979</v>
      </c>
    </row>
    <row r="853" spans="5:5" ht="14.25" customHeight="1" x14ac:dyDescent="0.2">
      <c r="E853" s="19" t="s">
        <v>1979</v>
      </c>
    </row>
    <row r="854" spans="5:5" ht="14.25" customHeight="1" x14ac:dyDescent="0.2">
      <c r="E854" s="19" t="s">
        <v>1979</v>
      </c>
    </row>
    <row r="855" spans="5:5" ht="14.25" customHeight="1" x14ac:dyDescent="0.2">
      <c r="E855" s="19" t="s">
        <v>1979</v>
      </c>
    </row>
    <row r="856" spans="5:5" ht="14.25" customHeight="1" x14ac:dyDescent="0.2">
      <c r="E856" s="19" t="s">
        <v>1979</v>
      </c>
    </row>
    <row r="857" spans="5:5" ht="14.25" customHeight="1" x14ac:dyDescent="0.2">
      <c r="E857" s="19" t="s">
        <v>1979</v>
      </c>
    </row>
    <row r="858" spans="5:5" ht="14.25" customHeight="1" x14ac:dyDescent="0.2">
      <c r="E858" s="19" t="s">
        <v>1979</v>
      </c>
    </row>
    <row r="859" spans="5:5" ht="14.25" customHeight="1" x14ac:dyDescent="0.2">
      <c r="E859" s="19" t="s">
        <v>1979</v>
      </c>
    </row>
    <row r="860" spans="5:5" ht="14.25" customHeight="1" x14ac:dyDescent="0.2">
      <c r="E860" s="19" t="s">
        <v>1979</v>
      </c>
    </row>
    <row r="861" spans="5:5" ht="14.25" customHeight="1" x14ac:dyDescent="0.2">
      <c r="E861" s="19" t="s">
        <v>1979</v>
      </c>
    </row>
    <row r="862" spans="5:5" ht="14.25" customHeight="1" x14ac:dyDescent="0.2">
      <c r="E862" s="19" t="s">
        <v>1979</v>
      </c>
    </row>
    <row r="863" spans="5:5" ht="14.25" customHeight="1" x14ac:dyDescent="0.2">
      <c r="E863" s="19" t="s">
        <v>1979</v>
      </c>
    </row>
    <row r="864" spans="5:5" ht="14.25" customHeight="1" x14ac:dyDescent="0.2">
      <c r="E864" s="19" t="s">
        <v>1979</v>
      </c>
    </row>
    <row r="865" spans="5:5" ht="14.25" customHeight="1" x14ac:dyDescent="0.2">
      <c r="E865" s="19" t="s">
        <v>1979</v>
      </c>
    </row>
    <row r="866" spans="5:5" ht="14.25" customHeight="1" x14ac:dyDescent="0.2">
      <c r="E866" s="19" t="s">
        <v>1979</v>
      </c>
    </row>
    <row r="867" spans="5:5" ht="14.25" customHeight="1" x14ac:dyDescent="0.2">
      <c r="E867" s="19" t="s">
        <v>1979</v>
      </c>
    </row>
    <row r="868" spans="5:5" ht="14.25" customHeight="1" x14ac:dyDescent="0.2">
      <c r="E868" s="19" t="s">
        <v>1979</v>
      </c>
    </row>
    <row r="869" spans="5:5" ht="14.25" customHeight="1" x14ac:dyDescent="0.2">
      <c r="E869" s="19" t="s">
        <v>1979</v>
      </c>
    </row>
    <row r="870" spans="5:5" ht="14.25" customHeight="1" x14ac:dyDescent="0.2">
      <c r="E870" s="19" t="s">
        <v>1979</v>
      </c>
    </row>
    <row r="871" spans="5:5" ht="14.25" customHeight="1" x14ac:dyDescent="0.2">
      <c r="E871" s="19" t="s">
        <v>1979</v>
      </c>
    </row>
    <row r="872" spans="5:5" ht="14.25" customHeight="1" x14ac:dyDescent="0.2">
      <c r="E872" s="19" t="s">
        <v>1979</v>
      </c>
    </row>
    <row r="873" spans="5:5" ht="14.25" customHeight="1" x14ac:dyDescent="0.2">
      <c r="E873" s="19" t="s">
        <v>1979</v>
      </c>
    </row>
    <row r="874" spans="5:5" ht="14.25" customHeight="1" x14ac:dyDescent="0.2">
      <c r="E874" s="19" t="s">
        <v>1979</v>
      </c>
    </row>
    <row r="875" spans="5:5" ht="14.25" customHeight="1" x14ac:dyDescent="0.2">
      <c r="E875" s="19" t="s">
        <v>1979</v>
      </c>
    </row>
    <row r="876" spans="5:5" ht="14.25" customHeight="1" x14ac:dyDescent="0.2">
      <c r="E876" s="19" t="s">
        <v>1979</v>
      </c>
    </row>
    <row r="877" spans="5:5" ht="14.25" customHeight="1" x14ac:dyDescent="0.2">
      <c r="E877" s="19" t="s">
        <v>1979</v>
      </c>
    </row>
    <row r="878" spans="5:5" ht="14.25" customHeight="1" x14ac:dyDescent="0.2">
      <c r="E878" s="19" t="s">
        <v>1979</v>
      </c>
    </row>
    <row r="879" spans="5:5" ht="14.25" customHeight="1" x14ac:dyDescent="0.2">
      <c r="E879" s="19" t="s">
        <v>1979</v>
      </c>
    </row>
    <row r="880" spans="5:5" ht="14.25" customHeight="1" x14ac:dyDescent="0.2">
      <c r="E880" s="19" t="s">
        <v>1979</v>
      </c>
    </row>
    <row r="881" spans="5:5" ht="14.25" customHeight="1" x14ac:dyDescent="0.2">
      <c r="E881" s="19" t="s">
        <v>1979</v>
      </c>
    </row>
    <row r="882" spans="5:5" ht="14.25" customHeight="1" x14ac:dyDescent="0.2">
      <c r="E882" s="19" t="s">
        <v>1979</v>
      </c>
    </row>
    <row r="883" spans="5:5" ht="14.25" customHeight="1" x14ac:dyDescent="0.2">
      <c r="E883" s="19" t="s">
        <v>1979</v>
      </c>
    </row>
    <row r="884" spans="5:5" ht="14.25" customHeight="1" x14ac:dyDescent="0.2">
      <c r="E884" s="19" t="s">
        <v>1979</v>
      </c>
    </row>
    <row r="885" spans="5:5" ht="14.25" customHeight="1" x14ac:dyDescent="0.2">
      <c r="E885" s="19" t="s">
        <v>1979</v>
      </c>
    </row>
    <row r="886" spans="5:5" ht="14.25" customHeight="1" x14ac:dyDescent="0.2">
      <c r="E886" s="19" t="s">
        <v>1979</v>
      </c>
    </row>
    <row r="887" spans="5:5" ht="14.25" customHeight="1" x14ac:dyDescent="0.2">
      <c r="E887" s="19" t="s">
        <v>1979</v>
      </c>
    </row>
    <row r="888" spans="5:5" ht="14.25" customHeight="1" x14ac:dyDescent="0.2">
      <c r="E888" s="19" t="s">
        <v>1979</v>
      </c>
    </row>
    <row r="889" spans="5:5" ht="14.25" customHeight="1" x14ac:dyDescent="0.2">
      <c r="E889" s="19" t="s">
        <v>1979</v>
      </c>
    </row>
    <row r="890" spans="5:5" ht="14.25" customHeight="1" x14ac:dyDescent="0.2">
      <c r="E890" s="19" t="s">
        <v>1979</v>
      </c>
    </row>
    <row r="891" spans="5:5" ht="14.25" customHeight="1" x14ac:dyDescent="0.2">
      <c r="E891" s="19" t="s">
        <v>1979</v>
      </c>
    </row>
    <row r="892" spans="5:5" ht="14.25" customHeight="1" x14ac:dyDescent="0.2">
      <c r="E892" s="19" t="s">
        <v>1979</v>
      </c>
    </row>
    <row r="893" spans="5:5" ht="14.25" customHeight="1" x14ac:dyDescent="0.2">
      <c r="E893" s="19" t="s">
        <v>1979</v>
      </c>
    </row>
    <row r="894" spans="5:5" ht="14.25" customHeight="1" x14ac:dyDescent="0.2">
      <c r="E894" s="19" t="s">
        <v>1979</v>
      </c>
    </row>
    <row r="895" spans="5:5" ht="14.25" customHeight="1" x14ac:dyDescent="0.2">
      <c r="E895" s="19" t="s">
        <v>1979</v>
      </c>
    </row>
    <row r="896" spans="5:5" ht="14.25" customHeight="1" x14ac:dyDescent="0.2">
      <c r="E896" s="19" t="s">
        <v>1979</v>
      </c>
    </row>
    <row r="897" spans="5:5" ht="14.25" customHeight="1" x14ac:dyDescent="0.2">
      <c r="E897" s="19" t="s">
        <v>1979</v>
      </c>
    </row>
    <row r="898" spans="5:5" ht="14.25" customHeight="1" x14ac:dyDescent="0.2">
      <c r="E898" s="19" t="s">
        <v>1979</v>
      </c>
    </row>
    <row r="899" spans="5:5" ht="14.25" customHeight="1" x14ac:dyDescent="0.2">
      <c r="E899" s="19" t="s">
        <v>1979</v>
      </c>
    </row>
    <row r="900" spans="5:5" ht="14.25" customHeight="1" x14ac:dyDescent="0.2">
      <c r="E900" s="19" t="s">
        <v>1979</v>
      </c>
    </row>
    <row r="901" spans="5:5" ht="14.25" customHeight="1" x14ac:dyDescent="0.2">
      <c r="E901" s="19" t="s">
        <v>1979</v>
      </c>
    </row>
    <row r="902" spans="5:5" ht="14.25" customHeight="1" x14ac:dyDescent="0.2">
      <c r="E902" s="19" t="s">
        <v>1979</v>
      </c>
    </row>
    <row r="903" spans="5:5" ht="14.25" customHeight="1" x14ac:dyDescent="0.2">
      <c r="E903" s="19" t="s">
        <v>1979</v>
      </c>
    </row>
    <row r="904" spans="5:5" ht="14.25" customHeight="1" x14ac:dyDescent="0.2">
      <c r="E904" s="19" t="s">
        <v>1979</v>
      </c>
    </row>
    <row r="905" spans="5:5" ht="14.25" customHeight="1" x14ac:dyDescent="0.2">
      <c r="E905" s="19" t="s">
        <v>1979</v>
      </c>
    </row>
    <row r="906" spans="5:5" ht="14.25" customHeight="1" x14ac:dyDescent="0.2">
      <c r="E906" s="19" t="s">
        <v>1979</v>
      </c>
    </row>
    <row r="907" spans="5:5" ht="14.25" customHeight="1" x14ac:dyDescent="0.2">
      <c r="E907" s="19" t="s">
        <v>1979</v>
      </c>
    </row>
    <row r="908" spans="5:5" ht="14.25" customHeight="1" x14ac:dyDescent="0.2">
      <c r="E908" s="19" t="s">
        <v>1979</v>
      </c>
    </row>
    <row r="909" spans="5:5" ht="14.25" customHeight="1" x14ac:dyDescent="0.2">
      <c r="E909" s="19" t="s">
        <v>1979</v>
      </c>
    </row>
    <row r="910" spans="5:5" ht="14.25" customHeight="1" x14ac:dyDescent="0.2">
      <c r="E910" s="19" t="s">
        <v>1979</v>
      </c>
    </row>
    <row r="911" spans="5:5" ht="14.25" customHeight="1" x14ac:dyDescent="0.2">
      <c r="E911" s="19" t="s">
        <v>1979</v>
      </c>
    </row>
    <row r="912" spans="5:5" ht="14.25" customHeight="1" x14ac:dyDescent="0.2">
      <c r="E912" s="19" t="s">
        <v>1979</v>
      </c>
    </row>
    <row r="913" spans="5:5" ht="14.25" customHeight="1" x14ac:dyDescent="0.2">
      <c r="E913" s="19" t="s">
        <v>1979</v>
      </c>
    </row>
    <row r="914" spans="5:5" ht="14.25" customHeight="1" x14ac:dyDescent="0.2">
      <c r="E914" s="19" t="s">
        <v>1979</v>
      </c>
    </row>
    <row r="915" spans="5:5" ht="14.25" customHeight="1" x14ac:dyDescent="0.2">
      <c r="E915" s="19" t="s">
        <v>1979</v>
      </c>
    </row>
    <row r="916" spans="5:5" ht="14.25" customHeight="1" x14ac:dyDescent="0.2">
      <c r="E916" s="19" t="s">
        <v>1979</v>
      </c>
    </row>
    <row r="917" spans="5:5" ht="14.25" customHeight="1" x14ac:dyDescent="0.2">
      <c r="E917" s="19" t="s">
        <v>1979</v>
      </c>
    </row>
    <row r="918" spans="5:5" ht="14.25" customHeight="1" x14ac:dyDescent="0.2">
      <c r="E918" s="19" t="s">
        <v>1979</v>
      </c>
    </row>
    <row r="919" spans="5:5" ht="14.25" customHeight="1" x14ac:dyDescent="0.2">
      <c r="E919" s="19" t="s">
        <v>1979</v>
      </c>
    </row>
    <row r="920" spans="5:5" ht="14.25" customHeight="1" x14ac:dyDescent="0.2">
      <c r="E920" s="19" t="s">
        <v>1979</v>
      </c>
    </row>
    <row r="921" spans="5:5" ht="14.25" customHeight="1" x14ac:dyDescent="0.2">
      <c r="E921" s="19" t="s">
        <v>1979</v>
      </c>
    </row>
    <row r="922" spans="5:5" ht="14.25" customHeight="1" x14ac:dyDescent="0.2">
      <c r="E922" s="19" t="s">
        <v>1979</v>
      </c>
    </row>
    <row r="923" spans="5:5" ht="14.25" customHeight="1" x14ac:dyDescent="0.2">
      <c r="E923" s="19" t="s">
        <v>1979</v>
      </c>
    </row>
    <row r="924" spans="5:5" ht="14.25" customHeight="1" x14ac:dyDescent="0.2">
      <c r="E924" s="19" t="s">
        <v>1979</v>
      </c>
    </row>
    <row r="925" spans="5:5" ht="14.25" customHeight="1" x14ac:dyDescent="0.2">
      <c r="E925" s="19" t="s">
        <v>1979</v>
      </c>
    </row>
    <row r="926" spans="5:5" ht="14.25" customHeight="1" x14ac:dyDescent="0.2">
      <c r="E926" s="19" t="s">
        <v>1979</v>
      </c>
    </row>
    <row r="927" spans="5:5" ht="14.25" customHeight="1" x14ac:dyDescent="0.2">
      <c r="E927" s="19" t="s">
        <v>1979</v>
      </c>
    </row>
    <row r="928" spans="5:5" ht="14.25" customHeight="1" x14ac:dyDescent="0.2">
      <c r="E928" s="19" t="s">
        <v>1979</v>
      </c>
    </row>
    <row r="929" spans="5:5" ht="14.25" customHeight="1" x14ac:dyDescent="0.2">
      <c r="E929" s="19" t="s">
        <v>1979</v>
      </c>
    </row>
    <row r="930" spans="5:5" ht="14.25" customHeight="1" x14ac:dyDescent="0.2">
      <c r="E930" s="19" t="s">
        <v>1979</v>
      </c>
    </row>
    <row r="931" spans="5:5" ht="14.25" customHeight="1" x14ac:dyDescent="0.2">
      <c r="E931" s="19" t="s">
        <v>1979</v>
      </c>
    </row>
    <row r="932" spans="5:5" ht="14.25" customHeight="1" x14ac:dyDescent="0.2">
      <c r="E932" s="19" t="s">
        <v>1979</v>
      </c>
    </row>
    <row r="933" spans="5:5" ht="14.25" customHeight="1" x14ac:dyDescent="0.2">
      <c r="E933" s="19" t="s">
        <v>1979</v>
      </c>
    </row>
    <row r="934" spans="5:5" ht="14.25" customHeight="1" x14ac:dyDescent="0.2">
      <c r="E934" s="19" t="s">
        <v>1979</v>
      </c>
    </row>
    <row r="935" spans="5:5" ht="14.25" customHeight="1" x14ac:dyDescent="0.2">
      <c r="E935" s="19" t="s">
        <v>1979</v>
      </c>
    </row>
    <row r="936" spans="5:5" ht="14.25" customHeight="1" x14ac:dyDescent="0.2">
      <c r="E936" s="19" t="s">
        <v>1979</v>
      </c>
    </row>
    <row r="937" spans="5:5" ht="14.25" customHeight="1" x14ac:dyDescent="0.2">
      <c r="E937" s="19" t="s">
        <v>1979</v>
      </c>
    </row>
    <row r="938" spans="5:5" ht="14.25" customHeight="1" x14ac:dyDescent="0.2">
      <c r="E938" s="19" t="s">
        <v>1979</v>
      </c>
    </row>
    <row r="939" spans="5:5" ht="14.25" customHeight="1" x14ac:dyDescent="0.2">
      <c r="E939" s="19" t="s">
        <v>1979</v>
      </c>
    </row>
    <row r="940" spans="5:5" ht="14.25" customHeight="1" x14ac:dyDescent="0.2">
      <c r="E940" s="19" t="s">
        <v>1979</v>
      </c>
    </row>
    <row r="941" spans="5:5" ht="14.25" customHeight="1" x14ac:dyDescent="0.2">
      <c r="E941" s="19" t="s">
        <v>1979</v>
      </c>
    </row>
    <row r="942" spans="5:5" ht="14.25" customHeight="1" x14ac:dyDescent="0.2">
      <c r="E942" s="19" t="s">
        <v>1979</v>
      </c>
    </row>
    <row r="943" spans="5:5" ht="14.25" customHeight="1" x14ac:dyDescent="0.2">
      <c r="E943" s="19" t="s">
        <v>1979</v>
      </c>
    </row>
    <row r="944" spans="5:5" ht="14.25" customHeight="1" x14ac:dyDescent="0.2">
      <c r="E944" s="19" t="s">
        <v>1979</v>
      </c>
    </row>
    <row r="945" spans="5:5" ht="14.25" customHeight="1" x14ac:dyDescent="0.2">
      <c r="E945" s="19" t="s">
        <v>1979</v>
      </c>
    </row>
    <row r="946" spans="5:5" ht="14.25" customHeight="1" x14ac:dyDescent="0.2">
      <c r="E946" s="19" t="s">
        <v>1979</v>
      </c>
    </row>
    <row r="947" spans="5:5" ht="14.25" customHeight="1" x14ac:dyDescent="0.2">
      <c r="E947" s="19" t="s">
        <v>1979</v>
      </c>
    </row>
    <row r="948" spans="5:5" ht="14.25" customHeight="1" x14ac:dyDescent="0.2">
      <c r="E948" s="19" t="s">
        <v>1979</v>
      </c>
    </row>
    <row r="949" spans="5:5" ht="14.25" customHeight="1" x14ac:dyDescent="0.2">
      <c r="E949" s="19" t="s">
        <v>1979</v>
      </c>
    </row>
    <row r="950" spans="5:5" ht="14.25" customHeight="1" x14ac:dyDescent="0.2">
      <c r="E950" s="19" t="s">
        <v>1979</v>
      </c>
    </row>
    <row r="951" spans="5:5" ht="14.25" customHeight="1" x14ac:dyDescent="0.2">
      <c r="E951" s="19" t="s">
        <v>1979</v>
      </c>
    </row>
    <row r="952" spans="5:5" ht="14.25" customHeight="1" x14ac:dyDescent="0.2">
      <c r="E952" s="19" t="s">
        <v>1979</v>
      </c>
    </row>
    <row r="953" spans="5:5" ht="14.25" customHeight="1" x14ac:dyDescent="0.2">
      <c r="E953" s="19" t="s">
        <v>1979</v>
      </c>
    </row>
    <row r="954" spans="5:5" ht="14.25" customHeight="1" x14ac:dyDescent="0.2">
      <c r="E954" s="19" t="s">
        <v>1979</v>
      </c>
    </row>
    <row r="955" spans="5:5" ht="14.25" customHeight="1" x14ac:dyDescent="0.2">
      <c r="E955" s="19" t="s">
        <v>1979</v>
      </c>
    </row>
    <row r="956" spans="5:5" ht="14.25" customHeight="1" x14ac:dyDescent="0.2">
      <c r="E956" s="19" t="s">
        <v>1979</v>
      </c>
    </row>
    <row r="957" spans="5:5" ht="14.25" customHeight="1" x14ac:dyDescent="0.2">
      <c r="E957" s="19" t="s">
        <v>1979</v>
      </c>
    </row>
    <row r="958" spans="5:5" ht="14.25" customHeight="1" x14ac:dyDescent="0.2">
      <c r="E958" s="19" t="s">
        <v>1979</v>
      </c>
    </row>
    <row r="959" spans="5:5" ht="14.25" customHeight="1" x14ac:dyDescent="0.2">
      <c r="E959" s="19" t="s">
        <v>1979</v>
      </c>
    </row>
    <row r="960" spans="5:5" ht="14.25" customHeight="1" x14ac:dyDescent="0.2">
      <c r="E960" s="19" t="s">
        <v>1979</v>
      </c>
    </row>
    <row r="961" spans="5:5" ht="14.25" customHeight="1" x14ac:dyDescent="0.2">
      <c r="E961" s="19" t="s">
        <v>1979</v>
      </c>
    </row>
    <row r="962" spans="5:5" ht="14.25" customHeight="1" x14ac:dyDescent="0.2">
      <c r="E962" s="19" t="s">
        <v>1979</v>
      </c>
    </row>
    <row r="963" spans="5:5" ht="14.25" customHeight="1" x14ac:dyDescent="0.2">
      <c r="E963" s="19" t="s">
        <v>1979</v>
      </c>
    </row>
    <row r="964" spans="5:5" ht="14.25" customHeight="1" x14ac:dyDescent="0.2">
      <c r="E964" s="19" t="s">
        <v>1979</v>
      </c>
    </row>
    <row r="965" spans="5:5" ht="14.25" customHeight="1" x14ac:dyDescent="0.2">
      <c r="E965" s="19" t="s">
        <v>1979</v>
      </c>
    </row>
    <row r="966" spans="5:5" ht="14.25" customHeight="1" x14ac:dyDescent="0.2">
      <c r="E966" s="19" t="s">
        <v>1979</v>
      </c>
    </row>
    <row r="967" spans="5:5" ht="14.25" customHeight="1" x14ac:dyDescent="0.2">
      <c r="E967" s="19" t="s">
        <v>1979</v>
      </c>
    </row>
    <row r="968" spans="5:5" ht="14.25" customHeight="1" x14ac:dyDescent="0.2">
      <c r="E968" s="19" t="s">
        <v>1979</v>
      </c>
    </row>
    <row r="969" spans="5:5" ht="14.25" customHeight="1" x14ac:dyDescent="0.2">
      <c r="E969" s="19" t="s">
        <v>1979</v>
      </c>
    </row>
    <row r="970" spans="5:5" ht="14.25" customHeight="1" x14ac:dyDescent="0.2">
      <c r="E970" s="19" t="s">
        <v>1979</v>
      </c>
    </row>
    <row r="971" spans="5:5" ht="14.25" customHeight="1" x14ac:dyDescent="0.2">
      <c r="E971" s="19" t="s">
        <v>1979</v>
      </c>
    </row>
    <row r="972" spans="5:5" ht="14.25" customHeight="1" x14ac:dyDescent="0.2">
      <c r="E972" s="19" t="s">
        <v>1979</v>
      </c>
    </row>
    <row r="973" spans="5:5" ht="14.25" customHeight="1" x14ac:dyDescent="0.2">
      <c r="E973" s="19" t="s">
        <v>1979</v>
      </c>
    </row>
    <row r="974" spans="5:5" ht="14.25" customHeight="1" x14ac:dyDescent="0.2">
      <c r="E974" s="19" t="s">
        <v>1979</v>
      </c>
    </row>
    <row r="975" spans="5:5" ht="14.25" customHeight="1" x14ac:dyDescent="0.2">
      <c r="E975" s="19" t="s">
        <v>1979</v>
      </c>
    </row>
    <row r="976" spans="5:5" ht="14.25" customHeight="1" x14ac:dyDescent="0.2">
      <c r="E976" s="19" t="s">
        <v>1979</v>
      </c>
    </row>
    <row r="977" spans="5:5" ht="14.25" customHeight="1" x14ac:dyDescent="0.2">
      <c r="E977" s="19" t="s">
        <v>1979</v>
      </c>
    </row>
    <row r="978" spans="5:5" ht="14.25" customHeight="1" x14ac:dyDescent="0.2">
      <c r="E978" s="19" t="s">
        <v>1979</v>
      </c>
    </row>
    <row r="979" spans="5:5" ht="14.25" customHeight="1" x14ac:dyDescent="0.2">
      <c r="E979" s="19" t="s">
        <v>1979</v>
      </c>
    </row>
    <row r="980" spans="5:5" ht="14.25" customHeight="1" x14ac:dyDescent="0.2">
      <c r="E980" s="19" t="s">
        <v>1979</v>
      </c>
    </row>
    <row r="981" spans="5:5" ht="14.25" customHeight="1" x14ac:dyDescent="0.2">
      <c r="E981" s="19" t="s">
        <v>1979</v>
      </c>
    </row>
    <row r="982" spans="5:5" ht="14.25" customHeight="1" x14ac:dyDescent="0.2">
      <c r="E982" s="19" t="s">
        <v>1979</v>
      </c>
    </row>
    <row r="983" spans="5:5" ht="14.25" customHeight="1" x14ac:dyDescent="0.2">
      <c r="E983" s="19" t="s">
        <v>1979</v>
      </c>
    </row>
    <row r="984" spans="5:5" ht="14.25" customHeight="1" x14ac:dyDescent="0.2">
      <c r="E984" s="19" t="s">
        <v>1979</v>
      </c>
    </row>
    <row r="985" spans="5:5" ht="14.25" customHeight="1" x14ac:dyDescent="0.2">
      <c r="E985" s="19" t="s">
        <v>1979</v>
      </c>
    </row>
    <row r="986" spans="5:5" ht="14.25" customHeight="1" x14ac:dyDescent="0.2">
      <c r="E986" s="19" t="s">
        <v>1979</v>
      </c>
    </row>
    <row r="987" spans="5:5" ht="14.25" customHeight="1" x14ac:dyDescent="0.2">
      <c r="E987" s="19" t="s">
        <v>1979</v>
      </c>
    </row>
    <row r="988" spans="5:5" ht="14.25" customHeight="1" x14ac:dyDescent="0.2">
      <c r="E988" s="19" t="s">
        <v>1979</v>
      </c>
    </row>
    <row r="989" spans="5:5" ht="14.25" customHeight="1" x14ac:dyDescent="0.2">
      <c r="E989" s="19" t="s">
        <v>1979</v>
      </c>
    </row>
    <row r="990" spans="5:5" ht="14.25" customHeight="1" x14ac:dyDescent="0.2">
      <c r="E990" s="19" t="s">
        <v>1979</v>
      </c>
    </row>
    <row r="991" spans="5:5" ht="14.25" customHeight="1" x14ac:dyDescent="0.2">
      <c r="E991" s="19" t="s">
        <v>1979</v>
      </c>
    </row>
    <row r="992" spans="5:5" ht="14.25" customHeight="1" x14ac:dyDescent="0.2">
      <c r="E992" s="19" t="s">
        <v>1979</v>
      </c>
    </row>
    <row r="993" spans="5:5" ht="14.25" customHeight="1" x14ac:dyDescent="0.2">
      <c r="E993" s="19" t="s">
        <v>1979</v>
      </c>
    </row>
    <row r="994" spans="5:5" ht="14.25" customHeight="1" x14ac:dyDescent="0.2">
      <c r="E994" s="19" t="s">
        <v>1979</v>
      </c>
    </row>
    <row r="995" spans="5:5" ht="14.25" customHeight="1" x14ac:dyDescent="0.2">
      <c r="E995" s="19" t="s">
        <v>1979</v>
      </c>
    </row>
    <row r="996" spans="5:5" ht="14.25" customHeight="1" x14ac:dyDescent="0.2">
      <c r="E996" s="19" t="s">
        <v>1979</v>
      </c>
    </row>
    <row r="997" spans="5:5" ht="14.25" customHeight="1" x14ac:dyDescent="0.2">
      <c r="E997" s="19" t="s">
        <v>1979</v>
      </c>
    </row>
    <row r="998" spans="5:5" ht="14.25" customHeight="1" x14ac:dyDescent="0.2">
      <c r="E998" s="19" t="s">
        <v>1979</v>
      </c>
    </row>
    <row r="999" spans="5:5" ht="14.25" customHeight="1" x14ac:dyDescent="0.2">
      <c r="E999" s="19" t="s">
        <v>1979</v>
      </c>
    </row>
    <row r="1000" spans="5:5" ht="14.25" customHeight="1" x14ac:dyDescent="0.2">
      <c r="E1000" s="19" t="s">
        <v>1979</v>
      </c>
    </row>
    <row r="1001" spans="5:5" ht="14.25" customHeight="1" x14ac:dyDescent="0.2">
      <c r="E1001" s="19" t="s">
        <v>1979</v>
      </c>
    </row>
    <row r="1002" spans="5:5" ht="14.25" customHeight="1" x14ac:dyDescent="0.2">
      <c r="E1002" s="19" t="s">
        <v>1979</v>
      </c>
    </row>
    <row r="1003" spans="5:5" ht="14.25" customHeight="1" x14ac:dyDescent="0.2">
      <c r="E1003" s="19" t="s">
        <v>1979</v>
      </c>
    </row>
    <row r="1004" spans="5:5" ht="14.25" customHeight="1" x14ac:dyDescent="0.2">
      <c r="E1004" s="19" t="s">
        <v>1979</v>
      </c>
    </row>
    <row r="1005" spans="5:5" ht="14.25" customHeight="1" x14ac:dyDescent="0.2">
      <c r="E1005" s="19" t="s">
        <v>1979</v>
      </c>
    </row>
    <row r="1006" spans="5:5" ht="14.25" customHeight="1" x14ac:dyDescent="0.2">
      <c r="E1006" s="19" t="s">
        <v>1979</v>
      </c>
    </row>
    <row r="1007" spans="5:5" ht="14.25" customHeight="1" x14ac:dyDescent="0.2">
      <c r="E1007" s="19" t="s">
        <v>1979</v>
      </c>
    </row>
    <row r="1008" spans="5:5" ht="14.25" customHeight="1" x14ac:dyDescent="0.2">
      <c r="E1008" s="19" t="s">
        <v>1979</v>
      </c>
    </row>
    <row r="1009" spans="5:5" ht="14.25" customHeight="1" x14ac:dyDescent="0.2">
      <c r="E1009" s="19" t="s">
        <v>1979</v>
      </c>
    </row>
    <row r="1010" spans="5:5" ht="14.25" customHeight="1" x14ac:dyDescent="0.2">
      <c r="E1010" s="19" t="s">
        <v>1979</v>
      </c>
    </row>
    <row r="1011" spans="5:5" ht="14.25" customHeight="1" x14ac:dyDescent="0.2">
      <c r="E1011" s="19" t="s">
        <v>1979</v>
      </c>
    </row>
    <row r="1012" spans="5:5" ht="14.25" customHeight="1" x14ac:dyDescent="0.2">
      <c r="E1012" s="19" t="s">
        <v>1979</v>
      </c>
    </row>
    <row r="1013" spans="5:5" ht="14.25" customHeight="1" x14ac:dyDescent="0.2">
      <c r="E1013" s="19" t="s">
        <v>1979</v>
      </c>
    </row>
    <row r="1014" spans="5:5" ht="14.25" customHeight="1" x14ac:dyDescent="0.2">
      <c r="E1014" s="19" t="s">
        <v>1979</v>
      </c>
    </row>
    <row r="1015" spans="5:5" ht="14.25" customHeight="1" x14ac:dyDescent="0.2">
      <c r="E1015" s="19" t="s">
        <v>1979</v>
      </c>
    </row>
    <row r="1016" spans="5:5" ht="14.25" customHeight="1" x14ac:dyDescent="0.2">
      <c r="E1016" s="19" t="s">
        <v>1979</v>
      </c>
    </row>
    <row r="1017" spans="5:5" ht="14.25" customHeight="1" x14ac:dyDescent="0.2">
      <c r="E1017" s="19" t="s">
        <v>1979</v>
      </c>
    </row>
    <row r="1018" spans="5:5" ht="14.25" customHeight="1" x14ac:dyDescent="0.2">
      <c r="E1018" s="19" t="s">
        <v>1979</v>
      </c>
    </row>
    <row r="1019" spans="5:5" ht="14.25" customHeight="1" x14ac:dyDescent="0.2">
      <c r="E1019" s="19" t="s">
        <v>1979</v>
      </c>
    </row>
    <row r="1020" spans="5:5" ht="14.25" customHeight="1" x14ac:dyDescent="0.2">
      <c r="E1020" s="19" t="s">
        <v>1979</v>
      </c>
    </row>
    <row r="1021" spans="5:5" ht="14.25" customHeight="1" x14ac:dyDescent="0.2">
      <c r="E1021" s="19" t="s">
        <v>1979</v>
      </c>
    </row>
    <row r="1022" spans="5:5" ht="14.25" customHeight="1" x14ac:dyDescent="0.2">
      <c r="E1022" s="19" t="s">
        <v>1979</v>
      </c>
    </row>
    <row r="1023" spans="5:5" ht="14.25" customHeight="1" x14ac:dyDescent="0.2">
      <c r="E1023" s="19" t="s">
        <v>1979</v>
      </c>
    </row>
    <row r="1024" spans="5:5" ht="14.25" customHeight="1" x14ac:dyDescent="0.2">
      <c r="E1024" s="19" t="s">
        <v>1979</v>
      </c>
    </row>
    <row r="1025" spans="5:5" ht="14.25" customHeight="1" x14ac:dyDescent="0.2">
      <c r="E1025" s="19" t="s">
        <v>1979</v>
      </c>
    </row>
    <row r="1026" spans="5:5" ht="14.25" customHeight="1" x14ac:dyDescent="0.2">
      <c r="E1026" s="19" t="s">
        <v>1979</v>
      </c>
    </row>
    <row r="1027" spans="5:5" ht="14.25" customHeight="1" x14ac:dyDescent="0.2">
      <c r="E1027" s="19" t="s">
        <v>1979</v>
      </c>
    </row>
    <row r="1028" spans="5:5" ht="14.25" customHeight="1" x14ac:dyDescent="0.2">
      <c r="E1028" s="19" t="s">
        <v>1979</v>
      </c>
    </row>
    <row r="1029" spans="5:5" ht="14.25" customHeight="1" x14ac:dyDescent="0.2">
      <c r="E1029" s="19" t="s">
        <v>1979</v>
      </c>
    </row>
    <row r="1030" spans="5:5" ht="14.25" customHeight="1" x14ac:dyDescent="0.2">
      <c r="E1030" s="19" t="s">
        <v>1979</v>
      </c>
    </row>
    <row r="1031" spans="5:5" ht="14.25" customHeight="1" x14ac:dyDescent="0.2">
      <c r="E1031" s="19" t="s">
        <v>1979</v>
      </c>
    </row>
    <row r="1032" spans="5:5" ht="14.25" customHeight="1" x14ac:dyDescent="0.2">
      <c r="E1032" s="19" t="s">
        <v>1979</v>
      </c>
    </row>
    <row r="1033" spans="5:5" ht="14.25" customHeight="1" x14ac:dyDescent="0.2">
      <c r="E1033" s="19" t="s">
        <v>1979</v>
      </c>
    </row>
    <row r="1034" spans="5:5" ht="14.25" customHeight="1" x14ac:dyDescent="0.2">
      <c r="E1034" s="19" t="s">
        <v>1979</v>
      </c>
    </row>
    <row r="1035" spans="5:5" ht="14.25" customHeight="1" x14ac:dyDescent="0.2">
      <c r="E1035" s="19" t="s">
        <v>1979</v>
      </c>
    </row>
    <row r="1036" spans="5:5" ht="14.25" customHeight="1" x14ac:dyDescent="0.2">
      <c r="E1036" s="19" t="s">
        <v>1979</v>
      </c>
    </row>
    <row r="1037" spans="5:5" ht="14.25" customHeight="1" x14ac:dyDescent="0.2">
      <c r="E1037" s="19" t="s">
        <v>1979</v>
      </c>
    </row>
    <row r="1038" spans="5:5" ht="14.25" customHeight="1" x14ac:dyDescent="0.2">
      <c r="E1038" s="19" t="s">
        <v>1979</v>
      </c>
    </row>
    <row r="1039" spans="5:5" ht="14.25" customHeight="1" x14ac:dyDescent="0.2">
      <c r="E1039" s="19" t="s">
        <v>1979</v>
      </c>
    </row>
    <row r="1040" spans="5:5" ht="14.25" customHeight="1" x14ac:dyDescent="0.2">
      <c r="E1040" s="19" t="s">
        <v>1979</v>
      </c>
    </row>
    <row r="1041" spans="5:5" ht="14.25" customHeight="1" x14ac:dyDescent="0.2">
      <c r="E1041" s="19" t="s">
        <v>1979</v>
      </c>
    </row>
    <row r="1042" spans="5:5" ht="14.25" customHeight="1" x14ac:dyDescent="0.2">
      <c r="E1042" s="19" t="s">
        <v>1979</v>
      </c>
    </row>
    <row r="1043" spans="5:5" ht="14.25" customHeight="1" x14ac:dyDescent="0.2">
      <c r="E1043" s="19" t="s">
        <v>1979</v>
      </c>
    </row>
    <row r="1044" spans="5:5" ht="14.25" customHeight="1" x14ac:dyDescent="0.2">
      <c r="E1044" s="19" t="s">
        <v>1979</v>
      </c>
    </row>
    <row r="1045" spans="5:5" ht="14.25" customHeight="1" x14ac:dyDescent="0.2">
      <c r="E1045" s="19" t="s">
        <v>1979</v>
      </c>
    </row>
    <row r="1046" spans="5:5" ht="14.25" customHeight="1" x14ac:dyDescent="0.2">
      <c r="E1046" s="19" t="s">
        <v>1979</v>
      </c>
    </row>
    <row r="1047" spans="5:5" ht="14.25" customHeight="1" x14ac:dyDescent="0.2">
      <c r="E1047" s="19" t="s">
        <v>1979</v>
      </c>
    </row>
    <row r="1048" spans="5:5" ht="14.25" customHeight="1" x14ac:dyDescent="0.2">
      <c r="E1048" s="19" t="s">
        <v>1979</v>
      </c>
    </row>
    <row r="1049" spans="5:5" ht="14.25" customHeight="1" x14ac:dyDescent="0.2">
      <c r="E1049" s="19" t="s">
        <v>1979</v>
      </c>
    </row>
    <row r="1050" spans="5:5" ht="14.25" customHeight="1" x14ac:dyDescent="0.2">
      <c r="E1050" s="19" t="s">
        <v>1979</v>
      </c>
    </row>
    <row r="1051" spans="5:5" ht="14.25" customHeight="1" x14ac:dyDescent="0.2">
      <c r="E1051" s="19" t="s">
        <v>1979</v>
      </c>
    </row>
    <row r="1052" spans="5:5" ht="14.25" customHeight="1" x14ac:dyDescent="0.2">
      <c r="E1052" s="19" t="s">
        <v>1979</v>
      </c>
    </row>
    <row r="1053" spans="5:5" ht="14.25" customHeight="1" x14ac:dyDescent="0.2">
      <c r="E1053" s="19" t="s">
        <v>1979</v>
      </c>
    </row>
    <row r="1054" spans="5:5" ht="14.25" customHeight="1" x14ac:dyDescent="0.2">
      <c r="E1054" s="19" t="s">
        <v>1979</v>
      </c>
    </row>
    <row r="1055" spans="5:5" ht="14.25" customHeight="1" x14ac:dyDescent="0.2">
      <c r="E1055" s="19" t="s">
        <v>1979</v>
      </c>
    </row>
    <row r="1056" spans="5:5" ht="14.25" customHeight="1" x14ac:dyDescent="0.2">
      <c r="E1056" s="19" t="s">
        <v>1979</v>
      </c>
    </row>
    <row r="1057" spans="5:5" ht="14.25" customHeight="1" x14ac:dyDescent="0.2">
      <c r="E1057" s="19" t="s">
        <v>1979</v>
      </c>
    </row>
    <row r="1058" spans="5:5" ht="14.25" customHeight="1" x14ac:dyDescent="0.2">
      <c r="E1058" s="19" t="s">
        <v>1979</v>
      </c>
    </row>
    <row r="1059" spans="5:5" ht="14.25" customHeight="1" x14ac:dyDescent="0.2">
      <c r="E1059" s="19" t="s">
        <v>1979</v>
      </c>
    </row>
    <row r="1060" spans="5:5" ht="14.25" customHeight="1" x14ac:dyDescent="0.2">
      <c r="E1060" s="19" t="s">
        <v>1979</v>
      </c>
    </row>
    <row r="1061" spans="5:5" ht="14.25" customHeight="1" x14ac:dyDescent="0.2">
      <c r="E1061" s="19" t="s">
        <v>1979</v>
      </c>
    </row>
    <row r="1062" spans="5:5" ht="14.25" customHeight="1" x14ac:dyDescent="0.2">
      <c r="E1062" s="19" t="s">
        <v>1979</v>
      </c>
    </row>
    <row r="1063" spans="5:5" ht="14.25" customHeight="1" x14ac:dyDescent="0.2">
      <c r="E1063" s="19" t="s">
        <v>1979</v>
      </c>
    </row>
    <row r="1064" spans="5:5" ht="14.25" customHeight="1" x14ac:dyDescent="0.2">
      <c r="E1064" s="19" t="s">
        <v>1979</v>
      </c>
    </row>
    <row r="1065" spans="5:5" ht="14.25" customHeight="1" x14ac:dyDescent="0.2">
      <c r="E1065" s="19" t="s">
        <v>1979</v>
      </c>
    </row>
    <row r="1066" spans="5:5" ht="14.25" customHeight="1" x14ac:dyDescent="0.2">
      <c r="E1066" s="19" t="s">
        <v>1979</v>
      </c>
    </row>
    <row r="1067" spans="5:5" ht="14.25" customHeight="1" x14ac:dyDescent="0.2">
      <c r="E1067" s="19" t="s">
        <v>1979</v>
      </c>
    </row>
    <row r="1068" spans="5:5" ht="14.25" customHeight="1" x14ac:dyDescent="0.2">
      <c r="E1068" s="19" t="s">
        <v>1979</v>
      </c>
    </row>
    <row r="1069" spans="5:5" ht="14.25" customHeight="1" x14ac:dyDescent="0.2">
      <c r="E1069" s="19" t="s">
        <v>1979</v>
      </c>
    </row>
    <row r="1070" spans="5:5" ht="14.25" customHeight="1" x14ac:dyDescent="0.2">
      <c r="E1070" s="19" t="s">
        <v>1979</v>
      </c>
    </row>
    <row r="1071" spans="5:5" ht="14.25" customHeight="1" x14ac:dyDescent="0.2">
      <c r="E1071" s="19" t="s">
        <v>1979</v>
      </c>
    </row>
    <row r="1072" spans="5:5" ht="14.25" customHeight="1" x14ac:dyDescent="0.2">
      <c r="E1072" s="19" t="s">
        <v>1979</v>
      </c>
    </row>
    <row r="1073" spans="5:5" ht="14.25" customHeight="1" x14ac:dyDescent="0.2">
      <c r="E1073" s="19" t="s">
        <v>1979</v>
      </c>
    </row>
    <row r="1074" spans="5:5" ht="14.25" customHeight="1" x14ac:dyDescent="0.2">
      <c r="E1074" s="19" t="s">
        <v>1979</v>
      </c>
    </row>
    <row r="1075" spans="5:5" ht="14.25" customHeight="1" x14ac:dyDescent="0.2">
      <c r="E1075" s="19" t="s">
        <v>1979</v>
      </c>
    </row>
    <row r="1076" spans="5:5" ht="14.25" customHeight="1" x14ac:dyDescent="0.2">
      <c r="E1076" s="19" t="s">
        <v>1979</v>
      </c>
    </row>
    <row r="1077" spans="5:5" ht="14.25" customHeight="1" x14ac:dyDescent="0.2">
      <c r="E1077" s="19" t="s">
        <v>1979</v>
      </c>
    </row>
    <row r="1078" spans="5:5" ht="14.25" customHeight="1" x14ac:dyDescent="0.2">
      <c r="E1078" s="19" t="s">
        <v>1979</v>
      </c>
    </row>
    <row r="1079" spans="5:5" ht="14.25" customHeight="1" x14ac:dyDescent="0.2">
      <c r="E1079" s="19" t="s">
        <v>1979</v>
      </c>
    </row>
    <row r="1080" spans="5:5" ht="14.25" customHeight="1" x14ac:dyDescent="0.2">
      <c r="E1080" s="19" t="s">
        <v>1979</v>
      </c>
    </row>
    <row r="1081" spans="5:5" ht="14.25" customHeight="1" x14ac:dyDescent="0.2">
      <c r="E1081" s="19" t="s">
        <v>1979</v>
      </c>
    </row>
    <row r="1082" spans="5:5" ht="14.25" customHeight="1" x14ac:dyDescent="0.2">
      <c r="E1082" s="19" t="s">
        <v>1979</v>
      </c>
    </row>
    <row r="1083" spans="5:5" ht="14.25" customHeight="1" x14ac:dyDescent="0.2">
      <c r="E1083" s="19" t="s">
        <v>1979</v>
      </c>
    </row>
    <row r="1084" spans="5:5" ht="14.25" customHeight="1" x14ac:dyDescent="0.2">
      <c r="E1084" s="19" t="s">
        <v>1979</v>
      </c>
    </row>
    <row r="1085" spans="5:5" ht="14.25" customHeight="1" x14ac:dyDescent="0.2">
      <c r="E1085" s="19" t="s">
        <v>1979</v>
      </c>
    </row>
    <row r="1086" spans="5:5" ht="14.25" customHeight="1" x14ac:dyDescent="0.2">
      <c r="E1086" s="19" t="s">
        <v>1979</v>
      </c>
    </row>
    <row r="1087" spans="5:5" ht="14.25" customHeight="1" x14ac:dyDescent="0.2">
      <c r="E1087" s="19" t="s">
        <v>1979</v>
      </c>
    </row>
    <row r="1088" spans="5:5" ht="14.25" customHeight="1" x14ac:dyDescent="0.2">
      <c r="E1088" s="19" t="s">
        <v>1979</v>
      </c>
    </row>
    <row r="1089" spans="5:5" ht="14.25" customHeight="1" x14ac:dyDescent="0.2">
      <c r="E1089" s="19" t="s">
        <v>1979</v>
      </c>
    </row>
    <row r="1090" spans="5:5" ht="14.25" customHeight="1" x14ac:dyDescent="0.2">
      <c r="E1090" s="19" t="s">
        <v>1979</v>
      </c>
    </row>
    <row r="1091" spans="5:5" ht="14.25" customHeight="1" x14ac:dyDescent="0.2">
      <c r="E1091" s="19" t="s">
        <v>1979</v>
      </c>
    </row>
    <row r="1092" spans="5:5" ht="14.25" customHeight="1" x14ac:dyDescent="0.2">
      <c r="E1092" s="19" t="s">
        <v>1979</v>
      </c>
    </row>
    <row r="1093" spans="5:5" ht="14.25" customHeight="1" x14ac:dyDescent="0.2">
      <c r="E1093" s="19" t="s">
        <v>1979</v>
      </c>
    </row>
    <row r="1094" spans="5:5" ht="14.25" customHeight="1" x14ac:dyDescent="0.2">
      <c r="E1094" s="19" t="s">
        <v>1979</v>
      </c>
    </row>
    <row r="1095" spans="5:5" ht="14.25" customHeight="1" x14ac:dyDescent="0.2">
      <c r="E1095" s="19" t="s">
        <v>1979</v>
      </c>
    </row>
    <row r="1096" spans="5:5" ht="14.25" customHeight="1" x14ac:dyDescent="0.2">
      <c r="E1096" s="19" t="s">
        <v>1979</v>
      </c>
    </row>
    <row r="1097" spans="5:5" ht="14.25" customHeight="1" x14ac:dyDescent="0.2">
      <c r="E1097" s="19" t="s">
        <v>1979</v>
      </c>
    </row>
    <row r="1098" spans="5:5" ht="14.25" customHeight="1" x14ac:dyDescent="0.2">
      <c r="E1098" s="19" t="s">
        <v>1979</v>
      </c>
    </row>
    <row r="1099" spans="5:5" ht="14.25" customHeight="1" x14ac:dyDescent="0.2">
      <c r="E1099" s="19" t="s">
        <v>1979</v>
      </c>
    </row>
    <row r="1100" spans="5:5" ht="14.25" customHeight="1" x14ac:dyDescent="0.2">
      <c r="E1100" s="19" t="s">
        <v>1979</v>
      </c>
    </row>
    <row r="1101" spans="5:5" ht="14.25" customHeight="1" x14ac:dyDescent="0.2">
      <c r="E1101" s="19" t="s">
        <v>1979</v>
      </c>
    </row>
    <row r="1102" spans="5:5" ht="14.25" customHeight="1" x14ac:dyDescent="0.2">
      <c r="E1102" s="19" t="s">
        <v>1979</v>
      </c>
    </row>
    <row r="1103" spans="5:5" ht="14.25" customHeight="1" x14ac:dyDescent="0.2">
      <c r="E1103" s="19" t="s">
        <v>1979</v>
      </c>
    </row>
    <row r="1104" spans="5:5" ht="14.25" customHeight="1" x14ac:dyDescent="0.2">
      <c r="E1104" s="19" t="s">
        <v>1979</v>
      </c>
    </row>
    <row r="1105" spans="5:5" ht="14.25" customHeight="1" x14ac:dyDescent="0.2">
      <c r="E1105" s="19" t="s">
        <v>1979</v>
      </c>
    </row>
    <row r="1106" spans="5:5" ht="14.25" customHeight="1" x14ac:dyDescent="0.2">
      <c r="E1106" s="19" t="s">
        <v>1979</v>
      </c>
    </row>
    <row r="1107" spans="5:5" ht="14.25" customHeight="1" x14ac:dyDescent="0.2">
      <c r="E1107" s="19" t="s">
        <v>1979</v>
      </c>
    </row>
    <row r="1108" spans="5:5" ht="14.25" customHeight="1" x14ac:dyDescent="0.2">
      <c r="E1108" s="19" t="s">
        <v>1979</v>
      </c>
    </row>
    <row r="1109" spans="5:5" ht="14.25" customHeight="1" x14ac:dyDescent="0.2">
      <c r="E1109" s="19" t="s">
        <v>1979</v>
      </c>
    </row>
    <row r="1110" spans="5:5" ht="14.25" customHeight="1" x14ac:dyDescent="0.2">
      <c r="E1110" s="19" t="s">
        <v>1979</v>
      </c>
    </row>
    <row r="1111" spans="5:5" ht="14.25" customHeight="1" x14ac:dyDescent="0.2">
      <c r="E1111" s="19" t="s">
        <v>1979</v>
      </c>
    </row>
    <row r="1112" spans="5:5" ht="14.25" customHeight="1" x14ac:dyDescent="0.2">
      <c r="E1112" s="19" t="s">
        <v>1979</v>
      </c>
    </row>
    <row r="1113" spans="5:5" ht="14.25" customHeight="1" x14ac:dyDescent="0.2">
      <c r="E1113" s="19" t="s">
        <v>1979</v>
      </c>
    </row>
    <row r="1114" spans="5:5" ht="14.25" customHeight="1" x14ac:dyDescent="0.2">
      <c r="E1114" s="19" t="s">
        <v>1979</v>
      </c>
    </row>
    <row r="1115" spans="5:5" ht="14.25" customHeight="1" x14ac:dyDescent="0.2">
      <c r="E1115" s="19" t="s">
        <v>1979</v>
      </c>
    </row>
    <row r="1116" spans="5:5" ht="14.25" customHeight="1" x14ac:dyDescent="0.2">
      <c r="E1116" s="19" t="s">
        <v>1979</v>
      </c>
    </row>
    <row r="1117" spans="5:5" ht="14.25" customHeight="1" x14ac:dyDescent="0.2">
      <c r="E1117" s="19" t="s">
        <v>1979</v>
      </c>
    </row>
    <row r="1118" spans="5:5" ht="14.25" customHeight="1" x14ac:dyDescent="0.2">
      <c r="E1118" s="19" t="s">
        <v>1979</v>
      </c>
    </row>
    <row r="1119" spans="5:5" ht="14.25" customHeight="1" x14ac:dyDescent="0.2">
      <c r="E1119" s="19" t="s">
        <v>1979</v>
      </c>
    </row>
    <row r="1120" spans="5:5" ht="14.25" customHeight="1" x14ac:dyDescent="0.2">
      <c r="E1120" s="19" t="s">
        <v>1979</v>
      </c>
    </row>
    <row r="1121" spans="5:5" ht="14.25" customHeight="1" x14ac:dyDescent="0.2">
      <c r="E1121" s="19" t="s">
        <v>1979</v>
      </c>
    </row>
    <row r="1122" spans="5:5" ht="14.25" customHeight="1" x14ac:dyDescent="0.2">
      <c r="E1122" s="19" t="s">
        <v>1979</v>
      </c>
    </row>
    <row r="1123" spans="5:5" ht="14.25" customHeight="1" x14ac:dyDescent="0.2">
      <c r="E1123" s="19" t="s">
        <v>1979</v>
      </c>
    </row>
    <row r="1124" spans="5:5" ht="14.25" customHeight="1" x14ac:dyDescent="0.2">
      <c r="E1124" s="19" t="s">
        <v>1979</v>
      </c>
    </row>
    <row r="1125" spans="5:5" ht="14.25" customHeight="1" x14ac:dyDescent="0.2">
      <c r="E1125" s="19" t="s">
        <v>1979</v>
      </c>
    </row>
    <row r="1126" spans="5:5" ht="14.25" customHeight="1" x14ac:dyDescent="0.2">
      <c r="E1126" s="19" t="s">
        <v>1979</v>
      </c>
    </row>
    <row r="1127" spans="5:5" ht="14.25" customHeight="1" x14ac:dyDescent="0.2">
      <c r="E1127" s="19" t="s">
        <v>1979</v>
      </c>
    </row>
    <row r="1128" spans="5:5" ht="14.25" customHeight="1" x14ac:dyDescent="0.2">
      <c r="E1128" s="19" t="s">
        <v>1979</v>
      </c>
    </row>
    <row r="1129" spans="5:5" ht="14.25" customHeight="1" x14ac:dyDescent="0.2">
      <c r="E1129" s="19" t="s">
        <v>1979</v>
      </c>
    </row>
    <row r="1130" spans="5:5" ht="14.25" customHeight="1" x14ac:dyDescent="0.2">
      <c r="E1130" s="19" t="s">
        <v>1979</v>
      </c>
    </row>
    <row r="1131" spans="5:5" ht="14.25" customHeight="1" x14ac:dyDescent="0.2">
      <c r="E1131" s="19" t="s">
        <v>1979</v>
      </c>
    </row>
    <row r="1132" spans="5:5" ht="14.25" customHeight="1" x14ac:dyDescent="0.2">
      <c r="E1132" s="19" t="s">
        <v>1979</v>
      </c>
    </row>
    <row r="1133" spans="5:5" ht="14.25" customHeight="1" x14ac:dyDescent="0.2">
      <c r="E1133" s="19" t="s">
        <v>1979</v>
      </c>
    </row>
    <row r="1134" spans="5:5" ht="14.25" customHeight="1" x14ac:dyDescent="0.2">
      <c r="E1134" s="19" t="s">
        <v>1979</v>
      </c>
    </row>
    <row r="1135" spans="5:5" ht="14.25" customHeight="1" x14ac:dyDescent="0.2">
      <c r="E1135" s="19" t="s">
        <v>1979</v>
      </c>
    </row>
    <row r="1136" spans="5:5" ht="14.25" customHeight="1" x14ac:dyDescent="0.2">
      <c r="E1136" s="19" t="s">
        <v>1979</v>
      </c>
    </row>
    <row r="1137" spans="5:5" ht="14.25" customHeight="1" x14ac:dyDescent="0.2">
      <c r="E1137" s="19" t="s">
        <v>1979</v>
      </c>
    </row>
    <row r="1138" spans="5:5" ht="14.25" customHeight="1" x14ac:dyDescent="0.2">
      <c r="E1138" s="19" t="s">
        <v>1979</v>
      </c>
    </row>
    <row r="1139" spans="5:5" ht="14.25" customHeight="1" x14ac:dyDescent="0.2">
      <c r="E1139" s="19" t="s">
        <v>1979</v>
      </c>
    </row>
    <row r="1140" spans="5:5" ht="14.25" customHeight="1" x14ac:dyDescent="0.2">
      <c r="E1140" s="19" t="s">
        <v>1979</v>
      </c>
    </row>
    <row r="1141" spans="5:5" ht="14.25" customHeight="1" x14ac:dyDescent="0.2">
      <c r="E1141" s="19" t="s">
        <v>1979</v>
      </c>
    </row>
    <row r="1142" spans="5:5" ht="14.25" customHeight="1" x14ac:dyDescent="0.2">
      <c r="E1142" s="19" t="s">
        <v>1979</v>
      </c>
    </row>
    <row r="1143" spans="5:5" ht="14.25" customHeight="1" x14ac:dyDescent="0.2">
      <c r="E1143" s="19" t="s">
        <v>1979</v>
      </c>
    </row>
    <row r="1144" spans="5:5" ht="14.25" customHeight="1" x14ac:dyDescent="0.2">
      <c r="E1144" s="19" t="s">
        <v>1979</v>
      </c>
    </row>
    <row r="1145" spans="5:5" ht="14.25" customHeight="1" x14ac:dyDescent="0.2">
      <c r="E1145" s="19" t="s">
        <v>1979</v>
      </c>
    </row>
    <row r="1146" spans="5:5" ht="14.25" customHeight="1" x14ac:dyDescent="0.2">
      <c r="E1146" s="19" t="s">
        <v>1979</v>
      </c>
    </row>
    <row r="1147" spans="5:5" ht="14.25" customHeight="1" x14ac:dyDescent="0.2">
      <c r="E1147" s="19" t="s">
        <v>1979</v>
      </c>
    </row>
    <row r="1148" spans="5:5" ht="14.25" customHeight="1" x14ac:dyDescent="0.2">
      <c r="E1148" s="19" t="s">
        <v>1979</v>
      </c>
    </row>
    <row r="1149" spans="5:5" ht="14.25" customHeight="1" x14ac:dyDescent="0.2">
      <c r="E1149" s="19" t="s">
        <v>1979</v>
      </c>
    </row>
    <row r="1150" spans="5:5" ht="14.25" customHeight="1" x14ac:dyDescent="0.2">
      <c r="E1150" s="19" t="s">
        <v>1979</v>
      </c>
    </row>
    <row r="1151" spans="5:5" ht="14.25" customHeight="1" x14ac:dyDescent="0.2">
      <c r="E1151" s="19" t="s">
        <v>1979</v>
      </c>
    </row>
    <row r="1152" spans="5:5" ht="14.25" customHeight="1" x14ac:dyDescent="0.2">
      <c r="E1152" s="19" t="s">
        <v>1979</v>
      </c>
    </row>
    <row r="1153" spans="5:5" ht="14.25" customHeight="1" x14ac:dyDescent="0.2">
      <c r="E1153" s="19" t="s">
        <v>1979</v>
      </c>
    </row>
    <row r="1154" spans="5:5" ht="14.25" customHeight="1" x14ac:dyDescent="0.2">
      <c r="E1154" s="19" t="s">
        <v>1979</v>
      </c>
    </row>
    <row r="1155" spans="5:5" ht="14.25" customHeight="1" x14ac:dyDescent="0.2">
      <c r="E1155" s="19" t="s">
        <v>1979</v>
      </c>
    </row>
    <row r="1156" spans="5:5" ht="14.25" customHeight="1" x14ac:dyDescent="0.2">
      <c r="E1156" s="19" t="s">
        <v>1979</v>
      </c>
    </row>
    <row r="1157" spans="5:5" ht="14.25" customHeight="1" x14ac:dyDescent="0.2">
      <c r="E1157" s="19" t="s">
        <v>1979</v>
      </c>
    </row>
    <row r="1158" spans="5:5" ht="14.25" customHeight="1" x14ac:dyDescent="0.2">
      <c r="E1158" s="19" t="s">
        <v>1979</v>
      </c>
    </row>
    <row r="1159" spans="5:5" ht="14.25" customHeight="1" x14ac:dyDescent="0.2">
      <c r="E1159" s="19" t="s">
        <v>1979</v>
      </c>
    </row>
    <row r="1160" spans="5:5" ht="14.25" customHeight="1" x14ac:dyDescent="0.2">
      <c r="E1160" s="19" t="s">
        <v>1979</v>
      </c>
    </row>
    <row r="1161" spans="5:5" ht="14.25" customHeight="1" x14ac:dyDescent="0.2">
      <c r="E1161" s="19" t="s">
        <v>1979</v>
      </c>
    </row>
    <row r="1162" spans="5:5" ht="14.25" customHeight="1" x14ac:dyDescent="0.2">
      <c r="E1162" s="19" t="s">
        <v>1979</v>
      </c>
    </row>
    <row r="1163" spans="5:5" ht="14.25" customHeight="1" x14ac:dyDescent="0.2">
      <c r="E1163" s="19" t="s">
        <v>1979</v>
      </c>
    </row>
    <row r="1164" spans="5:5" ht="14.25" customHeight="1" x14ac:dyDescent="0.2">
      <c r="E1164" s="19" t="s">
        <v>1979</v>
      </c>
    </row>
    <row r="1165" spans="5:5" ht="14.25" customHeight="1" x14ac:dyDescent="0.2">
      <c r="E1165" s="19" t="s">
        <v>1979</v>
      </c>
    </row>
    <row r="1166" spans="5:5" ht="14.25" customHeight="1" x14ac:dyDescent="0.2">
      <c r="E1166" s="19" t="s">
        <v>1979</v>
      </c>
    </row>
    <row r="1167" spans="5:5" ht="14.25" customHeight="1" x14ac:dyDescent="0.2">
      <c r="E1167" s="19" t="s">
        <v>1979</v>
      </c>
    </row>
    <row r="1168" spans="5:5" ht="14.25" customHeight="1" x14ac:dyDescent="0.2">
      <c r="E1168" s="19" t="s">
        <v>1979</v>
      </c>
    </row>
    <row r="1169" spans="5:5" ht="14.25" customHeight="1" x14ac:dyDescent="0.2">
      <c r="E1169" s="19" t="s">
        <v>1979</v>
      </c>
    </row>
    <row r="1170" spans="5:5" ht="14.25" customHeight="1" x14ac:dyDescent="0.2">
      <c r="E1170" s="19" t="s">
        <v>1979</v>
      </c>
    </row>
    <row r="1171" spans="5:5" ht="14.25" customHeight="1" x14ac:dyDescent="0.2">
      <c r="E1171" s="19" t="s">
        <v>1979</v>
      </c>
    </row>
    <row r="1172" spans="5:5" ht="14.25" customHeight="1" x14ac:dyDescent="0.2">
      <c r="E1172" s="19" t="s">
        <v>1979</v>
      </c>
    </row>
    <row r="1173" spans="5:5" ht="14.25" customHeight="1" x14ac:dyDescent="0.2">
      <c r="E1173" s="19" t="s">
        <v>1979</v>
      </c>
    </row>
    <row r="1174" spans="5:5" ht="14.25" customHeight="1" x14ac:dyDescent="0.2">
      <c r="E1174" s="19" t="s">
        <v>1979</v>
      </c>
    </row>
    <row r="1175" spans="5:5" ht="14.25" customHeight="1" x14ac:dyDescent="0.2">
      <c r="E1175" s="19" t="s">
        <v>1979</v>
      </c>
    </row>
    <row r="1176" spans="5:5" ht="14.25" customHeight="1" x14ac:dyDescent="0.2">
      <c r="E1176" s="19" t="s">
        <v>1979</v>
      </c>
    </row>
    <row r="1177" spans="5:5" ht="14.25" customHeight="1" x14ac:dyDescent="0.2">
      <c r="E1177" s="19" t="s">
        <v>1979</v>
      </c>
    </row>
    <row r="1178" spans="5:5" ht="14.25" customHeight="1" x14ac:dyDescent="0.2">
      <c r="E1178" s="19" t="s">
        <v>1979</v>
      </c>
    </row>
    <row r="1179" spans="5:5" ht="14.25" customHeight="1" x14ac:dyDescent="0.2">
      <c r="E1179" s="19" t="s">
        <v>1979</v>
      </c>
    </row>
    <row r="1180" spans="5:5" ht="14.25" customHeight="1" x14ac:dyDescent="0.2">
      <c r="E1180" s="19" t="s">
        <v>1979</v>
      </c>
    </row>
    <row r="1181" spans="5:5" ht="14.25" customHeight="1" x14ac:dyDescent="0.2">
      <c r="E1181" s="19" t="s">
        <v>1979</v>
      </c>
    </row>
    <row r="1182" spans="5:5" ht="14.25" customHeight="1" x14ac:dyDescent="0.2">
      <c r="E1182" s="19" t="s">
        <v>1979</v>
      </c>
    </row>
    <row r="1183" spans="5:5" ht="14.25" customHeight="1" x14ac:dyDescent="0.2">
      <c r="E1183" s="19" t="s">
        <v>1979</v>
      </c>
    </row>
    <row r="1184" spans="5:5" ht="14.25" customHeight="1" x14ac:dyDescent="0.2">
      <c r="E1184" s="19" t="s">
        <v>1979</v>
      </c>
    </row>
    <row r="1185" spans="5:5" ht="14.25" customHeight="1" x14ac:dyDescent="0.2">
      <c r="E1185" s="19" t="s">
        <v>1979</v>
      </c>
    </row>
    <row r="1186" spans="5:5" ht="14.25" customHeight="1" x14ac:dyDescent="0.2">
      <c r="E1186" s="19" t="s">
        <v>1979</v>
      </c>
    </row>
    <row r="1187" spans="5:5" ht="14.25" customHeight="1" x14ac:dyDescent="0.2">
      <c r="E1187" s="19" t="s">
        <v>1979</v>
      </c>
    </row>
    <row r="1188" spans="5:5" ht="14.25" customHeight="1" x14ac:dyDescent="0.2">
      <c r="E1188" s="19" t="s">
        <v>1979</v>
      </c>
    </row>
    <row r="1189" spans="5:5" ht="14.25" customHeight="1" x14ac:dyDescent="0.2">
      <c r="E1189" s="19" t="s">
        <v>1979</v>
      </c>
    </row>
    <row r="1190" spans="5:5" ht="14.25" customHeight="1" x14ac:dyDescent="0.2">
      <c r="E1190" s="19" t="s">
        <v>1979</v>
      </c>
    </row>
    <row r="1191" spans="5:5" ht="14.25" customHeight="1" x14ac:dyDescent="0.2">
      <c r="E1191" s="19" t="s">
        <v>1979</v>
      </c>
    </row>
    <row r="1192" spans="5:5" ht="14.25" customHeight="1" x14ac:dyDescent="0.2">
      <c r="E1192" s="19" t="s">
        <v>1979</v>
      </c>
    </row>
    <row r="1193" spans="5:5" ht="14.25" customHeight="1" x14ac:dyDescent="0.2">
      <c r="E1193" s="19" t="s">
        <v>1979</v>
      </c>
    </row>
    <row r="1194" spans="5:5" ht="14.25" customHeight="1" x14ac:dyDescent="0.2">
      <c r="E1194" s="19" t="s">
        <v>1979</v>
      </c>
    </row>
    <row r="1195" spans="5:5" ht="14.25" customHeight="1" x14ac:dyDescent="0.2">
      <c r="E1195" s="19" t="s">
        <v>1979</v>
      </c>
    </row>
    <row r="1196" spans="5:5" ht="14.25" customHeight="1" x14ac:dyDescent="0.2">
      <c r="E1196" s="19" t="s">
        <v>1979</v>
      </c>
    </row>
    <row r="1197" spans="5:5" ht="14.25" customHeight="1" x14ac:dyDescent="0.2">
      <c r="E1197" s="19" t="s">
        <v>1979</v>
      </c>
    </row>
    <row r="1198" spans="5:5" ht="14.25" customHeight="1" x14ac:dyDescent="0.2">
      <c r="E1198" s="19" t="s">
        <v>1979</v>
      </c>
    </row>
    <row r="1199" spans="5:5" ht="14.25" customHeight="1" x14ac:dyDescent="0.2">
      <c r="E1199" s="19" t="s">
        <v>1979</v>
      </c>
    </row>
    <row r="1200" spans="5:5" ht="14.25" customHeight="1" x14ac:dyDescent="0.2">
      <c r="E1200" s="19" t="s">
        <v>1979</v>
      </c>
    </row>
    <row r="1201" spans="5:5" ht="14.25" customHeight="1" x14ac:dyDescent="0.2">
      <c r="E1201" s="19" t="s">
        <v>1979</v>
      </c>
    </row>
    <row r="1202" spans="5:5" ht="14.25" customHeight="1" x14ac:dyDescent="0.2">
      <c r="E1202" s="19" t="s">
        <v>1979</v>
      </c>
    </row>
    <row r="1203" spans="5:5" ht="14.25" customHeight="1" x14ac:dyDescent="0.2">
      <c r="E1203" s="19" t="s">
        <v>1979</v>
      </c>
    </row>
    <row r="1204" spans="5:5" ht="14.25" customHeight="1" x14ac:dyDescent="0.2">
      <c r="E1204" s="19" t="s">
        <v>1979</v>
      </c>
    </row>
    <row r="1205" spans="5:5" ht="14.25" customHeight="1" x14ac:dyDescent="0.2">
      <c r="E1205" s="19" t="s">
        <v>1979</v>
      </c>
    </row>
    <row r="1206" spans="5:5" ht="14.25" customHeight="1" x14ac:dyDescent="0.2">
      <c r="E1206" s="19" t="s">
        <v>1979</v>
      </c>
    </row>
    <row r="1207" spans="5:5" ht="14.25" customHeight="1" x14ac:dyDescent="0.2">
      <c r="E1207" s="19" t="s">
        <v>1979</v>
      </c>
    </row>
    <row r="1208" spans="5:5" ht="14.25" customHeight="1" x14ac:dyDescent="0.2">
      <c r="E1208" s="19" t="s">
        <v>1979</v>
      </c>
    </row>
    <row r="1209" spans="5:5" ht="14.25" customHeight="1" x14ac:dyDescent="0.2">
      <c r="E1209" s="19" t="s">
        <v>1979</v>
      </c>
    </row>
    <row r="1210" spans="5:5" ht="14.25" customHeight="1" x14ac:dyDescent="0.2">
      <c r="E1210" s="19" t="s">
        <v>1979</v>
      </c>
    </row>
    <row r="1211" spans="5:5" ht="14.25" customHeight="1" x14ac:dyDescent="0.2">
      <c r="E1211" s="19" t="s">
        <v>1979</v>
      </c>
    </row>
    <row r="1212" spans="5:5" ht="14.25" customHeight="1" x14ac:dyDescent="0.2">
      <c r="E1212" s="19" t="s">
        <v>1979</v>
      </c>
    </row>
    <row r="1213" spans="5:5" ht="14.25" customHeight="1" x14ac:dyDescent="0.2">
      <c r="E1213" s="19" t="s">
        <v>1979</v>
      </c>
    </row>
    <row r="1214" spans="5:5" ht="14.25" customHeight="1" x14ac:dyDescent="0.2">
      <c r="E1214" s="19" t="s">
        <v>1979</v>
      </c>
    </row>
    <row r="1215" spans="5:5" ht="14.25" customHeight="1" x14ac:dyDescent="0.2">
      <c r="E1215" s="19" t="s">
        <v>1979</v>
      </c>
    </row>
    <row r="1216" spans="5:5" ht="14.25" customHeight="1" x14ac:dyDescent="0.2">
      <c r="E1216" s="19" t="s">
        <v>1979</v>
      </c>
    </row>
    <row r="1217" spans="5:5" ht="14.25" customHeight="1" x14ac:dyDescent="0.2">
      <c r="E1217" s="19" t="s">
        <v>1979</v>
      </c>
    </row>
    <row r="1218" spans="5:5" ht="14.25" customHeight="1" x14ac:dyDescent="0.2">
      <c r="E1218" s="19" t="s">
        <v>1979</v>
      </c>
    </row>
    <row r="1219" spans="5:5" ht="14.25" customHeight="1" x14ac:dyDescent="0.2">
      <c r="E1219" s="19" t="s">
        <v>1979</v>
      </c>
    </row>
    <row r="1220" spans="5:5" ht="14.25" customHeight="1" x14ac:dyDescent="0.2">
      <c r="E1220" s="19" t="s">
        <v>1979</v>
      </c>
    </row>
    <row r="1221" spans="5:5" ht="14.25" customHeight="1" x14ac:dyDescent="0.2">
      <c r="E1221" s="19" t="s">
        <v>1979</v>
      </c>
    </row>
    <row r="1222" spans="5:5" ht="14.25" customHeight="1" x14ac:dyDescent="0.2">
      <c r="E1222" s="19" t="s">
        <v>1979</v>
      </c>
    </row>
    <row r="1223" spans="5:5" ht="14.25" customHeight="1" x14ac:dyDescent="0.2">
      <c r="E1223" s="19" t="s">
        <v>1979</v>
      </c>
    </row>
    <row r="1224" spans="5:5" ht="14.25" customHeight="1" x14ac:dyDescent="0.2">
      <c r="E1224" s="19" t="s">
        <v>1979</v>
      </c>
    </row>
    <row r="1225" spans="5:5" ht="14.25" customHeight="1" x14ac:dyDescent="0.2">
      <c r="E1225" s="19" t="s">
        <v>1979</v>
      </c>
    </row>
    <row r="1226" spans="5:5" ht="14.25" customHeight="1" x14ac:dyDescent="0.2">
      <c r="E1226" s="19" t="s">
        <v>1979</v>
      </c>
    </row>
    <row r="1227" spans="5:5" ht="14.25" customHeight="1" x14ac:dyDescent="0.2">
      <c r="E1227" s="19" t="s">
        <v>1979</v>
      </c>
    </row>
    <row r="1228" spans="5:5" ht="14.25" customHeight="1" x14ac:dyDescent="0.2">
      <c r="E1228" s="19" t="s">
        <v>1979</v>
      </c>
    </row>
    <row r="1229" spans="5:5" ht="14.25" customHeight="1" x14ac:dyDescent="0.2">
      <c r="E1229" s="19" t="s">
        <v>1979</v>
      </c>
    </row>
    <row r="1230" spans="5:5" ht="14.25" customHeight="1" x14ac:dyDescent="0.2">
      <c r="E1230" s="19" t="s">
        <v>1979</v>
      </c>
    </row>
    <row r="1231" spans="5:5" ht="14.25" customHeight="1" x14ac:dyDescent="0.2">
      <c r="E1231" s="19" t="s">
        <v>1979</v>
      </c>
    </row>
    <row r="1232" spans="5:5" ht="14.25" customHeight="1" x14ac:dyDescent="0.2">
      <c r="E1232" s="19" t="s">
        <v>1979</v>
      </c>
    </row>
    <row r="1233" spans="5:5" ht="14.25" customHeight="1" x14ac:dyDescent="0.2">
      <c r="E1233" s="19" t="s">
        <v>1979</v>
      </c>
    </row>
    <row r="1234" spans="5:5" ht="14.25" customHeight="1" x14ac:dyDescent="0.2">
      <c r="E1234" s="19" t="s">
        <v>1979</v>
      </c>
    </row>
    <row r="1235" spans="5:5" ht="14.25" customHeight="1" x14ac:dyDescent="0.2">
      <c r="E1235" s="19" t="s">
        <v>1979</v>
      </c>
    </row>
    <row r="1236" spans="5:5" ht="14.25" customHeight="1" x14ac:dyDescent="0.2">
      <c r="E1236" s="19" t="s">
        <v>1979</v>
      </c>
    </row>
    <row r="1237" spans="5:5" ht="14.25" customHeight="1" x14ac:dyDescent="0.2">
      <c r="E1237" s="19" t="s">
        <v>1979</v>
      </c>
    </row>
    <row r="1238" spans="5:5" ht="14.25" customHeight="1" x14ac:dyDescent="0.2">
      <c r="E1238" s="19" t="s">
        <v>1979</v>
      </c>
    </row>
    <row r="1239" spans="5:5" ht="14.25" customHeight="1" x14ac:dyDescent="0.2">
      <c r="E1239" s="19" t="s">
        <v>1979</v>
      </c>
    </row>
    <row r="1240" spans="5:5" ht="14.25" customHeight="1" x14ac:dyDescent="0.2">
      <c r="E1240" s="19" t="s">
        <v>1979</v>
      </c>
    </row>
    <row r="1241" spans="5:5" ht="14.25" customHeight="1" x14ac:dyDescent="0.2">
      <c r="E1241" s="19" t="s">
        <v>1979</v>
      </c>
    </row>
    <row r="1242" spans="5:5" ht="14.25" customHeight="1" x14ac:dyDescent="0.2">
      <c r="E1242" s="19" t="s">
        <v>1979</v>
      </c>
    </row>
    <row r="1243" spans="5:5" ht="14.25" customHeight="1" x14ac:dyDescent="0.2">
      <c r="E1243" s="19" t="s">
        <v>1979</v>
      </c>
    </row>
    <row r="1244" spans="5:5" ht="14.25" customHeight="1" x14ac:dyDescent="0.2">
      <c r="E1244" s="19" t="s">
        <v>1979</v>
      </c>
    </row>
    <row r="1245" spans="5:5" ht="14.25" customHeight="1" x14ac:dyDescent="0.2">
      <c r="E1245" s="19" t="s">
        <v>1979</v>
      </c>
    </row>
    <row r="1246" spans="5:5" ht="14.25" customHeight="1" x14ac:dyDescent="0.2">
      <c r="E1246" s="19" t="s">
        <v>1979</v>
      </c>
    </row>
    <row r="1247" spans="5:5" ht="14.25" customHeight="1" x14ac:dyDescent="0.2">
      <c r="E1247" s="19" t="s">
        <v>1979</v>
      </c>
    </row>
    <row r="1248" spans="5:5" ht="14.25" customHeight="1" x14ac:dyDescent="0.2">
      <c r="E1248" s="19" t="s">
        <v>1979</v>
      </c>
    </row>
    <row r="1249" spans="5:5" ht="14.25" customHeight="1" x14ac:dyDescent="0.2">
      <c r="E1249" s="19" t="s">
        <v>1979</v>
      </c>
    </row>
    <row r="1250" spans="5:5" ht="14.25" customHeight="1" x14ac:dyDescent="0.2">
      <c r="E1250" s="19" t="s">
        <v>1979</v>
      </c>
    </row>
    <row r="1251" spans="5:5" ht="14.25" customHeight="1" x14ac:dyDescent="0.2">
      <c r="E1251" s="19" t="s">
        <v>1979</v>
      </c>
    </row>
    <row r="1252" spans="5:5" ht="14.25" customHeight="1" x14ac:dyDescent="0.2">
      <c r="E1252" s="19" t="s">
        <v>1979</v>
      </c>
    </row>
    <row r="1253" spans="5:5" ht="14.25" customHeight="1" x14ac:dyDescent="0.2">
      <c r="E1253" s="19" t="s">
        <v>1979</v>
      </c>
    </row>
    <row r="1254" spans="5:5" ht="14.25" customHeight="1" x14ac:dyDescent="0.2">
      <c r="E1254" s="19" t="s">
        <v>1979</v>
      </c>
    </row>
    <row r="1255" spans="5:5" ht="14.25" customHeight="1" x14ac:dyDescent="0.2">
      <c r="E1255" s="19" t="s">
        <v>1979</v>
      </c>
    </row>
    <row r="1256" spans="5:5" ht="14.25" customHeight="1" x14ac:dyDescent="0.2">
      <c r="E1256" s="19" t="s">
        <v>1979</v>
      </c>
    </row>
    <row r="1257" spans="5:5" ht="14.25" customHeight="1" x14ac:dyDescent="0.2">
      <c r="E1257" s="19" t="s">
        <v>1979</v>
      </c>
    </row>
    <row r="1258" spans="5:5" ht="14.25" customHeight="1" x14ac:dyDescent="0.2">
      <c r="E1258" s="19" t="s">
        <v>1979</v>
      </c>
    </row>
    <row r="1259" spans="5:5" ht="14.25" customHeight="1" x14ac:dyDescent="0.2">
      <c r="E1259" s="19" t="s">
        <v>1979</v>
      </c>
    </row>
    <row r="1260" spans="5:5" ht="14.25" customHeight="1" x14ac:dyDescent="0.2">
      <c r="E1260" s="19" t="s">
        <v>1979</v>
      </c>
    </row>
    <row r="1261" spans="5:5" ht="14.25" customHeight="1" x14ac:dyDescent="0.2">
      <c r="E1261" s="19" t="s">
        <v>1979</v>
      </c>
    </row>
    <row r="1262" spans="5:5" ht="14.25" customHeight="1" x14ac:dyDescent="0.2">
      <c r="E1262" s="19" t="s">
        <v>1979</v>
      </c>
    </row>
    <row r="1263" spans="5:5" ht="14.25" customHeight="1" x14ac:dyDescent="0.2">
      <c r="E1263" s="19" t="s">
        <v>1979</v>
      </c>
    </row>
    <row r="1264" spans="5:5" ht="14.25" customHeight="1" x14ac:dyDescent="0.2">
      <c r="E1264" s="19" t="s">
        <v>1979</v>
      </c>
    </row>
    <row r="1265" spans="5:5" ht="14.25" customHeight="1" x14ac:dyDescent="0.2">
      <c r="E1265" s="19" t="s">
        <v>1979</v>
      </c>
    </row>
    <row r="1266" spans="5:5" ht="14.25" customHeight="1" x14ac:dyDescent="0.2">
      <c r="E1266" s="19" t="s">
        <v>1979</v>
      </c>
    </row>
    <row r="1267" spans="5:5" ht="14.25" customHeight="1" x14ac:dyDescent="0.2">
      <c r="E1267" s="19" t="s">
        <v>1979</v>
      </c>
    </row>
    <row r="1268" spans="5:5" ht="14.25" customHeight="1" x14ac:dyDescent="0.2">
      <c r="E1268" s="19" t="s">
        <v>1979</v>
      </c>
    </row>
    <row r="1269" spans="5:5" ht="14.25" customHeight="1" x14ac:dyDescent="0.2">
      <c r="E1269" s="19" t="s">
        <v>1979</v>
      </c>
    </row>
    <row r="1270" spans="5:5" ht="14.25" customHeight="1" x14ac:dyDescent="0.2">
      <c r="E1270" s="19" t="s">
        <v>1979</v>
      </c>
    </row>
    <row r="1271" spans="5:5" ht="14.25" customHeight="1" x14ac:dyDescent="0.2">
      <c r="E1271" s="19" t="s">
        <v>1979</v>
      </c>
    </row>
    <row r="1272" spans="5:5" ht="14.25" customHeight="1" x14ac:dyDescent="0.2">
      <c r="E1272" s="19" t="s">
        <v>1979</v>
      </c>
    </row>
    <row r="1273" spans="5:5" ht="14.25" customHeight="1" x14ac:dyDescent="0.2">
      <c r="E1273" s="19" t="s">
        <v>1979</v>
      </c>
    </row>
    <row r="1274" spans="5:5" ht="14.25" customHeight="1" x14ac:dyDescent="0.2">
      <c r="E1274" s="19" t="s">
        <v>1979</v>
      </c>
    </row>
    <row r="1275" spans="5:5" ht="14.25" customHeight="1" x14ac:dyDescent="0.2">
      <c r="E1275" s="19" t="s">
        <v>1979</v>
      </c>
    </row>
    <row r="1276" spans="5:5" ht="14.25" customHeight="1" x14ac:dyDescent="0.2">
      <c r="E1276" s="19" t="s">
        <v>1979</v>
      </c>
    </row>
    <row r="1277" spans="5:5" ht="14.25" customHeight="1" x14ac:dyDescent="0.2">
      <c r="E1277" s="19" t="s">
        <v>1979</v>
      </c>
    </row>
    <row r="1278" spans="5:5" ht="14.25" customHeight="1" x14ac:dyDescent="0.2">
      <c r="E1278" s="19" t="s">
        <v>1979</v>
      </c>
    </row>
    <row r="1279" spans="5:5" ht="14.25" customHeight="1" x14ac:dyDescent="0.2">
      <c r="E1279" s="19" t="s">
        <v>1979</v>
      </c>
    </row>
    <row r="1280" spans="5:5" ht="14.25" customHeight="1" x14ac:dyDescent="0.2">
      <c r="E1280" s="19" t="s">
        <v>1979</v>
      </c>
    </row>
    <row r="1281" spans="5:5" ht="14.25" customHeight="1" x14ac:dyDescent="0.2">
      <c r="E1281" s="19" t="s">
        <v>1979</v>
      </c>
    </row>
    <row r="1282" spans="5:5" ht="14.25" customHeight="1" x14ac:dyDescent="0.2">
      <c r="E1282" s="19" t="s">
        <v>1979</v>
      </c>
    </row>
    <row r="1283" spans="5:5" ht="14.25" customHeight="1" x14ac:dyDescent="0.2">
      <c r="E1283" s="19" t="s">
        <v>1979</v>
      </c>
    </row>
    <row r="1284" spans="5:5" ht="14.25" customHeight="1" x14ac:dyDescent="0.2">
      <c r="E1284" s="19" t="s">
        <v>1979</v>
      </c>
    </row>
    <row r="1285" spans="5:5" ht="14.25" customHeight="1" x14ac:dyDescent="0.2">
      <c r="E1285" s="19" t="s">
        <v>1979</v>
      </c>
    </row>
    <row r="1286" spans="5:5" ht="14.25" customHeight="1" x14ac:dyDescent="0.2">
      <c r="E1286" s="19" t="s">
        <v>1979</v>
      </c>
    </row>
    <row r="1287" spans="5:5" ht="14.25" customHeight="1" x14ac:dyDescent="0.2">
      <c r="E1287" s="19" t="s">
        <v>1979</v>
      </c>
    </row>
    <row r="1288" spans="5:5" ht="14.25" customHeight="1" x14ac:dyDescent="0.2">
      <c r="E1288" s="19" t="s">
        <v>1979</v>
      </c>
    </row>
    <row r="1289" spans="5:5" ht="14.25" customHeight="1" x14ac:dyDescent="0.2">
      <c r="E1289" s="19" t="s">
        <v>1979</v>
      </c>
    </row>
    <row r="1290" spans="5:5" ht="14.25" customHeight="1" x14ac:dyDescent="0.2">
      <c r="E1290" s="19" t="s">
        <v>1979</v>
      </c>
    </row>
    <row r="1291" spans="5:5" ht="14.25" customHeight="1" x14ac:dyDescent="0.2">
      <c r="E1291" s="19" t="s">
        <v>1979</v>
      </c>
    </row>
    <row r="1292" spans="5:5" ht="14.25" customHeight="1" x14ac:dyDescent="0.2">
      <c r="E1292" s="19" t="s">
        <v>1979</v>
      </c>
    </row>
    <row r="1293" spans="5:5" ht="14.25" customHeight="1" x14ac:dyDescent="0.2">
      <c r="E1293" s="19" t="s">
        <v>1979</v>
      </c>
    </row>
    <row r="1294" spans="5:5" ht="14.25" customHeight="1" x14ac:dyDescent="0.2">
      <c r="E1294" s="19" t="s">
        <v>1979</v>
      </c>
    </row>
    <row r="1295" spans="5:5" ht="14.25" customHeight="1" x14ac:dyDescent="0.2">
      <c r="E1295" s="19" t="s">
        <v>1979</v>
      </c>
    </row>
    <row r="1296" spans="5:5" ht="14.25" customHeight="1" x14ac:dyDescent="0.2">
      <c r="E1296" s="19" t="s">
        <v>1979</v>
      </c>
    </row>
    <row r="1297" spans="5:5" ht="14.25" customHeight="1" x14ac:dyDescent="0.2">
      <c r="E1297" s="19" t="s">
        <v>1979</v>
      </c>
    </row>
    <row r="1298" spans="5:5" ht="14.25" customHeight="1" x14ac:dyDescent="0.2">
      <c r="E1298" s="19" t="s">
        <v>1979</v>
      </c>
    </row>
    <row r="1299" spans="5:5" ht="14.25" customHeight="1" x14ac:dyDescent="0.2">
      <c r="E1299" s="19" t="s">
        <v>1979</v>
      </c>
    </row>
    <row r="1300" spans="5:5" ht="14.25" customHeight="1" x14ac:dyDescent="0.2">
      <c r="E1300" s="19" t="s">
        <v>1979</v>
      </c>
    </row>
    <row r="1301" spans="5:5" ht="14.25" customHeight="1" x14ac:dyDescent="0.2">
      <c r="E1301" s="19" t="s">
        <v>1979</v>
      </c>
    </row>
    <row r="1302" spans="5:5" ht="14.25" customHeight="1" x14ac:dyDescent="0.2">
      <c r="E1302" s="19" t="s">
        <v>1979</v>
      </c>
    </row>
    <row r="1303" spans="5:5" ht="14.25" customHeight="1" x14ac:dyDescent="0.2">
      <c r="E1303" s="19" t="s">
        <v>1979</v>
      </c>
    </row>
    <row r="1304" spans="5:5" ht="14.25" customHeight="1" x14ac:dyDescent="0.2">
      <c r="E1304" s="19" t="s">
        <v>1979</v>
      </c>
    </row>
    <row r="1305" spans="5:5" ht="14.25" customHeight="1" x14ac:dyDescent="0.2">
      <c r="E1305" s="19" t="s">
        <v>1979</v>
      </c>
    </row>
    <row r="1306" spans="5:5" ht="14.25" customHeight="1" x14ac:dyDescent="0.2">
      <c r="E1306" s="19" t="s">
        <v>1979</v>
      </c>
    </row>
    <row r="1307" spans="5:5" ht="14.25" customHeight="1" x14ac:dyDescent="0.2">
      <c r="E1307" s="19" t="s">
        <v>1979</v>
      </c>
    </row>
    <row r="1308" spans="5:5" ht="14.25" customHeight="1" x14ac:dyDescent="0.2">
      <c r="E1308" s="19" t="s">
        <v>1979</v>
      </c>
    </row>
    <row r="1309" spans="5:5" ht="14.25" customHeight="1" x14ac:dyDescent="0.2">
      <c r="E1309" s="19" t="s">
        <v>1979</v>
      </c>
    </row>
    <row r="1310" spans="5:5" ht="14.25" customHeight="1" x14ac:dyDescent="0.2">
      <c r="E1310" s="19" t="s">
        <v>1979</v>
      </c>
    </row>
    <row r="1311" spans="5:5" ht="14.25" customHeight="1" x14ac:dyDescent="0.2">
      <c r="E1311" s="19" t="s">
        <v>1979</v>
      </c>
    </row>
    <row r="1312" spans="5:5" ht="14.25" customHeight="1" x14ac:dyDescent="0.2">
      <c r="E1312" s="19" t="s">
        <v>1979</v>
      </c>
    </row>
    <row r="1313" spans="5:5" ht="14.25" customHeight="1" x14ac:dyDescent="0.2">
      <c r="E1313" s="19" t="s">
        <v>1979</v>
      </c>
    </row>
    <row r="1314" spans="5:5" ht="14.25" customHeight="1" x14ac:dyDescent="0.2">
      <c r="E1314" s="19" t="s">
        <v>1979</v>
      </c>
    </row>
    <row r="1315" spans="5:5" ht="14.25" customHeight="1" x14ac:dyDescent="0.2">
      <c r="E1315" s="19" t="s">
        <v>1979</v>
      </c>
    </row>
    <row r="1316" spans="5:5" ht="14.25" customHeight="1" x14ac:dyDescent="0.2">
      <c r="E1316" s="19" t="s">
        <v>1979</v>
      </c>
    </row>
    <row r="1317" spans="5:5" ht="14.25" customHeight="1" x14ac:dyDescent="0.2">
      <c r="E1317" s="19" t="s">
        <v>1979</v>
      </c>
    </row>
    <row r="1318" spans="5:5" ht="14.25" customHeight="1" x14ac:dyDescent="0.2">
      <c r="E1318" s="19" t="s">
        <v>1979</v>
      </c>
    </row>
    <row r="1319" spans="5:5" ht="14.25" customHeight="1" x14ac:dyDescent="0.2">
      <c r="E1319" s="19" t="s">
        <v>1979</v>
      </c>
    </row>
    <row r="1320" spans="5:5" ht="14.25" customHeight="1" x14ac:dyDescent="0.2">
      <c r="E1320" s="19" t="s">
        <v>1979</v>
      </c>
    </row>
    <row r="1321" spans="5:5" ht="14.25" customHeight="1" x14ac:dyDescent="0.2">
      <c r="E1321" s="19" t="s">
        <v>1979</v>
      </c>
    </row>
    <row r="1322" spans="5:5" ht="14.25" customHeight="1" x14ac:dyDescent="0.2">
      <c r="E1322" s="19" t="s">
        <v>1979</v>
      </c>
    </row>
    <row r="1323" spans="5:5" ht="14.25" customHeight="1" x14ac:dyDescent="0.2">
      <c r="E1323" s="19" t="s">
        <v>1979</v>
      </c>
    </row>
    <row r="1324" spans="5:5" ht="14.25" customHeight="1" x14ac:dyDescent="0.2">
      <c r="E1324" s="19" t="s">
        <v>1979</v>
      </c>
    </row>
    <row r="1325" spans="5:5" ht="14.25" customHeight="1" x14ac:dyDescent="0.2">
      <c r="E1325" s="19" t="s">
        <v>1979</v>
      </c>
    </row>
    <row r="1326" spans="5:5" ht="14.25" customHeight="1" x14ac:dyDescent="0.2">
      <c r="E1326" s="19" t="s">
        <v>1979</v>
      </c>
    </row>
    <row r="1327" spans="5:5" ht="14.25" customHeight="1" x14ac:dyDescent="0.2">
      <c r="E1327" s="19" t="s">
        <v>1979</v>
      </c>
    </row>
    <row r="1328" spans="5:5" ht="14.25" customHeight="1" x14ac:dyDescent="0.2">
      <c r="E1328" s="19" t="s">
        <v>1979</v>
      </c>
    </row>
    <row r="1329" spans="5:5" ht="14.25" customHeight="1" x14ac:dyDescent="0.2">
      <c r="E1329" s="19" t="s">
        <v>1979</v>
      </c>
    </row>
    <row r="1330" spans="5:5" ht="14.25" customHeight="1" x14ac:dyDescent="0.2">
      <c r="E1330" s="19" t="s">
        <v>1979</v>
      </c>
    </row>
    <row r="1331" spans="5:5" ht="14.25" customHeight="1" x14ac:dyDescent="0.2">
      <c r="E1331" s="19" t="s">
        <v>1979</v>
      </c>
    </row>
    <row r="1332" spans="5:5" ht="14.25" customHeight="1" x14ac:dyDescent="0.2">
      <c r="E1332" s="19" t="s">
        <v>1979</v>
      </c>
    </row>
    <row r="1333" spans="5:5" ht="14.25" customHeight="1" x14ac:dyDescent="0.2">
      <c r="E1333" s="19" t="s">
        <v>1979</v>
      </c>
    </row>
    <row r="1334" spans="5:5" ht="14.25" customHeight="1" x14ac:dyDescent="0.2">
      <c r="E1334" s="19" t="s">
        <v>1979</v>
      </c>
    </row>
    <row r="1335" spans="5:5" ht="14.25" customHeight="1" x14ac:dyDescent="0.2">
      <c r="E1335" s="19" t="s">
        <v>1979</v>
      </c>
    </row>
    <row r="1336" spans="5:5" ht="14.25" customHeight="1" x14ac:dyDescent="0.2">
      <c r="E1336" s="19" t="s">
        <v>1979</v>
      </c>
    </row>
    <row r="1337" spans="5:5" ht="14.25" customHeight="1" x14ac:dyDescent="0.2">
      <c r="E1337" s="19" t="s">
        <v>1979</v>
      </c>
    </row>
    <row r="1338" spans="5:5" ht="14.25" customHeight="1" x14ac:dyDescent="0.2">
      <c r="E1338" s="19" t="s">
        <v>1979</v>
      </c>
    </row>
    <row r="1339" spans="5:5" ht="14.25" customHeight="1" x14ac:dyDescent="0.2">
      <c r="E1339" s="19" t="s">
        <v>1979</v>
      </c>
    </row>
    <row r="1340" spans="5:5" ht="14.25" customHeight="1" x14ac:dyDescent="0.2">
      <c r="E1340" s="19" t="s">
        <v>1979</v>
      </c>
    </row>
    <row r="1341" spans="5:5" ht="14.25" customHeight="1" x14ac:dyDescent="0.2">
      <c r="E1341" s="19" t="s">
        <v>1979</v>
      </c>
    </row>
    <row r="1342" spans="5:5" ht="14.25" customHeight="1" x14ac:dyDescent="0.2">
      <c r="E1342" s="19" t="s">
        <v>1979</v>
      </c>
    </row>
    <row r="1343" spans="5:5" ht="14.25" customHeight="1" x14ac:dyDescent="0.2">
      <c r="E1343" s="19" t="s">
        <v>1979</v>
      </c>
    </row>
    <row r="1344" spans="5:5" ht="14.25" customHeight="1" x14ac:dyDescent="0.2">
      <c r="E1344" s="19" t="s">
        <v>1979</v>
      </c>
    </row>
    <row r="1345" spans="5:5" ht="14.25" customHeight="1" x14ac:dyDescent="0.2">
      <c r="E1345" s="19" t="s">
        <v>1979</v>
      </c>
    </row>
    <row r="1346" spans="5:5" ht="14.25" customHeight="1" x14ac:dyDescent="0.2">
      <c r="E1346" s="19" t="s">
        <v>1979</v>
      </c>
    </row>
    <row r="1347" spans="5:5" ht="14.25" customHeight="1" x14ac:dyDescent="0.2">
      <c r="E1347" s="19" t="s">
        <v>1979</v>
      </c>
    </row>
    <row r="1348" spans="5:5" ht="14.25" customHeight="1" x14ac:dyDescent="0.2">
      <c r="E1348" s="19" t="s">
        <v>1979</v>
      </c>
    </row>
    <row r="1349" spans="5:5" ht="14.25" customHeight="1" x14ac:dyDescent="0.2">
      <c r="E1349" s="19" t="s">
        <v>1979</v>
      </c>
    </row>
    <row r="1350" spans="5:5" ht="14.25" customHeight="1" x14ac:dyDescent="0.2">
      <c r="E1350" s="19" t="s">
        <v>1979</v>
      </c>
    </row>
    <row r="1351" spans="5:5" ht="14.25" customHeight="1" x14ac:dyDescent="0.2">
      <c r="E1351" s="19" t="s">
        <v>1979</v>
      </c>
    </row>
    <row r="1352" spans="5:5" ht="14.25" customHeight="1" x14ac:dyDescent="0.2">
      <c r="E1352" s="19" t="s">
        <v>1979</v>
      </c>
    </row>
    <row r="1353" spans="5:5" ht="14.25" customHeight="1" x14ac:dyDescent="0.2">
      <c r="E1353" s="19" t="s">
        <v>1979</v>
      </c>
    </row>
    <row r="1354" spans="5:5" ht="14.25" customHeight="1" x14ac:dyDescent="0.2">
      <c r="E1354" s="19" t="s">
        <v>1979</v>
      </c>
    </row>
    <row r="1355" spans="5:5" ht="14.25" customHeight="1" x14ac:dyDescent="0.2">
      <c r="E1355" s="19" t="s">
        <v>1979</v>
      </c>
    </row>
    <row r="1356" spans="5:5" ht="14.25" customHeight="1" x14ac:dyDescent="0.2">
      <c r="E1356" s="19" t="s">
        <v>1979</v>
      </c>
    </row>
    <row r="1357" spans="5:5" ht="14.25" customHeight="1" x14ac:dyDescent="0.2">
      <c r="E1357" s="19" t="s">
        <v>1979</v>
      </c>
    </row>
    <row r="1358" spans="5:5" ht="14.25" customHeight="1" x14ac:dyDescent="0.2">
      <c r="E1358" s="19" t="s">
        <v>1979</v>
      </c>
    </row>
    <row r="1359" spans="5:5" ht="14.25" customHeight="1" x14ac:dyDescent="0.2">
      <c r="E1359" s="19" t="s">
        <v>1979</v>
      </c>
    </row>
    <row r="1360" spans="5:5" ht="14.25" customHeight="1" x14ac:dyDescent="0.2">
      <c r="E1360" s="19" t="s">
        <v>1979</v>
      </c>
    </row>
    <row r="1361" spans="5:5" ht="14.25" customHeight="1" x14ac:dyDescent="0.2">
      <c r="E1361" s="19" t="s">
        <v>1979</v>
      </c>
    </row>
    <row r="1362" spans="5:5" ht="14.25" customHeight="1" x14ac:dyDescent="0.2">
      <c r="E1362" s="19" t="s">
        <v>1979</v>
      </c>
    </row>
    <row r="1363" spans="5:5" ht="14.25" customHeight="1" x14ac:dyDescent="0.2">
      <c r="E1363" s="19" t="s">
        <v>1979</v>
      </c>
    </row>
    <row r="1364" spans="5:5" ht="14.25" customHeight="1" x14ac:dyDescent="0.2">
      <c r="E1364" s="19" t="s">
        <v>1979</v>
      </c>
    </row>
    <row r="1365" spans="5:5" ht="14.25" customHeight="1" x14ac:dyDescent="0.2">
      <c r="E1365" s="19" t="s">
        <v>1979</v>
      </c>
    </row>
    <row r="1366" spans="5:5" ht="14.25" customHeight="1" x14ac:dyDescent="0.2">
      <c r="E1366" s="19" t="s">
        <v>1979</v>
      </c>
    </row>
    <row r="1367" spans="5:5" ht="14.25" customHeight="1" x14ac:dyDescent="0.2">
      <c r="E1367" s="19" t="s">
        <v>1979</v>
      </c>
    </row>
    <row r="1368" spans="5:5" ht="14.25" customHeight="1" x14ac:dyDescent="0.2">
      <c r="E1368" s="19" t="s">
        <v>1979</v>
      </c>
    </row>
    <row r="1369" spans="5:5" ht="14.25" customHeight="1" x14ac:dyDescent="0.2">
      <c r="E1369" s="19" t="s">
        <v>1979</v>
      </c>
    </row>
    <row r="1370" spans="5:5" ht="14.25" customHeight="1" x14ac:dyDescent="0.2">
      <c r="E1370" s="19" t="s">
        <v>1979</v>
      </c>
    </row>
    <row r="1371" spans="5:5" ht="14.25" customHeight="1" x14ac:dyDescent="0.2">
      <c r="E1371" s="19" t="s">
        <v>1979</v>
      </c>
    </row>
    <row r="1372" spans="5:5" ht="14.25" customHeight="1" x14ac:dyDescent="0.2">
      <c r="E1372" s="19" t="s">
        <v>1979</v>
      </c>
    </row>
    <row r="1373" spans="5:5" ht="14.25" customHeight="1" x14ac:dyDescent="0.2">
      <c r="E1373" s="19" t="s">
        <v>1979</v>
      </c>
    </row>
    <row r="1374" spans="5:5" ht="14.25" customHeight="1" x14ac:dyDescent="0.2">
      <c r="E1374" s="19" t="s">
        <v>1979</v>
      </c>
    </row>
    <row r="1375" spans="5:5" ht="14.25" customHeight="1" x14ac:dyDescent="0.2">
      <c r="E1375" s="19" t="s">
        <v>1979</v>
      </c>
    </row>
    <row r="1376" spans="5:5" ht="14.25" customHeight="1" x14ac:dyDescent="0.2">
      <c r="E1376" s="19" t="s">
        <v>1979</v>
      </c>
    </row>
    <row r="1377" spans="5:5" ht="14.25" customHeight="1" x14ac:dyDescent="0.2">
      <c r="E1377" s="19" t="s">
        <v>1979</v>
      </c>
    </row>
    <row r="1378" spans="5:5" ht="14.25" customHeight="1" x14ac:dyDescent="0.2">
      <c r="E1378" s="19" t="s">
        <v>1979</v>
      </c>
    </row>
    <row r="1379" spans="5:5" ht="14.25" customHeight="1" x14ac:dyDescent="0.2">
      <c r="E1379" s="19" t="s">
        <v>1979</v>
      </c>
    </row>
    <row r="1380" spans="5:5" ht="14.25" customHeight="1" x14ac:dyDescent="0.2">
      <c r="E1380" s="19" t="s">
        <v>1979</v>
      </c>
    </row>
    <row r="1381" spans="5:5" ht="14.25" customHeight="1" x14ac:dyDescent="0.2">
      <c r="E1381" s="19" t="s">
        <v>1979</v>
      </c>
    </row>
    <row r="1382" spans="5:5" ht="14.25" customHeight="1" x14ac:dyDescent="0.2">
      <c r="E1382" s="19" t="s">
        <v>1979</v>
      </c>
    </row>
    <row r="1383" spans="5:5" ht="14.25" customHeight="1" x14ac:dyDescent="0.2">
      <c r="E1383" s="19" t="s">
        <v>1979</v>
      </c>
    </row>
    <row r="1384" spans="5:5" ht="14.25" customHeight="1" x14ac:dyDescent="0.2">
      <c r="E1384" s="19" t="s">
        <v>1979</v>
      </c>
    </row>
    <row r="1385" spans="5:5" ht="14.25" customHeight="1" x14ac:dyDescent="0.2">
      <c r="E1385" s="19" t="s">
        <v>1979</v>
      </c>
    </row>
    <row r="1386" spans="5:5" ht="14.25" customHeight="1" x14ac:dyDescent="0.2">
      <c r="E1386" s="19" t="s">
        <v>1979</v>
      </c>
    </row>
    <row r="1387" spans="5:5" ht="14.25" customHeight="1" x14ac:dyDescent="0.2">
      <c r="E1387" s="19" t="s">
        <v>1979</v>
      </c>
    </row>
    <row r="1388" spans="5:5" ht="14.25" customHeight="1" x14ac:dyDescent="0.2">
      <c r="E1388" s="19" t="s">
        <v>1979</v>
      </c>
    </row>
    <row r="1389" spans="5:5" ht="14.25" customHeight="1" x14ac:dyDescent="0.2">
      <c r="E1389" s="19" t="s">
        <v>1979</v>
      </c>
    </row>
    <row r="1390" spans="5:5" ht="14.25" customHeight="1" x14ac:dyDescent="0.2">
      <c r="E1390" s="19" t="s">
        <v>1979</v>
      </c>
    </row>
    <row r="1391" spans="5:5" ht="14.25" customHeight="1" x14ac:dyDescent="0.2">
      <c r="E1391" s="19" t="s">
        <v>1979</v>
      </c>
    </row>
    <row r="1392" spans="5:5" ht="14.25" customHeight="1" x14ac:dyDescent="0.2">
      <c r="E1392" s="19" t="s">
        <v>1979</v>
      </c>
    </row>
    <row r="1393" spans="5:5" ht="14.25" customHeight="1" x14ac:dyDescent="0.2">
      <c r="E1393" s="19" t="s">
        <v>1979</v>
      </c>
    </row>
    <row r="1394" spans="5:5" ht="14.25" customHeight="1" x14ac:dyDescent="0.2">
      <c r="E1394" s="19" t="s">
        <v>1979</v>
      </c>
    </row>
    <row r="1395" spans="5:5" ht="14.25" customHeight="1" x14ac:dyDescent="0.2">
      <c r="E1395" s="19" t="s">
        <v>1979</v>
      </c>
    </row>
    <row r="1396" spans="5:5" ht="14.25" customHeight="1" x14ac:dyDescent="0.2">
      <c r="E1396" s="19" t="s">
        <v>1979</v>
      </c>
    </row>
    <row r="1397" spans="5:5" ht="14.25" customHeight="1" x14ac:dyDescent="0.2">
      <c r="E1397" s="19" t="s">
        <v>1979</v>
      </c>
    </row>
    <row r="1398" spans="5:5" ht="14.25" customHeight="1" x14ac:dyDescent="0.2">
      <c r="E1398" s="19" t="s">
        <v>1979</v>
      </c>
    </row>
    <row r="1399" spans="5:5" ht="14.25" customHeight="1" x14ac:dyDescent="0.2">
      <c r="E1399" s="19" t="s">
        <v>1979</v>
      </c>
    </row>
    <row r="1400" spans="5:5" ht="14.25" customHeight="1" x14ac:dyDescent="0.2">
      <c r="E1400" s="19" t="s">
        <v>1979</v>
      </c>
    </row>
    <row r="1401" spans="5:5" ht="14.25" customHeight="1" x14ac:dyDescent="0.2">
      <c r="E1401" s="19" t="s">
        <v>1979</v>
      </c>
    </row>
    <row r="1402" spans="5:5" ht="14.25" customHeight="1" x14ac:dyDescent="0.2">
      <c r="E1402" s="19" t="s">
        <v>1979</v>
      </c>
    </row>
    <row r="1403" spans="5:5" ht="14.25" customHeight="1" x14ac:dyDescent="0.2">
      <c r="E1403" s="19" t="s">
        <v>1979</v>
      </c>
    </row>
    <row r="1404" spans="5:5" ht="14.25" customHeight="1" x14ac:dyDescent="0.2">
      <c r="E1404" s="19" t="s">
        <v>1979</v>
      </c>
    </row>
    <row r="1405" spans="5:5" ht="14.25" customHeight="1" x14ac:dyDescent="0.2">
      <c r="E1405" s="19" t="s">
        <v>1979</v>
      </c>
    </row>
    <row r="1406" spans="5:5" ht="14.25" customHeight="1" x14ac:dyDescent="0.2">
      <c r="E1406" s="19" t="s">
        <v>1979</v>
      </c>
    </row>
    <row r="1407" spans="5:5" ht="14.25" customHeight="1" x14ac:dyDescent="0.2">
      <c r="E1407" s="19" t="s">
        <v>1979</v>
      </c>
    </row>
    <row r="1408" spans="5:5" ht="14.25" customHeight="1" x14ac:dyDescent="0.2">
      <c r="E1408" s="19" t="s">
        <v>1979</v>
      </c>
    </row>
    <row r="1409" spans="5:5" ht="14.25" customHeight="1" x14ac:dyDescent="0.2">
      <c r="E1409" s="19" t="s">
        <v>1979</v>
      </c>
    </row>
    <row r="1410" spans="5:5" ht="14.25" customHeight="1" x14ac:dyDescent="0.2">
      <c r="E1410" s="19" t="s">
        <v>1979</v>
      </c>
    </row>
    <row r="1411" spans="5:5" ht="14.25" customHeight="1" x14ac:dyDescent="0.2">
      <c r="E1411" s="19" t="s">
        <v>1979</v>
      </c>
    </row>
    <row r="1412" spans="5:5" ht="14.25" customHeight="1" x14ac:dyDescent="0.2">
      <c r="E1412" s="19" t="s">
        <v>1979</v>
      </c>
    </row>
    <row r="1413" spans="5:5" ht="14.25" customHeight="1" x14ac:dyDescent="0.2">
      <c r="E1413" s="19" t="s">
        <v>1979</v>
      </c>
    </row>
    <row r="1414" spans="5:5" ht="14.25" customHeight="1" x14ac:dyDescent="0.2">
      <c r="E1414" s="19" t="s">
        <v>1979</v>
      </c>
    </row>
    <row r="1415" spans="5:5" ht="14.25" customHeight="1" x14ac:dyDescent="0.2">
      <c r="E1415" s="19" t="s">
        <v>1979</v>
      </c>
    </row>
    <row r="1416" spans="5:5" ht="14.25" customHeight="1" x14ac:dyDescent="0.2">
      <c r="E1416" s="19" t="s">
        <v>1979</v>
      </c>
    </row>
    <row r="1417" spans="5:5" ht="14.25" customHeight="1" x14ac:dyDescent="0.2">
      <c r="E1417" s="19" t="s">
        <v>1979</v>
      </c>
    </row>
    <row r="1418" spans="5:5" ht="14.25" customHeight="1" x14ac:dyDescent="0.2">
      <c r="E1418" s="19" t="s">
        <v>1979</v>
      </c>
    </row>
    <row r="1419" spans="5:5" ht="14.25" customHeight="1" x14ac:dyDescent="0.2">
      <c r="E1419" s="19" t="s">
        <v>1979</v>
      </c>
    </row>
    <row r="1420" spans="5:5" ht="14.25" customHeight="1" x14ac:dyDescent="0.2">
      <c r="E1420" s="19" t="s">
        <v>1979</v>
      </c>
    </row>
    <row r="1421" spans="5:5" ht="14.25" customHeight="1" x14ac:dyDescent="0.2">
      <c r="E1421" s="19" t="s">
        <v>1979</v>
      </c>
    </row>
    <row r="1422" spans="5:5" ht="14.25" customHeight="1" x14ac:dyDescent="0.2">
      <c r="E1422" s="19" t="s">
        <v>1979</v>
      </c>
    </row>
    <row r="1423" spans="5:5" ht="14.25" customHeight="1" x14ac:dyDescent="0.2">
      <c r="E1423" s="19" t="s">
        <v>1979</v>
      </c>
    </row>
    <row r="1424" spans="5:5" ht="14.25" customHeight="1" x14ac:dyDescent="0.2">
      <c r="E1424" s="19" t="s">
        <v>1979</v>
      </c>
    </row>
    <row r="1425" spans="5:5" ht="14.25" customHeight="1" x14ac:dyDescent="0.2">
      <c r="E1425" s="19" t="s">
        <v>1979</v>
      </c>
    </row>
    <row r="1426" spans="5:5" ht="14.25" customHeight="1" x14ac:dyDescent="0.2">
      <c r="E1426" s="19" t="s">
        <v>1979</v>
      </c>
    </row>
    <row r="1427" spans="5:5" ht="14.25" customHeight="1" x14ac:dyDescent="0.2">
      <c r="E1427" s="19" t="s">
        <v>1979</v>
      </c>
    </row>
    <row r="1428" spans="5:5" ht="14.25" customHeight="1" x14ac:dyDescent="0.2">
      <c r="E1428" s="19" t="s">
        <v>1979</v>
      </c>
    </row>
    <row r="1429" spans="5:5" ht="14.25" customHeight="1" x14ac:dyDescent="0.2">
      <c r="E1429" s="19" t="s">
        <v>1979</v>
      </c>
    </row>
    <row r="1430" spans="5:5" ht="14.25" customHeight="1" x14ac:dyDescent="0.2">
      <c r="E1430" s="19" t="s">
        <v>1979</v>
      </c>
    </row>
    <row r="1431" spans="5:5" ht="14.25" customHeight="1" x14ac:dyDescent="0.2">
      <c r="E1431" s="19" t="s">
        <v>1979</v>
      </c>
    </row>
    <row r="1432" spans="5:5" ht="14.25" customHeight="1" x14ac:dyDescent="0.2">
      <c r="E1432" s="19" t="s">
        <v>1979</v>
      </c>
    </row>
    <row r="1433" spans="5:5" ht="14.25" customHeight="1" x14ac:dyDescent="0.2">
      <c r="E1433" s="19" t="s">
        <v>1979</v>
      </c>
    </row>
    <row r="1434" spans="5:5" ht="14.25" customHeight="1" x14ac:dyDescent="0.2">
      <c r="E1434" s="19" t="s">
        <v>1979</v>
      </c>
    </row>
    <row r="1435" spans="5:5" ht="14.25" customHeight="1" x14ac:dyDescent="0.2">
      <c r="E1435" s="19" t="s">
        <v>1979</v>
      </c>
    </row>
    <row r="1436" spans="5:5" ht="14.25" customHeight="1" x14ac:dyDescent="0.2">
      <c r="E1436" s="19" t="s">
        <v>1979</v>
      </c>
    </row>
    <row r="1437" spans="5:5" ht="14.25" customHeight="1" x14ac:dyDescent="0.2">
      <c r="E1437" s="19" t="s">
        <v>1979</v>
      </c>
    </row>
    <row r="1438" spans="5:5" ht="14.25" customHeight="1" x14ac:dyDescent="0.2">
      <c r="E1438" s="19" t="s">
        <v>1979</v>
      </c>
    </row>
    <row r="1439" spans="5:5" ht="14.25" customHeight="1" x14ac:dyDescent="0.2">
      <c r="E1439" s="19" t="s">
        <v>1979</v>
      </c>
    </row>
    <row r="1440" spans="5:5" ht="14.25" customHeight="1" x14ac:dyDescent="0.2">
      <c r="E1440" s="19" t="s">
        <v>1979</v>
      </c>
    </row>
    <row r="1441" spans="5:5" ht="14.25" customHeight="1" x14ac:dyDescent="0.2">
      <c r="E1441" s="19" t="s">
        <v>1979</v>
      </c>
    </row>
    <row r="1442" spans="5:5" ht="14.25" customHeight="1" x14ac:dyDescent="0.2">
      <c r="E1442" s="19" t="s">
        <v>1979</v>
      </c>
    </row>
    <row r="1443" spans="5:5" ht="14.25" customHeight="1" x14ac:dyDescent="0.2">
      <c r="E1443" s="19" t="s">
        <v>1979</v>
      </c>
    </row>
    <row r="1444" spans="5:5" ht="14.25" customHeight="1" x14ac:dyDescent="0.2">
      <c r="E1444" s="19" t="s">
        <v>1979</v>
      </c>
    </row>
    <row r="1445" spans="5:5" ht="14.25" customHeight="1" x14ac:dyDescent="0.2">
      <c r="E1445" s="19" t="s">
        <v>1979</v>
      </c>
    </row>
    <row r="1446" spans="5:5" ht="14.25" customHeight="1" x14ac:dyDescent="0.2">
      <c r="E1446" s="19" t="s">
        <v>1979</v>
      </c>
    </row>
    <row r="1447" spans="5:5" ht="14.25" customHeight="1" x14ac:dyDescent="0.2">
      <c r="E1447" s="19" t="s">
        <v>1979</v>
      </c>
    </row>
    <row r="1448" spans="5:5" ht="14.25" customHeight="1" x14ac:dyDescent="0.2">
      <c r="E1448" s="19" t="s">
        <v>1979</v>
      </c>
    </row>
    <row r="1449" spans="5:5" ht="14.25" customHeight="1" x14ac:dyDescent="0.2">
      <c r="E1449" s="19" t="s">
        <v>1979</v>
      </c>
    </row>
    <row r="1450" spans="5:5" ht="14.25" customHeight="1" x14ac:dyDescent="0.2">
      <c r="E1450" s="19" t="s">
        <v>1979</v>
      </c>
    </row>
    <row r="1451" spans="5:5" ht="14.25" customHeight="1" x14ac:dyDescent="0.2">
      <c r="E1451" s="19" t="s">
        <v>1979</v>
      </c>
    </row>
    <row r="1452" spans="5:5" ht="14.25" customHeight="1" x14ac:dyDescent="0.2">
      <c r="E1452" s="19" t="s">
        <v>1979</v>
      </c>
    </row>
    <row r="1453" spans="5:5" ht="14.25" customHeight="1" x14ac:dyDescent="0.2">
      <c r="E1453" s="19" t="s">
        <v>1979</v>
      </c>
    </row>
    <row r="1454" spans="5:5" ht="14.25" customHeight="1" x14ac:dyDescent="0.2">
      <c r="E1454" s="19" t="s">
        <v>1979</v>
      </c>
    </row>
    <row r="1455" spans="5:5" ht="14.25" customHeight="1" x14ac:dyDescent="0.2">
      <c r="E1455" s="19" t="s">
        <v>1979</v>
      </c>
    </row>
    <row r="1456" spans="5:5" ht="14.25" customHeight="1" x14ac:dyDescent="0.2">
      <c r="E1456" s="19" t="s">
        <v>1979</v>
      </c>
    </row>
    <row r="1457" spans="5:5" ht="14.25" customHeight="1" x14ac:dyDescent="0.2">
      <c r="E1457" s="19" t="s">
        <v>1979</v>
      </c>
    </row>
    <row r="1458" spans="5:5" ht="14.25" customHeight="1" x14ac:dyDescent="0.2">
      <c r="E1458" s="19" t="s">
        <v>1979</v>
      </c>
    </row>
    <row r="1459" spans="5:5" ht="14.25" customHeight="1" x14ac:dyDescent="0.2">
      <c r="E1459" s="19" t="s">
        <v>1979</v>
      </c>
    </row>
    <row r="1460" spans="5:5" ht="14.25" customHeight="1" x14ac:dyDescent="0.2">
      <c r="E1460" s="19" t="s">
        <v>1979</v>
      </c>
    </row>
    <row r="1461" spans="5:5" ht="14.25" customHeight="1" x14ac:dyDescent="0.2">
      <c r="E1461" s="19" t="s">
        <v>1979</v>
      </c>
    </row>
    <row r="1462" spans="5:5" ht="14.25" customHeight="1" x14ac:dyDescent="0.2">
      <c r="E1462" s="19" t="s">
        <v>1979</v>
      </c>
    </row>
    <row r="1463" spans="5:5" ht="14.25" customHeight="1" x14ac:dyDescent="0.2">
      <c r="E1463" s="19" t="s">
        <v>1979</v>
      </c>
    </row>
    <row r="1464" spans="5:5" ht="14.25" customHeight="1" x14ac:dyDescent="0.2">
      <c r="E1464" s="19" t="s">
        <v>1979</v>
      </c>
    </row>
    <row r="1465" spans="5:5" ht="14.25" customHeight="1" x14ac:dyDescent="0.2">
      <c r="E1465" s="19" t="s">
        <v>1979</v>
      </c>
    </row>
    <row r="1466" spans="5:5" ht="14.25" customHeight="1" x14ac:dyDescent="0.2">
      <c r="E1466" s="19" t="s">
        <v>1979</v>
      </c>
    </row>
    <row r="1467" spans="5:5" ht="14.25" customHeight="1" x14ac:dyDescent="0.2">
      <c r="E1467" s="19" t="s">
        <v>1979</v>
      </c>
    </row>
    <row r="1468" spans="5:5" ht="14.25" customHeight="1" x14ac:dyDescent="0.2">
      <c r="E1468" s="19" t="s">
        <v>1979</v>
      </c>
    </row>
    <row r="1469" spans="5:5" ht="14.25" customHeight="1" x14ac:dyDescent="0.2">
      <c r="E1469" s="19" t="s">
        <v>1979</v>
      </c>
    </row>
    <row r="1470" spans="5:5" ht="14.25" customHeight="1" x14ac:dyDescent="0.2">
      <c r="E1470" s="19" t="s">
        <v>1979</v>
      </c>
    </row>
    <row r="1471" spans="5:5" ht="14.25" customHeight="1" x14ac:dyDescent="0.2">
      <c r="E1471" s="19" t="s">
        <v>1979</v>
      </c>
    </row>
    <row r="1472" spans="5:5" ht="14.25" customHeight="1" x14ac:dyDescent="0.2">
      <c r="E1472" s="19" t="s">
        <v>1979</v>
      </c>
    </row>
    <row r="1473" spans="5:5" ht="14.25" customHeight="1" x14ac:dyDescent="0.2">
      <c r="E1473" s="19" t="s">
        <v>1979</v>
      </c>
    </row>
    <row r="1474" spans="5:5" ht="14.25" customHeight="1" x14ac:dyDescent="0.2">
      <c r="E1474" s="19" t="s">
        <v>1979</v>
      </c>
    </row>
    <row r="1475" spans="5:5" ht="14.25" customHeight="1" x14ac:dyDescent="0.2">
      <c r="E1475" s="19" t="s">
        <v>1979</v>
      </c>
    </row>
    <row r="1476" spans="5:5" ht="14.25" customHeight="1" x14ac:dyDescent="0.2">
      <c r="E1476" s="19" t="s">
        <v>1979</v>
      </c>
    </row>
    <row r="1477" spans="5:5" ht="14.25" customHeight="1" x14ac:dyDescent="0.2">
      <c r="E1477" s="19" t="s">
        <v>1979</v>
      </c>
    </row>
    <row r="1478" spans="5:5" ht="14.25" customHeight="1" x14ac:dyDescent="0.2">
      <c r="E1478" s="19" t="s">
        <v>1979</v>
      </c>
    </row>
    <row r="1479" spans="5:5" ht="14.25" customHeight="1" x14ac:dyDescent="0.2">
      <c r="E1479" s="19" t="s">
        <v>1979</v>
      </c>
    </row>
    <row r="1480" spans="5:5" ht="14.25" customHeight="1" x14ac:dyDescent="0.2">
      <c r="E1480" s="19" t="s">
        <v>1979</v>
      </c>
    </row>
    <row r="1481" spans="5:5" ht="14.25" customHeight="1" x14ac:dyDescent="0.2">
      <c r="E1481" s="19" t="s">
        <v>1979</v>
      </c>
    </row>
    <row r="1482" spans="5:5" ht="14.25" customHeight="1" x14ac:dyDescent="0.2">
      <c r="E1482" s="19" t="s">
        <v>1979</v>
      </c>
    </row>
    <row r="1483" spans="5:5" ht="14.25" customHeight="1" x14ac:dyDescent="0.2">
      <c r="E1483" s="19" t="s">
        <v>1979</v>
      </c>
    </row>
    <row r="1484" spans="5:5" ht="14.25" customHeight="1" x14ac:dyDescent="0.2">
      <c r="E1484" s="19" t="s">
        <v>1979</v>
      </c>
    </row>
    <row r="1485" spans="5:5" ht="14.25" customHeight="1" x14ac:dyDescent="0.2">
      <c r="E1485" s="19" t="s">
        <v>1979</v>
      </c>
    </row>
    <row r="1486" spans="5:5" ht="14.25" customHeight="1" x14ac:dyDescent="0.2">
      <c r="E1486" s="19" t="s">
        <v>1979</v>
      </c>
    </row>
    <row r="1487" spans="5:5" ht="14.25" customHeight="1" x14ac:dyDescent="0.2">
      <c r="E1487" s="19" t="s">
        <v>1979</v>
      </c>
    </row>
    <row r="1488" spans="5:5" ht="14.25" customHeight="1" x14ac:dyDescent="0.2">
      <c r="E1488" s="19" t="s">
        <v>1979</v>
      </c>
    </row>
    <row r="1489" spans="5:5" ht="14.25" customHeight="1" x14ac:dyDescent="0.2">
      <c r="E1489" s="19" t="s">
        <v>1979</v>
      </c>
    </row>
    <row r="1490" spans="5:5" ht="14.25" customHeight="1" x14ac:dyDescent="0.2">
      <c r="E1490" s="19" t="s">
        <v>1979</v>
      </c>
    </row>
    <row r="1491" spans="5:5" ht="14.25" customHeight="1" x14ac:dyDescent="0.2">
      <c r="E1491" s="19" t="s">
        <v>1979</v>
      </c>
    </row>
    <row r="1492" spans="5:5" ht="14.25" customHeight="1" x14ac:dyDescent="0.2">
      <c r="E1492" s="19" t="s">
        <v>1979</v>
      </c>
    </row>
    <row r="1493" spans="5:5" ht="14.25" customHeight="1" x14ac:dyDescent="0.2">
      <c r="E1493" s="19" t="s">
        <v>1979</v>
      </c>
    </row>
    <row r="1494" spans="5:5" ht="14.25" customHeight="1" x14ac:dyDescent="0.2">
      <c r="E1494" s="19" t="s">
        <v>1979</v>
      </c>
    </row>
    <row r="1495" spans="5:5" ht="14.25" customHeight="1" x14ac:dyDescent="0.2">
      <c r="E1495" s="19" t="s">
        <v>1979</v>
      </c>
    </row>
    <row r="1496" spans="5:5" ht="14.25" customHeight="1" x14ac:dyDescent="0.2">
      <c r="E1496" s="19" t="s">
        <v>1979</v>
      </c>
    </row>
    <row r="1497" spans="5:5" ht="14.25" customHeight="1" x14ac:dyDescent="0.2">
      <c r="E1497" s="19" t="s">
        <v>1979</v>
      </c>
    </row>
    <row r="1498" spans="5:5" ht="14.25" customHeight="1" x14ac:dyDescent="0.2">
      <c r="E1498" s="19" t="s">
        <v>1979</v>
      </c>
    </row>
    <row r="1499" spans="5:5" ht="14.25" customHeight="1" x14ac:dyDescent="0.2">
      <c r="E1499" s="19" t="s">
        <v>1979</v>
      </c>
    </row>
    <row r="1500" spans="5:5" ht="14.25" customHeight="1" x14ac:dyDescent="0.2">
      <c r="E1500" s="19" t="s">
        <v>1979</v>
      </c>
    </row>
    <row r="1501" spans="5:5" ht="14.25" customHeight="1" x14ac:dyDescent="0.2">
      <c r="E1501" s="19" t="s">
        <v>1979</v>
      </c>
    </row>
    <row r="1502" spans="5:5" ht="14.25" customHeight="1" x14ac:dyDescent="0.2">
      <c r="E1502" s="19" t="s">
        <v>1979</v>
      </c>
    </row>
    <row r="1503" spans="5:5" ht="14.25" customHeight="1" x14ac:dyDescent="0.2">
      <c r="E1503" s="19" t="s">
        <v>1979</v>
      </c>
    </row>
    <row r="1504" spans="5:5" ht="14.25" customHeight="1" x14ac:dyDescent="0.2">
      <c r="E1504" s="19" t="s">
        <v>1979</v>
      </c>
    </row>
    <row r="1505" spans="5:5" ht="14.25" customHeight="1" x14ac:dyDescent="0.2">
      <c r="E1505" s="19" t="s">
        <v>1979</v>
      </c>
    </row>
    <row r="1506" spans="5:5" ht="14.25" customHeight="1" x14ac:dyDescent="0.2">
      <c r="E1506" s="19" t="s">
        <v>1979</v>
      </c>
    </row>
    <row r="1507" spans="5:5" ht="14.25" customHeight="1" x14ac:dyDescent="0.2">
      <c r="E1507" s="19" t="s">
        <v>1979</v>
      </c>
    </row>
    <row r="1508" spans="5:5" ht="14.25" customHeight="1" x14ac:dyDescent="0.2">
      <c r="E1508" s="19" t="s">
        <v>1979</v>
      </c>
    </row>
    <row r="1509" spans="5:5" ht="14.25" customHeight="1" x14ac:dyDescent="0.2">
      <c r="E1509" s="19" t="s">
        <v>1979</v>
      </c>
    </row>
    <row r="1510" spans="5:5" ht="14.25" customHeight="1" x14ac:dyDescent="0.2">
      <c r="E1510" s="19" t="s">
        <v>1979</v>
      </c>
    </row>
    <row r="1511" spans="5:5" ht="14.25" customHeight="1" x14ac:dyDescent="0.2">
      <c r="E1511" s="19" t="s">
        <v>1979</v>
      </c>
    </row>
    <row r="1512" spans="5:5" ht="14.25" customHeight="1" x14ac:dyDescent="0.2">
      <c r="E1512" s="19" t="s">
        <v>1979</v>
      </c>
    </row>
    <row r="1513" spans="5:5" ht="14.25" customHeight="1" x14ac:dyDescent="0.2">
      <c r="E1513" s="19" t="s">
        <v>1979</v>
      </c>
    </row>
    <row r="1514" spans="5:5" ht="14.25" customHeight="1" x14ac:dyDescent="0.2">
      <c r="E1514" s="19" t="s">
        <v>1979</v>
      </c>
    </row>
    <row r="1515" spans="5:5" ht="14.25" customHeight="1" x14ac:dyDescent="0.2">
      <c r="E1515" s="19" t="s">
        <v>1979</v>
      </c>
    </row>
    <row r="1516" spans="5:5" ht="14.25" customHeight="1" x14ac:dyDescent="0.2">
      <c r="E1516" s="19" t="s">
        <v>1979</v>
      </c>
    </row>
    <row r="1517" spans="5:5" ht="14.25" customHeight="1" x14ac:dyDescent="0.2">
      <c r="E1517" s="19" t="s">
        <v>1979</v>
      </c>
    </row>
    <row r="1518" spans="5:5" ht="14.25" customHeight="1" x14ac:dyDescent="0.2">
      <c r="E1518" s="19" t="s">
        <v>1979</v>
      </c>
    </row>
    <row r="1519" spans="5:5" ht="14.25" customHeight="1" x14ac:dyDescent="0.2">
      <c r="E1519" s="19" t="s">
        <v>1979</v>
      </c>
    </row>
    <row r="1520" spans="5:5" ht="14.25" customHeight="1" x14ac:dyDescent="0.2">
      <c r="E1520" s="19" t="s">
        <v>1979</v>
      </c>
    </row>
    <row r="1521" spans="5:5" ht="14.25" customHeight="1" x14ac:dyDescent="0.2">
      <c r="E1521" s="19" t="s">
        <v>1979</v>
      </c>
    </row>
    <row r="1522" spans="5:5" ht="14.25" customHeight="1" x14ac:dyDescent="0.2">
      <c r="E1522" s="19" t="s">
        <v>1979</v>
      </c>
    </row>
    <row r="1523" spans="5:5" ht="14.25" customHeight="1" x14ac:dyDescent="0.2">
      <c r="E1523" s="19" t="s">
        <v>1979</v>
      </c>
    </row>
    <row r="1524" spans="5:5" ht="14.25" customHeight="1" x14ac:dyDescent="0.2">
      <c r="E1524" s="19" t="s">
        <v>1979</v>
      </c>
    </row>
    <row r="1525" spans="5:5" ht="14.25" customHeight="1" x14ac:dyDescent="0.2">
      <c r="E1525" s="19" t="s">
        <v>1979</v>
      </c>
    </row>
    <row r="1526" spans="5:5" ht="14.25" customHeight="1" x14ac:dyDescent="0.2">
      <c r="E1526" s="19" t="s">
        <v>1979</v>
      </c>
    </row>
    <row r="1527" spans="5:5" ht="14.25" customHeight="1" x14ac:dyDescent="0.2">
      <c r="E1527" s="19" t="s">
        <v>1979</v>
      </c>
    </row>
    <row r="1528" spans="5:5" ht="14.25" customHeight="1" x14ac:dyDescent="0.2">
      <c r="E1528" s="19" t="s">
        <v>1979</v>
      </c>
    </row>
    <row r="1529" spans="5:5" ht="14.25" customHeight="1" x14ac:dyDescent="0.2">
      <c r="E1529" s="19" t="s">
        <v>1979</v>
      </c>
    </row>
    <row r="1530" spans="5:5" ht="14.25" customHeight="1" x14ac:dyDescent="0.2">
      <c r="E1530" s="19" t="s">
        <v>1979</v>
      </c>
    </row>
    <row r="1531" spans="5:5" ht="14.25" customHeight="1" x14ac:dyDescent="0.2">
      <c r="E1531" s="19" t="s">
        <v>1979</v>
      </c>
    </row>
    <row r="1532" spans="5:5" ht="14.25" customHeight="1" x14ac:dyDescent="0.2">
      <c r="E1532" s="19" t="s">
        <v>1979</v>
      </c>
    </row>
    <row r="1533" spans="5:5" ht="14.25" customHeight="1" x14ac:dyDescent="0.2">
      <c r="E1533" s="19" t="s">
        <v>1979</v>
      </c>
    </row>
    <row r="1534" spans="5:5" ht="14.25" customHeight="1" x14ac:dyDescent="0.2">
      <c r="E1534" s="19" t="s">
        <v>1979</v>
      </c>
    </row>
    <row r="1535" spans="5:5" ht="14.25" customHeight="1" x14ac:dyDescent="0.2">
      <c r="E1535" s="19" t="s">
        <v>1979</v>
      </c>
    </row>
    <row r="1536" spans="5:5" ht="14.25" customHeight="1" x14ac:dyDescent="0.2">
      <c r="E1536" s="19" t="s">
        <v>1979</v>
      </c>
    </row>
    <row r="1537" spans="5:5" ht="14.25" customHeight="1" x14ac:dyDescent="0.2">
      <c r="E1537" s="19" t="s">
        <v>1979</v>
      </c>
    </row>
    <row r="1538" spans="5:5" ht="14.25" customHeight="1" x14ac:dyDescent="0.2">
      <c r="E1538" s="19" t="s">
        <v>1979</v>
      </c>
    </row>
    <row r="1539" spans="5:5" ht="14.25" customHeight="1" x14ac:dyDescent="0.2">
      <c r="E1539" s="19" t="s">
        <v>1979</v>
      </c>
    </row>
    <row r="1540" spans="5:5" ht="14.25" customHeight="1" x14ac:dyDescent="0.2">
      <c r="E1540" s="19" t="s">
        <v>1979</v>
      </c>
    </row>
    <row r="1541" spans="5:5" ht="14.25" customHeight="1" x14ac:dyDescent="0.2">
      <c r="E1541" s="19" t="s">
        <v>1979</v>
      </c>
    </row>
    <row r="1542" spans="5:5" ht="14.25" customHeight="1" x14ac:dyDescent="0.2">
      <c r="E1542" s="19" t="s">
        <v>1979</v>
      </c>
    </row>
    <row r="1543" spans="5:5" ht="14.25" customHeight="1" x14ac:dyDescent="0.2">
      <c r="E1543" s="19" t="s">
        <v>1979</v>
      </c>
    </row>
    <row r="1544" spans="5:5" ht="14.25" customHeight="1" x14ac:dyDescent="0.2">
      <c r="E1544" s="19" t="s">
        <v>1979</v>
      </c>
    </row>
    <row r="1545" spans="5:5" ht="14.25" customHeight="1" x14ac:dyDescent="0.2">
      <c r="E1545" s="19" t="s">
        <v>1979</v>
      </c>
    </row>
    <row r="1546" spans="5:5" ht="14.25" customHeight="1" x14ac:dyDescent="0.2">
      <c r="E1546" s="19" t="s">
        <v>1979</v>
      </c>
    </row>
    <row r="1547" spans="5:5" ht="14.25" customHeight="1" x14ac:dyDescent="0.2">
      <c r="E1547" s="19" t="s">
        <v>1979</v>
      </c>
    </row>
    <row r="1548" spans="5:5" ht="14.25" customHeight="1" x14ac:dyDescent="0.2">
      <c r="E1548" s="19" t="s">
        <v>1979</v>
      </c>
    </row>
    <row r="1549" spans="5:5" ht="14.25" customHeight="1" x14ac:dyDescent="0.2">
      <c r="E1549" s="19" t="s">
        <v>1979</v>
      </c>
    </row>
    <row r="1550" spans="5:5" ht="14.25" customHeight="1" x14ac:dyDescent="0.2">
      <c r="E1550" s="19" t="s">
        <v>1979</v>
      </c>
    </row>
    <row r="1551" spans="5:5" ht="14.25" customHeight="1" x14ac:dyDescent="0.2">
      <c r="E1551" s="19" t="s">
        <v>1979</v>
      </c>
    </row>
    <row r="1552" spans="5:5" ht="14.25" customHeight="1" x14ac:dyDescent="0.2">
      <c r="E1552" s="19" t="s">
        <v>1979</v>
      </c>
    </row>
    <row r="1553" spans="5:5" ht="14.25" customHeight="1" x14ac:dyDescent="0.2">
      <c r="E1553" s="19" t="s">
        <v>1979</v>
      </c>
    </row>
    <row r="1554" spans="5:5" ht="14.25" customHeight="1" x14ac:dyDescent="0.2">
      <c r="E1554" s="19" t="s">
        <v>1979</v>
      </c>
    </row>
    <row r="1555" spans="5:5" ht="14.25" customHeight="1" x14ac:dyDescent="0.2">
      <c r="E1555" s="19" t="s">
        <v>1979</v>
      </c>
    </row>
    <row r="1556" spans="5:5" ht="14.25" customHeight="1" x14ac:dyDescent="0.2">
      <c r="E1556" s="19" t="s">
        <v>1979</v>
      </c>
    </row>
    <row r="1557" spans="5:5" ht="14.25" customHeight="1" x14ac:dyDescent="0.2">
      <c r="E1557" s="19" t="s">
        <v>1979</v>
      </c>
    </row>
    <row r="1558" spans="5:5" ht="14.25" customHeight="1" x14ac:dyDescent="0.2">
      <c r="E1558" s="19" t="s">
        <v>1979</v>
      </c>
    </row>
    <row r="1559" spans="5:5" ht="14.25" customHeight="1" x14ac:dyDescent="0.2">
      <c r="E1559" s="19" t="s">
        <v>1979</v>
      </c>
    </row>
    <row r="1560" spans="5:5" ht="14.25" customHeight="1" x14ac:dyDescent="0.2">
      <c r="E1560" s="19" t="s">
        <v>1979</v>
      </c>
    </row>
    <row r="1561" spans="5:5" ht="14.25" customHeight="1" x14ac:dyDescent="0.2">
      <c r="E1561" s="19" t="s">
        <v>1979</v>
      </c>
    </row>
    <row r="1562" spans="5:5" ht="14.25" customHeight="1" x14ac:dyDescent="0.2">
      <c r="E1562" s="19" t="s">
        <v>1979</v>
      </c>
    </row>
    <row r="1563" spans="5:5" ht="14.25" customHeight="1" x14ac:dyDescent="0.2">
      <c r="E1563" s="19" t="s">
        <v>1979</v>
      </c>
    </row>
    <row r="1564" spans="5:5" ht="14.25" customHeight="1" x14ac:dyDescent="0.2">
      <c r="E1564" s="19" t="s">
        <v>1979</v>
      </c>
    </row>
    <row r="1565" spans="5:5" ht="14.25" customHeight="1" x14ac:dyDescent="0.2">
      <c r="E1565" s="19" t="s">
        <v>1979</v>
      </c>
    </row>
    <row r="1566" spans="5:5" ht="14.25" customHeight="1" x14ac:dyDescent="0.2">
      <c r="E1566" s="19" t="s">
        <v>1979</v>
      </c>
    </row>
    <row r="1567" spans="5:5" ht="14.25" customHeight="1" x14ac:dyDescent="0.2">
      <c r="E1567" s="19" t="s">
        <v>1979</v>
      </c>
    </row>
    <row r="1568" spans="5:5" ht="14.25" customHeight="1" x14ac:dyDescent="0.2">
      <c r="E1568" s="19" t="s">
        <v>1979</v>
      </c>
    </row>
    <row r="1569" spans="5:5" ht="14.25" customHeight="1" x14ac:dyDescent="0.2">
      <c r="E1569" s="19" t="s">
        <v>1979</v>
      </c>
    </row>
    <row r="1570" spans="5:5" ht="14.25" customHeight="1" x14ac:dyDescent="0.2">
      <c r="E1570" s="19" t="s">
        <v>1979</v>
      </c>
    </row>
    <row r="1571" spans="5:5" ht="14.25" customHeight="1" x14ac:dyDescent="0.2">
      <c r="E1571" s="19" t="s">
        <v>1979</v>
      </c>
    </row>
    <row r="1572" spans="5:5" ht="14.25" customHeight="1" x14ac:dyDescent="0.2">
      <c r="E1572" s="19" t="s">
        <v>1979</v>
      </c>
    </row>
    <row r="1573" spans="5:5" ht="14.25" customHeight="1" x14ac:dyDescent="0.2">
      <c r="E1573" s="19" t="s">
        <v>1979</v>
      </c>
    </row>
    <row r="1574" spans="5:5" ht="14.25" customHeight="1" x14ac:dyDescent="0.2">
      <c r="E1574" s="19" t="s">
        <v>1979</v>
      </c>
    </row>
    <row r="1575" spans="5:5" ht="14.25" customHeight="1" x14ac:dyDescent="0.2">
      <c r="E1575" s="19" t="s">
        <v>1979</v>
      </c>
    </row>
    <row r="1576" spans="5:5" ht="14.25" customHeight="1" x14ac:dyDescent="0.2">
      <c r="E1576" s="19" t="s">
        <v>1979</v>
      </c>
    </row>
    <row r="1577" spans="5:5" ht="14.25" customHeight="1" x14ac:dyDescent="0.2">
      <c r="E1577" s="19" t="s">
        <v>1979</v>
      </c>
    </row>
    <row r="1578" spans="5:5" ht="14.25" customHeight="1" x14ac:dyDescent="0.2">
      <c r="E1578" s="19" t="s">
        <v>1979</v>
      </c>
    </row>
    <row r="1579" spans="5:5" ht="14.25" customHeight="1" x14ac:dyDescent="0.2">
      <c r="E1579" s="19" t="s">
        <v>1979</v>
      </c>
    </row>
    <row r="1580" spans="5:5" ht="14.25" customHeight="1" x14ac:dyDescent="0.2">
      <c r="E1580" s="19" t="s">
        <v>1979</v>
      </c>
    </row>
    <row r="1581" spans="5:5" ht="14.25" customHeight="1" x14ac:dyDescent="0.2">
      <c r="E1581" s="19" t="s">
        <v>1979</v>
      </c>
    </row>
    <row r="1582" spans="5:5" ht="14.25" customHeight="1" x14ac:dyDescent="0.2">
      <c r="E1582" s="19" t="s">
        <v>1979</v>
      </c>
    </row>
    <row r="1583" spans="5:5" ht="14.25" customHeight="1" x14ac:dyDescent="0.2">
      <c r="E1583" s="19" t="s">
        <v>1979</v>
      </c>
    </row>
    <row r="1584" spans="5:5" ht="14.25" customHeight="1" x14ac:dyDescent="0.2">
      <c r="E1584" s="19" t="s">
        <v>1979</v>
      </c>
    </row>
    <row r="1585" spans="5:5" ht="14.25" customHeight="1" x14ac:dyDescent="0.2">
      <c r="E1585" s="19" t="s">
        <v>1979</v>
      </c>
    </row>
    <row r="1586" spans="5:5" ht="14.25" customHeight="1" x14ac:dyDescent="0.2">
      <c r="E1586" s="19" t="s">
        <v>1979</v>
      </c>
    </row>
    <row r="1587" spans="5:5" ht="14.25" customHeight="1" x14ac:dyDescent="0.2">
      <c r="E1587" s="19" t="s">
        <v>1979</v>
      </c>
    </row>
    <row r="1588" spans="5:5" ht="14.25" customHeight="1" x14ac:dyDescent="0.2">
      <c r="E1588" s="19" t="s">
        <v>1979</v>
      </c>
    </row>
    <row r="1589" spans="5:5" ht="14.25" customHeight="1" x14ac:dyDescent="0.2">
      <c r="E1589" s="19" t="s">
        <v>1979</v>
      </c>
    </row>
    <row r="1590" spans="5:5" ht="14.25" customHeight="1" x14ac:dyDescent="0.2">
      <c r="E1590" s="19" t="s">
        <v>1979</v>
      </c>
    </row>
    <row r="1591" spans="5:5" ht="14.25" customHeight="1" x14ac:dyDescent="0.2">
      <c r="E1591" s="19" t="s">
        <v>1979</v>
      </c>
    </row>
    <row r="1592" spans="5:5" ht="14.25" customHeight="1" x14ac:dyDescent="0.2">
      <c r="E1592" s="19" t="s">
        <v>1979</v>
      </c>
    </row>
    <row r="1593" spans="5:5" ht="14.25" customHeight="1" x14ac:dyDescent="0.2">
      <c r="E1593" s="19" t="s">
        <v>1979</v>
      </c>
    </row>
    <row r="1594" spans="5:5" ht="14.25" customHeight="1" x14ac:dyDescent="0.2">
      <c r="E1594" s="19" t="s">
        <v>1979</v>
      </c>
    </row>
    <row r="1595" spans="5:5" ht="14.25" customHeight="1" x14ac:dyDescent="0.2">
      <c r="E1595" s="19" t="s">
        <v>1979</v>
      </c>
    </row>
    <row r="1596" spans="5:5" ht="14.25" customHeight="1" x14ac:dyDescent="0.2">
      <c r="E1596" s="19" t="s">
        <v>1979</v>
      </c>
    </row>
    <row r="1597" spans="5:5" ht="14.25" customHeight="1" x14ac:dyDescent="0.2">
      <c r="E1597" s="19" t="s">
        <v>1979</v>
      </c>
    </row>
    <row r="1598" spans="5:5" ht="14.25" customHeight="1" x14ac:dyDescent="0.2">
      <c r="E1598" s="19" t="s">
        <v>1979</v>
      </c>
    </row>
    <row r="1599" spans="5:5" ht="14.25" customHeight="1" x14ac:dyDescent="0.2">
      <c r="E1599" s="19" t="s">
        <v>1979</v>
      </c>
    </row>
    <row r="1600" spans="5:5" ht="14.25" customHeight="1" x14ac:dyDescent="0.2">
      <c r="E1600" s="19" t="s">
        <v>1979</v>
      </c>
    </row>
    <row r="1601" spans="5:5" ht="14.25" customHeight="1" x14ac:dyDescent="0.2">
      <c r="E1601" s="19" t="s">
        <v>1979</v>
      </c>
    </row>
    <row r="1602" spans="5:5" ht="14.25" customHeight="1" x14ac:dyDescent="0.2">
      <c r="E1602" s="19" t="s">
        <v>1979</v>
      </c>
    </row>
    <row r="1603" spans="5:5" ht="14.25" customHeight="1" x14ac:dyDescent="0.2">
      <c r="E1603" s="19" t="s">
        <v>1979</v>
      </c>
    </row>
    <row r="1604" spans="5:5" ht="14.25" customHeight="1" x14ac:dyDescent="0.2">
      <c r="E1604" s="19" t="s">
        <v>1979</v>
      </c>
    </row>
    <row r="1605" spans="5:5" ht="14.25" customHeight="1" x14ac:dyDescent="0.2">
      <c r="E1605" s="19" t="s">
        <v>1979</v>
      </c>
    </row>
    <row r="1606" spans="5:5" ht="14.25" customHeight="1" x14ac:dyDescent="0.2">
      <c r="E1606" s="19" t="s">
        <v>1979</v>
      </c>
    </row>
    <row r="1607" spans="5:5" ht="14.25" customHeight="1" x14ac:dyDescent="0.2">
      <c r="E1607" s="19" t="s">
        <v>1979</v>
      </c>
    </row>
    <row r="1608" spans="5:5" ht="14.25" customHeight="1" x14ac:dyDescent="0.2">
      <c r="E1608" s="19" t="s">
        <v>1979</v>
      </c>
    </row>
    <row r="1609" spans="5:5" ht="14.25" customHeight="1" x14ac:dyDescent="0.2">
      <c r="E1609" s="19" t="s">
        <v>1979</v>
      </c>
    </row>
    <row r="1610" spans="5:5" ht="14.25" customHeight="1" x14ac:dyDescent="0.2">
      <c r="E1610" s="19" t="s">
        <v>1979</v>
      </c>
    </row>
    <row r="1611" spans="5:5" ht="14.25" customHeight="1" x14ac:dyDescent="0.2">
      <c r="E1611" s="19" t="s">
        <v>1979</v>
      </c>
    </row>
    <row r="1612" spans="5:5" ht="14.25" customHeight="1" x14ac:dyDescent="0.2">
      <c r="E1612" s="19" t="s">
        <v>1979</v>
      </c>
    </row>
    <row r="1613" spans="5:5" ht="14.25" customHeight="1" x14ac:dyDescent="0.2">
      <c r="E1613" s="19" t="s">
        <v>1979</v>
      </c>
    </row>
    <row r="1614" spans="5:5" ht="14.25" customHeight="1" x14ac:dyDescent="0.2">
      <c r="E1614" s="19" t="s">
        <v>1979</v>
      </c>
    </row>
    <row r="1615" spans="5:5" ht="14.25" customHeight="1" x14ac:dyDescent="0.2">
      <c r="E1615" s="19" t="s">
        <v>1979</v>
      </c>
    </row>
    <row r="1616" spans="5:5" ht="14.25" customHeight="1" x14ac:dyDescent="0.2">
      <c r="E1616" s="19" t="s">
        <v>1979</v>
      </c>
    </row>
    <row r="1617" spans="5:5" ht="14.25" customHeight="1" x14ac:dyDescent="0.2">
      <c r="E1617" s="19" t="s">
        <v>1979</v>
      </c>
    </row>
    <row r="1618" spans="5:5" ht="14.25" customHeight="1" x14ac:dyDescent="0.2">
      <c r="E1618" s="19" t="s">
        <v>1979</v>
      </c>
    </row>
    <row r="1619" spans="5:5" ht="14.25" customHeight="1" x14ac:dyDescent="0.2">
      <c r="E1619" s="19" t="s">
        <v>1979</v>
      </c>
    </row>
    <row r="1620" spans="5:5" ht="14.25" customHeight="1" x14ac:dyDescent="0.2">
      <c r="E1620" s="19" t="s">
        <v>1979</v>
      </c>
    </row>
    <row r="1621" spans="5:5" ht="14.25" customHeight="1" x14ac:dyDescent="0.2">
      <c r="E1621" s="19" t="s">
        <v>1979</v>
      </c>
    </row>
    <row r="1622" spans="5:5" ht="14.25" customHeight="1" x14ac:dyDescent="0.2">
      <c r="E1622" s="19" t="s">
        <v>1979</v>
      </c>
    </row>
    <row r="1623" spans="5:5" ht="14.25" customHeight="1" x14ac:dyDescent="0.2">
      <c r="E1623" s="19" t="s">
        <v>1979</v>
      </c>
    </row>
    <row r="1624" spans="5:5" ht="14.25" customHeight="1" x14ac:dyDescent="0.2">
      <c r="E1624" s="19" t="s">
        <v>1979</v>
      </c>
    </row>
    <row r="1625" spans="5:5" ht="14.25" customHeight="1" x14ac:dyDescent="0.2">
      <c r="E1625" s="19" t="s">
        <v>1979</v>
      </c>
    </row>
    <row r="1626" spans="5:5" ht="14.25" customHeight="1" x14ac:dyDescent="0.2">
      <c r="E1626" s="19" t="s">
        <v>1979</v>
      </c>
    </row>
    <row r="1627" spans="5:5" ht="14.25" customHeight="1" x14ac:dyDescent="0.2">
      <c r="E1627" s="19" t="s">
        <v>1979</v>
      </c>
    </row>
    <row r="1628" spans="5:5" ht="14.25" customHeight="1" x14ac:dyDescent="0.2">
      <c r="E1628" s="19" t="s">
        <v>1979</v>
      </c>
    </row>
    <row r="1629" spans="5:5" ht="14.25" customHeight="1" x14ac:dyDescent="0.2">
      <c r="E1629" s="19" t="s">
        <v>1979</v>
      </c>
    </row>
    <row r="1630" spans="5:5" ht="14.25" customHeight="1" x14ac:dyDescent="0.2">
      <c r="E1630" s="19" t="s">
        <v>1979</v>
      </c>
    </row>
    <row r="1631" spans="5:5" ht="14.25" customHeight="1" x14ac:dyDescent="0.2">
      <c r="E1631" s="19" t="s">
        <v>1979</v>
      </c>
    </row>
    <row r="1632" spans="5:5" ht="14.25" customHeight="1" x14ac:dyDescent="0.2">
      <c r="E1632" s="19" t="s">
        <v>1979</v>
      </c>
    </row>
    <row r="1633" spans="5:5" ht="14.25" customHeight="1" x14ac:dyDescent="0.2">
      <c r="E1633" s="19" t="s">
        <v>1979</v>
      </c>
    </row>
    <row r="1634" spans="5:5" ht="14.25" customHeight="1" x14ac:dyDescent="0.2">
      <c r="E1634" s="19" t="s">
        <v>1979</v>
      </c>
    </row>
    <row r="1635" spans="5:5" ht="14.25" customHeight="1" x14ac:dyDescent="0.2">
      <c r="E1635" s="19" t="s">
        <v>1979</v>
      </c>
    </row>
    <row r="1636" spans="5:5" ht="14.25" customHeight="1" x14ac:dyDescent="0.2">
      <c r="E1636" s="19" t="s">
        <v>1979</v>
      </c>
    </row>
    <row r="1637" spans="5:5" ht="14.25" customHeight="1" x14ac:dyDescent="0.2">
      <c r="E1637" s="19" t="s">
        <v>1979</v>
      </c>
    </row>
    <row r="1638" spans="5:5" ht="14.25" customHeight="1" x14ac:dyDescent="0.2">
      <c r="E1638" s="19" t="s">
        <v>1979</v>
      </c>
    </row>
    <row r="1639" spans="5:5" ht="14.25" customHeight="1" x14ac:dyDescent="0.2">
      <c r="E1639" s="19" t="s">
        <v>1979</v>
      </c>
    </row>
    <row r="1640" spans="5:5" ht="14.25" customHeight="1" x14ac:dyDescent="0.2">
      <c r="E1640" s="19" t="s">
        <v>1979</v>
      </c>
    </row>
    <row r="1641" spans="5:5" ht="14.25" customHeight="1" x14ac:dyDescent="0.2">
      <c r="E1641" s="19" t="s">
        <v>1979</v>
      </c>
    </row>
    <row r="1642" spans="5:5" ht="14.25" customHeight="1" x14ac:dyDescent="0.2">
      <c r="E1642" s="19" t="s">
        <v>1979</v>
      </c>
    </row>
    <row r="1643" spans="5:5" ht="14.25" customHeight="1" x14ac:dyDescent="0.2">
      <c r="E1643" s="19" t="s">
        <v>1979</v>
      </c>
    </row>
    <row r="1644" spans="5:5" ht="14.25" customHeight="1" x14ac:dyDescent="0.2">
      <c r="E1644" s="19" t="s">
        <v>1979</v>
      </c>
    </row>
    <row r="1645" spans="5:5" ht="14.25" customHeight="1" x14ac:dyDescent="0.2">
      <c r="E1645" s="19" t="s">
        <v>1979</v>
      </c>
    </row>
    <row r="1646" spans="5:5" ht="14.25" customHeight="1" x14ac:dyDescent="0.2">
      <c r="E1646" s="19" t="s">
        <v>1979</v>
      </c>
    </row>
    <row r="1647" spans="5:5" ht="14.25" customHeight="1" x14ac:dyDescent="0.2">
      <c r="E1647" s="19" t="s">
        <v>1979</v>
      </c>
    </row>
    <row r="1648" spans="5:5" ht="14.25" customHeight="1" x14ac:dyDescent="0.2">
      <c r="E1648" s="19" t="s">
        <v>1979</v>
      </c>
    </row>
    <row r="1649" spans="5:5" ht="14.25" customHeight="1" x14ac:dyDescent="0.2">
      <c r="E1649" s="19" t="s">
        <v>1979</v>
      </c>
    </row>
    <row r="1650" spans="5:5" ht="14.25" customHeight="1" x14ac:dyDescent="0.2">
      <c r="E1650" s="19" t="s">
        <v>1979</v>
      </c>
    </row>
    <row r="1651" spans="5:5" ht="14.25" customHeight="1" x14ac:dyDescent="0.2">
      <c r="E1651" s="19" t="s">
        <v>1979</v>
      </c>
    </row>
    <row r="1652" spans="5:5" ht="14.25" customHeight="1" x14ac:dyDescent="0.2">
      <c r="E1652" s="19" t="s">
        <v>1979</v>
      </c>
    </row>
    <row r="1653" spans="5:5" ht="14.25" customHeight="1" x14ac:dyDescent="0.2">
      <c r="E1653" s="19" t="s">
        <v>1979</v>
      </c>
    </row>
    <row r="1654" spans="5:5" ht="14.25" customHeight="1" x14ac:dyDescent="0.2">
      <c r="E1654" s="19" t="s">
        <v>1979</v>
      </c>
    </row>
    <row r="1655" spans="5:5" ht="14.25" customHeight="1" x14ac:dyDescent="0.2">
      <c r="E1655" s="19" t="s">
        <v>1979</v>
      </c>
    </row>
    <row r="1656" spans="5:5" ht="14.25" customHeight="1" x14ac:dyDescent="0.2">
      <c r="E1656" s="19" t="s">
        <v>1979</v>
      </c>
    </row>
    <row r="1657" spans="5:5" ht="14.25" customHeight="1" x14ac:dyDescent="0.2">
      <c r="E1657" s="19" t="s">
        <v>1979</v>
      </c>
    </row>
    <row r="1658" spans="5:5" ht="14.25" customHeight="1" x14ac:dyDescent="0.2">
      <c r="E1658" s="19" t="s">
        <v>1979</v>
      </c>
    </row>
    <row r="1659" spans="5:5" ht="14.25" customHeight="1" x14ac:dyDescent="0.2">
      <c r="E1659" s="19" t="s">
        <v>1979</v>
      </c>
    </row>
    <row r="1660" spans="5:5" ht="14.25" customHeight="1" x14ac:dyDescent="0.2">
      <c r="E1660" s="19" t="s">
        <v>1979</v>
      </c>
    </row>
    <row r="1661" spans="5:5" ht="14.25" customHeight="1" x14ac:dyDescent="0.2">
      <c r="E1661" s="19" t="s">
        <v>1979</v>
      </c>
    </row>
    <row r="1662" spans="5:5" ht="14.25" customHeight="1" x14ac:dyDescent="0.2">
      <c r="E1662" s="19" t="s">
        <v>1979</v>
      </c>
    </row>
    <row r="1663" spans="5:5" ht="14.25" customHeight="1" x14ac:dyDescent="0.2">
      <c r="E1663" s="19" t="s">
        <v>1979</v>
      </c>
    </row>
    <row r="1664" spans="5:5" ht="14.25" customHeight="1" x14ac:dyDescent="0.2">
      <c r="E1664" s="19" t="s">
        <v>1979</v>
      </c>
    </row>
    <row r="1665" spans="5:5" ht="14.25" customHeight="1" x14ac:dyDescent="0.2">
      <c r="E1665" s="19" t="s">
        <v>1979</v>
      </c>
    </row>
    <row r="1666" spans="5:5" ht="14.25" customHeight="1" x14ac:dyDescent="0.2">
      <c r="E1666" s="19" t="s">
        <v>1979</v>
      </c>
    </row>
    <row r="1667" spans="5:5" ht="14.25" customHeight="1" x14ac:dyDescent="0.2">
      <c r="E1667" s="19" t="s">
        <v>1979</v>
      </c>
    </row>
    <row r="1668" spans="5:5" ht="14.25" customHeight="1" x14ac:dyDescent="0.2">
      <c r="E1668" s="19" t="s">
        <v>1979</v>
      </c>
    </row>
    <row r="1669" spans="5:5" ht="14.25" customHeight="1" x14ac:dyDescent="0.2">
      <c r="E1669" s="19" t="s">
        <v>1979</v>
      </c>
    </row>
    <row r="1670" spans="5:5" ht="14.25" customHeight="1" x14ac:dyDescent="0.2">
      <c r="E1670" s="19" t="s">
        <v>1979</v>
      </c>
    </row>
    <row r="1671" spans="5:5" ht="14.25" customHeight="1" x14ac:dyDescent="0.2">
      <c r="E1671" s="19" t="s">
        <v>1979</v>
      </c>
    </row>
    <row r="1672" spans="5:5" ht="14.25" customHeight="1" x14ac:dyDescent="0.2">
      <c r="E1672" s="19" t="s">
        <v>1979</v>
      </c>
    </row>
    <row r="1673" spans="5:5" ht="14.25" customHeight="1" x14ac:dyDescent="0.2">
      <c r="E1673" s="19" t="s">
        <v>1979</v>
      </c>
    </row>
    <row r="1674" spans="5:5" ht="14.25" customHeight="1" x14ac:dyDescent="0.2">
      <c r="E1674" s="19" t="s">
        <v>1979</v>
      </c>
    </row>
    <row r="1675" spans="5:5" ht="14.25" customHeight="1" x14ac:dyDescent="0.2">
      <c r="E1675" s="19" t="s">
        <v>1979</v>
      </c>
    </row>
    <row r="1676" spans="5:5" ht="14.25" customHeight="1" x14ac:dyDescent="0.2">
      <c r="E1676" s="19" t="s">
        <v>1979</v>
      </c>
    </row>
    <row r="1677" spans="5:5" ht="14.25" customHeight="1" x14ac:dyDescent="0.2">
      <c r="E1677" s="19" t="s">
        <v>1979</v>
      </c>
    </row>
    <row r="1678" spans="5:5" ht="14.25" customHeight="1" x14ac:dyDescent="0.2">
      <c r="E1678" s="19" t="s">
        <v>1979</v>
      </c>
    </row>
    <row r="1679" spans="5:5" ht="14.25" customHeight="1" x14ac:dyDescent="0.2">
      <c r="E1679" s="19" t="s">
        <v>1979</v>
      </c>
    </row>
    <row r="1680" spans="5:5" ht="14.25" customHeight="1" x14ac:dyDescent="0.2">
      <c r="E1680" s="19" t="s">
        <v>1979</v>
      </c>
    </row>
    <row r="1681" spans="5:5" ht="14.25" customHeight="1" x14ac:dyDescent="0.2">
      <c r="E1681" s="19" t="s">
        <v>1979</v>
      </c>
    </row>
    <row r="1682" spans="5:5" ht="14.25" customHeight="1" x14ac:dyDescent="0.2">
      <c r="E1682" s="19" t="s">
        <v>1979</v>
      </c>
    </row>
    <row r="1683" spans="5:5" ht="14.25" customHeight="1" x14ac:dyDescent="0.2">
      <c r="E1683" s="19" t="s">
        <v>1979</v>
      </c>
    </row>
    <row r="1684" spans="5:5" ht="14.25" customHeight="1" x14ac:dyDescent="0.2">
      <c r="E1684" s="19" t="s">
        <v>1979</v>
      </c>
    </row>
    <row r="1685" spans="5:5" ht="14.25" customHeight="1" x14ac:dyDescent="0.2">
      <c r="E1685" s="19" t="s">
        <v>1979</v>
      </c>
    </row>
    <row r="1686" spans="5:5" ht="14.25" customHeight="1" x14ac:dyDescent="0.2">
      <c r="E1686" s="19" t="s">
        <v>1979</v>
      </c>
    </row>
    <row r="1687" spans="5:5" ht="14.25" customHeight="1" x14ac:dyDescent="0.2">
      <c r="E1687" s="19" t="s">
        <v>1979</v>
      </c>
    </row>
    <row r="1688" spans="5:5" ht="14.25" customHeight="1" x14ac:dyDescent="0.2">
      <c r="E1688" s="19" t="s">
        <v>1979</v>
      </c>
    </row>
    <row r="1689" spans="5:5" ht="14.25" customHeight="1" x14ac:dyDescent="0.2">
      <c r="E1689" s="19" t="s">
        <v>1979</v>
      </c>
    </row>
    <row r="1690" spans="5:5" ht="14.25" customHeight="1" x14ac:dyDescent="0.2">
      <c r="E1690" s="19" t="s">
        <v>1979</v>
      </c>
    </row>
    <row r="1691" spans="5:5" ht="14.25" customHeight="1" x14ac:dyDescent="0.2">
      <c r="E1691" s="19" t="s">
        <v>1979</v>
      </c>
    </row>
    <row r="1692" spans="5:5" ht="14.25" customHeight="1" x14ac:dyDescent="0.2">
      <c r="E1692" s="19" t="s">
        <v>1979</v>
      </c>
    </row>
    <row r="1693" spans="5:5" ht="14.25" customHeight="1" x14ac:dyDescent="0.2">
      <c r="E1693" s="19" t="s">
        <v>1979</v>
      </c>
    </row>
    <row r="1694" spans="5:5" ht="14.25" customHeight="1" x14ac:dyDescent="0.2">
      <c r="E1694" s="19" t="s">
        <v>1979</v>
      </c>
    </row>
    <row r="1695" spans="5:5" ht="14.25" customHeight="1" x14ac:dyDescent="0.2">
      <c r="E1695" s="19" t="s">
        <v>1979</v>
      </c>
    </row>
    <row r="1696" spans="5:5" ht="14.25" customHeight="1" x14ac:dyDescent="0.2">
      <c r="E1696" s="19" t="s">
        <v>1979</v>
      </c>
    </row>
    <row r="1697" spans="5:5" ht="14.25" customHeight="1" x14ac:dyDescent="0.2">
      <c r="E1697" s="19" t="s">
        <v>1979</v>
      </c>
    </row>
    <row r="1698" spans="5:5" ht="14.25" customHeight="1" x14ac:dyDescent="0.2">
      <c r="E1698" s="19" t="s">
        <v>1979</v>
      </c>
    </row>
    <row r="1699" spans="5:5" ht="14.25" customHeight="1" x14ac:dyDescent="0.2">
      <c r="E1699" s="19" t="s">
        <v>1979</v>
      </c>
    </row>
    <row r="1700" spans="5:5" ht="14.25" customHeight="1" x14ac:dyDescent="0.2">
      <c r="E1700" s="19" t="s">
        <v>1979</v>
      </c>
    </row>
    <row r="1701" spans="5:5" ht="14.25" customHeight="1" x14ac:dyDescent="0.2">
      <c r="E1701" s="19" t="s">
        <v>1979</v>
      </c>
    </row>
    <row r="1702" spans="5:5" ht="14.25" customHeight="1" x14ac:dyDescent="0.2">
      <c r="E1702" s="19" t="s">
        <v>1979</v>
      </c>
    </row>
    <row r="1703" spans="5:5" ht="14.25" customHeight="1" x14ac:dyDescent="0.2">
      <c r="E1703" s="19" t="s">
        <v>1979</v>
      </c>
    </row>
    <row r="1704" spans="5:5" ht="14.25" customHeight="1" x14ac:dyDescent="0.2">
      <c r="E1704" s="19" t="s">
        <v>1979</v>
      </c>
    </row>
    <row r="1705" spans="5:5" ht="14.25" customHeight="1" x14ac:dyDescent="0.2">
      <c r="E1705" s="19" t="s">
        <v>1979</v>
      </c>
    </row>
    <row r="1706" spans="5:5" ht="14.25" customHeight="1" x14ac:dyDescent="0.2">
      <c r="E1706" s="19" t="s">
        <v>1979</v>
      </c>
    </row>
    <row r="1707" spans="5:5" ht="14.25" customHeight="1" x14ac:dyDescent="0.2">
      <c r="E1707" s="19" t="s">
        <v>1979</v>
      </c>
    </row>
    <row r="1708" spans="5:5" ht="14.25" customHeight="1" x14ac:dyDescent="0.2">
      <c r="E1708" s="19" t="s">
        <v>1979</v>
      </c>
    </row>
    <row r="1709" spans="5:5" ht="14.25" customHeight="1" x14ac:dyDescent="0.2">
      <c r="E1709" s="19" t="s">
        <v>1979</v>
      </c>
    </row>
    <row r="1710" spans="5:5" ht="14.25" customHeight="1" x14ac:dyDescent="0.2">
      <c r="E1710" s="19" t="s">
        <v>1979</v>
      </c>
    </row>
    <row r="1711" spans="5:5" ht="14.25" customHeight="1" x14ac:dyDescent="0.2">
      <c r="E1711" s="19" t="s">
        <v>1979</v>
      </c>
    </row>
    <row r="1712" spans="5:5" ht="14.25" customHeight="1" x14ac:dyDescent="0.2">
      <c r="E1712" s="19" t="s">
        <v>1979</v>
      </c>
    </row>
    <row r="1713" spans="5:5" ht="14.25" customHeight="1" x14ac:dyDescent="0.2">
      <c r="E1713" s="19" t="s">
        <v>1979</v>
      </c>
    </row>
    <row r="1714" spans="5:5" ht="14.25" customHeight="1" x14ac:dyDescent="0.2">
      <c r="E1714" s="19" t="s">
        <v>1979</v>
      </c>
    </row>
    <row r="1715" spans="5:5" ht="14.25" customHeight="1" x14ac:dyDescent="0.2">
      <c r="E1715" s="19" t="s">
        <v>1979</v>
      </c>
    </row>
    <row r="1716" spans="5:5" ht="14.25" customHeight="1" x14ac:dyDescent="0.2">
      <c r="E1716" s="19" t="s">
        <v>1979</v>
      </c>
    </row>
    <row r="1717" spans="5:5" ht="14.25" customHeight="1" x14ac:dyDescent="0.2">
      <c r="E1717" s="19" t="s">
        <v>1979</v>
      </c>
    </row>
    <row r="1718" spans="5:5" ht="14.25" customHeight="1" x14ac:dyDescent="0.2">
      <c r="E1718" s="19" t="s">
        <v>1979</v>
      </c>
    </row>
    <row r="1719" spans="5:5" ht="14.25" customHeight="1" x14ac:dyDescent="0.2">
      <c r="E1719" s="19" t="s">
        <v>1979</v>
      </c>
    </row>
    <row r="1720" spans="5:5" ht="14.25" customHeight="1" x14ac:dyDescent="0.2">
      <c r="E1720" s="19" t="s">
        <v>1979</v>
      </c>
    </row>
    <row r="1721" spans="5:5" ht="14.25" customHeight="1" x14ac:dyDescent="0.2">
      <c r="E1721" s="19" t="s">
        <v>1979</v>
      </c>
    </row>
    <row r="1722" spans="5:5" ht="14.25" customHeight="1" x14ac:dyDescent="0.2">
      <c r="E1722" s="19" t="s">
        <v>1979</v>
      </c>
    </row>
    <row r="1723" spans="5:5" ht="14.25" customHeight="1" x14ac:dyDescent="0.2">
      <c r="E1723" s="19" t="s">
        <v>1979</v>
      </c>
    </row>
    <row r="1724" spans="5:5" ht="14.25" customHeight="1" x14ac:dyDescent="0.2">
      <c r="E1724" s="19" t="s">
        <v>1979</v>
      </c>
    </row>
    <row r="1725" spans="5:5" ht="14.25" customHeight="1" x14ac:dyDescent="0.2">
      <c r="E1725" s="19" t="s">
        <v>1979</v>
      </c>
    </row>
    <row r="1726" spans="5:5" ht="14.25" customHeight="1" x14ac:dyDescent="0.2">
      <c r="E1726" s="19" t="s">
        <v>1979</v>
      </c>
    </row>
    <row r="1727" spans="5:5" ht="14.25" customHeight="1" x14ac:dyDescent="0.2">
      <c r="E1727" s="19" t="s">
        <v>1979</v>
      </c>
    </row>
    <row r="1728" spans="5:5" ht="14.25" customHeight="1" x14ac:dyDescent="0.2">
      <c r="E1728" s="19" t="s">
        <v>1979</v>
      </c>
    </row>
    <row r="1729" spans="5:5" ht="14.25" customHeight="1" x14ac:dyDescent="0.2">
      <c r="E1729" s="19" t="s">
        <v>1979</v>
      </c>
    </row>
    <row r="1730" spans="5:5" ht="14.25" customHeight="1" x14ac:dyDescent="0.2">
      <c r="E1730" s="19" t="s">
        <v>1979</v>
      </c>
    </row>
    <row r="1731" spans="5:5" ht="14.25" customHeight="1" x14ac:dyDescent="0.2">
      <c r="E1731" s="19" t="s">
        <v>1979</v>
      </c>
    </row>
    <row r="1732" spans="5:5" ht="14.25" customHeight="1" x14ac:dyDescent="0.2">
      <c r="E1732" s="19" t="s">
        <v>1979</v>
      </c>
    </row>
    <row r="1733" spans="5:5" ht="14.25" customHeight="1" x14ac:dyDescent="0.2">
      <c r="E1733" s="19" t="s">
        <v>1979</v>
      </c>
    </row>
    <row r="1734" spans="5:5" ht="14.25" customHeight="1" x14ac:dyDescent="0.2">
      <c r="E1734" s="19" t="s">
        <v>1979</v>
      </c>
    </row>
    <row r="1735" spans="5:5" ht="14.25" customHeight="1" x14ac:dyDescent="0.2">
      <c r="E1735" s="19" t="s">
        <v>1979</v>
      </c>
    </row>
    <row r="1736" spans="5:5" ht="14.25" customHeight="1" x14ac:dyDescent="0.2">
      <c r="E1736" s="19" t="s">
        <v>1979</v>
      </c>
    </row>
    <row r="1737" spans="5:5" ht="14.25" customHeight="1" x14ac:dyDescent="0.2">
      <c r="E1737" s="19" t="s">
        <v>1979</v>
      </c>
    </row>
    <row r="1738" spans="5:5" ht="14.25" customHeight="1" x14ac:dyDescent="0.2">
      <c r="E1738" s="19" t="s">
        <v>1979</v>
      </c>
    </row>
    <row r="1739" spans="5:5" ht="14.25" customHeight="1" x14ac:dyDescent="0.2">
      <c r="E1739" s="19" t="s">
        <v>1979</v>
      </c>
    </row>
    <row r="1740" spans="5:5" ht="14.25" customHeight="1" x14ac:dyDescent="0.2">
      <c r="E1740" s="19" t="s">
        <v>1979</v>
      </c>
    </row>
    <row r="1741" spans="5:5" ht="14.25" customHeight="1" x14ac:dyDescent="0.2">
      <c r="E1741" s="19" t="s">
        <v>1979</v>
      </c>
    </row>
    <row r="1742" spans="5:5" ht="14.25" customHeight="1" x14ac:dyDescent="0.2">
      <c r="E1742" s="19" t="s">
        <v>1979</v>
      </c>
    </row>
    <row r="1743" spans="5:5" ht="14.25" customHeight="1" x14ac:dyDescent="0.2">
      <c r="E1743" s="19" t="s">
        <v>1979</v>
      </c>
    </row>
    <row r="1744" spans="5:5" ht="14.25" customHeight="1" x14ac:dyDescent="0.2">
      <c r="E1744" s="19" t="s">
        <v>1979</v>
      </c>
    </row>
    <row r="1745" spans="5:5" ht="14.25" customHeight="1" x14ac:dyDescent="0.2">
      <c r="E1745" s="19" t="s">
        <v>1979</v>
      </c>
    </row>
    <row r="1746" spans="5:5" ht="14.25" customHeight="1" x14ac:dyDescent="0.2">
      <c r="E1746" s="19" t="s">
        <v>1979</v>
      </c>
    </row>
    <row r="1747" spans="5:5" ht="14.25" customHeight="1" x14ac:dyDescent="0.2">
      <c r="E1747" s="19" t="s">
        <v>1979</v>
      </c>
    </row>
    <row r="1748" spans="5:5" ht="14.25" customHeight="1" x14ac:dyDescent="0.2">
      <c r="E1748" s="19" t="s">
        <v>1979</v>
      </c>
    </row>
    <row r="1749" spans="5:5" ht="14.25" customHeight="1" x14ac:dyDescent="0.2">
      <c r="E1749" s="19" t="s">
        <v>1979</v>
      </c>
    </row>
    <row r="1750" spans="5:5" ht="14.25" customHeight="1" x14ac:dyDescent="0.2">
      <c r="E1750" s="19" t="s">
        <v>1979</v>
      </c>
    </row>
    <row r="1751" spans="5:5" ht="14.25" customHeight="1" x14ac:dyDescent="0.2">
      <c r="E1751" s="19" t="s">
        <v>1979</v>
      </c>
    </row>
    <row r="1752" spans="5:5" ht="14.25" customHeight="1" x14ac:dyDescent="0.2">
      <c r="E1752" s="19" t="s">
        <v>1979</v>
      </c>
    </row>
    <row r="1753" spans="5:5" ht="14.25" customHeight="1" x14ac:dyDescent="0.2">
      <c r="E1753" s="19" t="s">
        <v>1979</v>
      </c>
    </row>
    <row r="1754" spans="5:5" ht="14.25" customHeight="1" x14ac:dyDescent="0.2">
      <c r="E1754" s="19" t="s">
        <v>1979</v>
      </c>
    </row>
    <row r="1755" spans="5:5" ht="14.25" customHeight="1" x14ac:dyDescent="0.2">
      <c r="E1755" s="19" t="s">
        <v>1979</v>
      </c>
    </row>
    <row r="1756" spans="5:5" ht="14.25" customHeight="1" x14ac:dyDescent="0.2">
      <c r="E1756" s="19" t="s">
        <v>1979</v>
      </c>
    </row>
    <row r="1757" spans="5:5" ht="14.25" customHeight="1" x14ac:dyDescent="0.2">
      <c r="E1757" s="19" t="s">
        <v>1979</v>
      </c>
    </row>
    <row r="1758" spans="5:5" ht="14.25" customHeight="1" x14ac:dyDescent="0.2">
      <c r="E1758" s="19" t="s">
        <v>1979</v>
      </c>
    </row>
    <row r="1759" spans="5:5" ht="14.25" customHeight="1" x14ac:dyDescent="0.2">
      <c r="E1759" s="19" t="s">
        <v>1979</v>
      </c>
    </row>
    <row r="1760" spans="5:5" ht="14.25" customHeight="1" x14ac:dyDescent="0.2">
      <c r="E1760" s="19" t="s">
        <v>1979</v>
      </c>
    </row>
    <row r="1761" spans="5:5" ht="14.25" customHeight="1" x14ac:dyDescent="0.2">
      <c r="E1761" s="19" t="s">
        <v>1979</v>
      </c>
    </row>
    <row r="1762" spans="5:5" ht="14.25" customHeight="1" x14ac:dyDescent="0.2">
      <c r="E1762" s="19" t="s">
        <v>1979</v>
      </c>
    </row>
    <row r="1763" spans="5:5" ht="14.25" customHeight="1" x14ac:dyDescent="0.2">
      <c r="E1763" s="19" t="s">
        <v>1979</v>
      </c>
    </row>
    <row r="1764" spans="5:5" ht="14.25" customHeight="1" x14ac:dyDescent="0.2">
      <c r="E1764" s="19" t="s">
        <v>1979</v>
      </c>
    </row>
    <row r="1765" spans="5:5" ht="14.25" customHeight="1" x14ac:dyDescent="0.2">
      <c r="E1765" s="19" t="s">
        <v>1979</v>
      </c>
    </row>
    <row r="1766" spans="5:5" ht="14.25" customHeight="1" x14ac:dyDescent="0.2">
      <c r="E1766" s="19" t="s">
        <v>1979</v>
      </c>
    </row>
    <row r="1767" spans="5:5" ht="14.25" customHeight="1" x14ac:dyDescent="0.2">
      <c r="E1767" s="19" t="s">
        <v>1979</v>
      </c>
    </row>
    <row r="1768" spans="5:5" ht="14.25" customHeight="1" x14ac:dyDescent="0.2">
      <c r="E1768" s="19" t="s">
        <v>1979</v>
      </c>
    </row>
    <row r="1769" spans="5:5" ht="14.25" customHeight="1" x14ac:dyDescent="0.2">
      <c r="E1769" s="19" t="s">
        <v>1979</v>
      </c>
    </row>
    <row r="1770" spans="5:5" ht="14.25" customHeight="1" x14ac:dyDescent="0.2">
      <c r="E1770" s="19" t="s">
        <v>1979</v>
      </c>
    </row>
    <row r="1771" spans="5:5" ht="14.25" customHeight="1" x14ac:dyDescent="0.2">
      <c r="E1771" s="19" t="s">
        <v>1979</v>
      </c>
    </row>
    <row r="1772" spans="5:5" ht="14.25" customHeight="1" x14ac:dyDescent="0.2">
      <c r="E1772" s="19" t="s">
        <v>1979</v>
      </c>
    </row>
    <row r="1773" spans="5:5" ht="14.25" customHeight="1" x14ac:dyDescent="0.2">
      <c r="E1773" s="19" t="s">
        <v>1979</v>
      </c>
    </row>
    <row r="1774" spans="5:5" ht="14.25" customHeight="1" x14ac:dyDescent="0.2">
      <c r="E1774" s="19" t="s">
        <v>1979</v>
      </c>
    </row>
    <row r="1775" spans="5:5" ht="14.25" customHeight="1" x14ac:dyDescent="0.2">
      <c r="E1775" s="19" t="s">
        <v>1979</v>
      </c>
    </row>
    <row r="1776" spans="5:5" ht="14.25" customHeight="1" x14ac:dyDescent="0.2">
      <c r="E1776" s="19" t="s">
        <v>1979</v>
      </c>
    </row>
    <row r="1777" spans="5:5" ht="14.25" customHeight="1" x14ac:dyDescent="0.2">
      <c r="E1777" s="19" t="s">
        <v>1979</v>
      </c>
    </row>
    <row r="1778" spans="5:5" ht="14.25" customHeight="1" x14ac:dyDescent="0.2">
      <c r="E1778" s="19" t="s">
        <v>1979</v>
      </c>
    </row>
    <row r="1779" spans="5:5" ht="14.25" customHeight="1" x14ac:dyDescent="0.2">
      <c r="E1779" s="19" t="s">
        <v>1979</v>
      </c>
    </row>
    <row r="1780" spans="5:5" ht="14.25" customHeight="1" x14ac:dyDescent="0.2">
      <c r="E1780" s="19" t="s">
        <v>1979</v>
      </c>
    </row>
    <row r="1781" spans="5:5" ht="14.25" customHeight="1" x14ac:dyDescent="0.2">
      <c r="E1781" s="19" t="s">
        <v>1979</v>
      </c>
    </row>
    <row r="1782" spans="5:5" ht="14.25" customHeight="1" x14ac:dyDescent="0.2">
      <c r="E1782" s="19" t="s">
        <v>1979</v>
      </c>
    </row>
    <row r="1783" spans="5:5" ht="14.25" customHeight="1" x14ac:dyDescent="0.2">
      <c r="E1783" s="19" t="s">
        <v>1979</v>
      </c>
    </row>
    <row r="1784" spans="5:5" ht="14.25" customHeight="1" x14ac:dyDescent="0.2">
      <c r="E1784" s="19" t="s">
        <v>1979</v>
      </c>
    </row>
    <row r="1785" spans="5:5" ht="14.25" customHeight="1" x14ac:dyDescent="0.2">
      <c r="E1785" s="19" t="s">
        <v>1979</v>
      </c>
    </row>
    <row r="1786" spans="5:5" ht="14.25" customHeight="1" x14ac:dyDescent="0.2">
      <c r="E1786" s="19" t="s">
        <v>1979</v>
      </c>
    </row>
    <row r="1787" spans="5:5" ht="14.25" customHeight="1" x14ac:dyDescent="0.2">
      <c r="E1787" s="19" t="s">
        <v>1979</v>
      </c>
    </row>
    <row r="1788" spans="5:5" ht="14.25" customHeight="1" x14ac:dyDescent="0.2">
      <c r="E1788" s="19" t="s">
        <v>1979</v>
      </c>
    </row>
    <row r="1789" spans="5:5" ht="14.25" customHeight="1" x14ac:dyDescent="0.2">
      <c r="E1789" s="19" t="s">
        <v>1979</v>
      </c>
    </row>
    <row r="1790" spans="5:5" ht="14.25" customHeight="1" x14ac:dyDescent="0.2">
      <c r="E1790" s="19" t="s">
        <v>1979</v>
      </c>
    </row>
    <row r="1791" spans="5:5" ht="14.25" customHeight="1" x14ac:dyDescent="0.2">
      <c r="E1791" s="19" t="s">
        <v>1979</v>
      </c>
    </row>
    <row r="1792" spans="5:5" ht="14.25" customHeight="1" x14ac:dyDescent="0.2">
      <c r="E1792" s="19" t="s">
        <v>1979</v>
      </c>
    </row>
    <row r="1793" spans="5:5" ht="14.25" customHeight="1" x14ac:dyDescent="0.2">
      <c r="E1793" s="19" t="s">
        <v>1979</v>
      </c>
    </row>
    <row r="1794" spans="5:5" ht="14.25" customHeight="1" x14ac:dyDescent="0.2">
      <c r="E1794" s="19" t="s">
        <v>1979</v>
      </c>
    </row>
    <row r="1795" spans="5:5" ht="14.25" customHeight="1" x14ac:dyDescent="0.2">
      <c r="E1795" s="19" t="s">
        <v>1979</v>
      </c>
    </row>
    <row r="1796" spans="5:5" ht="14.25" customHeight="1" x14ac:dyDescent="0.2">
      <c r="E1796" s="19" t="s">
        <v>1979</v>
      </c>
    </row>
    <row r="1797" spans="5:5" ht="14.25" customHeight="1" x14ac:dyDescent="0.2">
      <c r="E1797" s="19" t="s">
        <v>1979</v>
      </c>
    </row>
    <row r="1798" spans="5:5" ht="14.25" customHeight="1" x14ac:dyDescent="0.2">
      <c r="E1798" s="19" t="s">
        <v>1979</v>
      </c>
    </row>
    <row r="1799" spans="5:5" ht="14.25" customHeight="1" x14ac:dyDescent="0.2">
      <c r="E1799" s="19" t="s">
        <v>1979</v>
      </c>
    </row>
    <row r="1800" spans="5:5" ht="14.25" customHeight="1" x14ac:dyDescent="0.2">
      <c r="E1800" s="19" t="s">
        <v>1979</v>
      </c>
    </row>
    <row r="1801" spans="5:5" ht="14.25" customHeight="1" x14ac:dyDescent="0.2">
      <c r="E1801" s="19" t="s">
        <v>1979</v>
      </c>
    </row>
    <row r="1802" spans="5:5" ht="14.25" customHeight="1" x14ac:dyDescent="0.2">
      <c r="E1802" s="19" t="s">
        <v>1979</v>
      </c>
    </row>
    <row r="1803" spans="5:5" ht="14.25" customHeight="1" x14ac:dyDescent="0.2">
      <c r="E1803" s="19" t="s">
        <v>1979</v>
      </c>
    </row>
    <row r="1804" spans="5:5" ht="14.25" customHeight="1" x14ac:dyDescent="0.2">
      <c r="E1804" s="19" t="s">
        <v>1979</v>
      </c>
    </row>
    <row r="1805" spans="5:5" ht="14.25" customHeight="1" x14ac:dyDescent="0.2">
      <c r="E1805" s="19" t="s">
        <v>1979</v>
      </c>
    </row>
    <row r="1806" spans="5:5" ht="14.25" customHeight="1" x14ac:dyDescent="0.2">
      <c r="E1806" s="19" t="s">
        <v>1979</v>
      </c>
    </row>
    <row r="1807" spans="5:5" ht="14.25" customHeight="1" x14ac:dyDescent="0.2">
      <c r="E1807" s="19" t="s">
        <v>1979</v>
      </c>
    </row>
    <row r="1808" spans="5:5" ht="14.25" customHeight="1" x14ac:dyDescent="0.2">
      <c r="E1808" s="19" t="s">
        <v>1979</v>
      </c>
    </row>
    <row r="1809" spans="5:5" ht="14.25" customHeight="1" x14ac:dyDescent="0.2">
      <c r="E1809" s="19" t="s">
        <v>1979</v>
      </c>
    </row>
    <row r="1810" spans="5:5" ht="14.25" customHeight="1" x14ac:dyDescent="0.2">
      <c r="E1810" s="19" t="s">
        <v>1979</v>
      </c>
    </row>
    <row r="1811" spans="5:5" ht="14.25" customHeight="1" x14ac:dyDescent="0.2">
      <c r="E1811" s="19" t="s">
        <v>1979</v>
      </c>
    </row>
    <row r="1812" spans="5:5" ht="14.25" customHeight="1" x14ac:dyDescent="0.2">
      <c r="E1812" s="19" t="s">
        <v>1979</v>
      </c>
    </row>
    <row r="1813" spans="5:5" ht="14.25" customHeight="1" x14ac:dyDescent="0.2">
      <c r="E1813" s="19" t="s">
        <v>1979</v>
      </c>
    </row>
    <row r="1814" spans="5:5" ht="14.25" customHeight="1" x14ac:dyDescent="0.2">
      <c r="E1814" s="19" t="s">
        <v>1979</v>
      </c>
    </row>
    <row r="1815" spans="5:5" ht="14.25" customHeight="1" x14ac:dyDescent="0.2">
      <c r="E1815" s="19" t="s">
        <v>1979</v>
      </c>
    </row>
    <row r="1816" spans="5:5" ht="14.25" customHeight="1" x14ac:dyDescent="0.2">
      <c r="E1816" s="19" t="s">
        <v>1979</v>
      </c>
    </row>
    <row r="1817" spans="5:5" ht="14.25" customHeight="1" x14ac:dyDescent="0.2">
      <c r="E1817" s="19" t="s">
        <v>1979</v>
      </c>
    </row>
    <row r="1818" spans="5:5" ht="14.25" customHeight="1" x14ac:dyDescent="0.2">
      <c r="E1818" s="19" t="s">
        <v>1979</v>
      </c>
    </row>
    <row r="1819" spans="5:5" ht="14.25" customHeight="1" x14ac:dyDescent="0.2">
      <c r="E1819" s="19" t="s">
        <v>1979</v>
      </c>
    </row>
    <row r="1820" spans="5:5" ht="14.25" customHeight="1" x14ac:dyDescent="0.2">
      <c r="E1820" s="19" t="s">
        <v>1979</v>
      </c>
    </row>
    <row r="1821" spans="5:5" ht="14.25" customHeight="1" x14ac:dyDescent="0.2">
      <c r="E1821" s="19" t="s">
        <v>1979</v>
      </c>
    </row>
    <row r="1822" spans="5:5" ht="14.25" customHeight="1" x14ac:dyDescent="0.2">
      <c r="E1822" s="19" t="s">
        <v>1979</v>
      </c>
    </row>
    <row r="1823" spans="5:5" ht="14.25" customHeight="1" x14ac:dyDescent="0.2">
      <c r="E1823" s="19" t="s">
        <v>1979</v>
      </c>
    </row>
    <row r="1824" spans="5:5" ht="14.25" customHeight="1" x14ac:dyDescent="0.2">
      <c r="E1824" s="19" t="s">
        <v>1979</v>
      </c>
    </row>
    <row r="1825" spans="5:5" ht="14.25" customHeight="1" x14ac:dyDescent="0.2">
      <c r="E1825" s="19" t="s">
        <v>1979</v>
      </c>
    </row>
    <row r="1826" spans="5:5" ht="14.25" customHeight="1" x14ac:dyDescent="0.2">
      <c r="E1826" s="19" t="s">
        <v>1979</v>
      </c>
    </row>
    <row r="1827" spans="5:5" ht="14.25" customHeight="1" x14ac:dyDescent="0.2">
      <c r="E1827" s="19" t="s">
        <v>1979</v>
      </c>
    </row>
    <row r="1828" spans="5:5" ht="14.25" customHeight="1" x14ac:dyDescent="0.2">
      <c r="E1828" s="19" t="s">
        <v>1979</v>
      </c>
    </row>
    <row r="1829" spans="5:5" ht="14.25" customHeight="1" x14ac:dyDescent="0.2">
      <c r="E1829" s="19" t="s">
        <v>1979</v>
      </c>
    </row>
    <row r="1830" spans="5:5" ht="14.25" customHeight="1" x14ac:dyDescent="0.2">
      <c r="E1830" s="19" t="s">
        <v>1979</v>
      </c>
    </row>
    <row r="1831" spans="5:5" ht="14.25" customHeight="1" x14ac:dyDescent="0.2">
      <c r="E1831" s="19" t="s">
        <v>1979</v>
      </c>
    </row>
    <row r="1832" spans="5:5" ht="14.25" customHeight="1" x14ac:dyDescent="0.2">
      <c r="E1832" s="19" t="s">
        <v>1979</v>
      </c>
    </row>
    <row r="1833" spans="5:5" ht="14.25" customHeight="1" x14ac:dyDescent="0.2">
      <c r="E1833" s="19" t="s">
        <v>1979</v>
      </c>
    </row>
    <row r="1834" spans="5:5" ht="14.25" customHeight="1" x14ac:dyDescent="0.2">
      <c r="E1834" s="19" t="s">
        <v>1979</v>
      </c>
    </row>
    <row r="1835" spans="5:5" ht="14.25" customHeight="1" x14ac:dyDescent="0.2">
      <c r="E1835" s="19" t="s">
        <v>1979</v>
      </c>
    </row>
    <row r="1836" spans="5:5" ht="14.25" customHeight="1" x14ac:dyDescent="0.2">
      <c r="E1836" s="19" t="s">
        <v>1979</v>
      </c>
    </row>
    <row r="1837" spans="5:5" ht="14.25" customHeight="1" x14ac:dyDescent="0.2">
      <c r="E1837" s="19" t="s">
        <v>1979</v>
      </c>
    </row>
    <row r="1838" spans="5:5" ht="14.25" customHeight="1" x14ac:dyDescent="0.2">
      <c r="E1838" s="19" t="s">
        <v>1979</v>
      </c>
    </row>
    <row r="1839" spans="5:5" ht="14.25" customHeight="1" x14ac:dyDescent="0.2">
      <c r="E1839" s="19" t="s">
        <v>1979</v>
      </c>
    </row>
    <row r="1840" spans="5:5" ht="14.25" customHeight="1" x14ac:dyDescent="0.2">
      <c r="E1840" s="19" t="s">
        <v>1979</v>
      </c>
    </row>
    <row r="1841" spans="5:5" ht="14.25" customHeight="1" x14ac:dyDescent="0.2">
      <c r="E1841" s="19" t="s">
        <v>1979</v>
      </c>
    </row>
    <row r="1842" spans="5:5" ht="14.25" customHeight="1" x14ac:dyDescent="0.2">
      <c r="E1842" s="19" t="s">
        <v>1979</v>
      </c>
    </row>
    <row r="1843" spans="5:5" ht="14.25" customHeight="1" x14ac:dyDescent="0.2">
      <c r="E1843" s="19" t="s">
        <v>1979</v>
      </c>
    </row>
    <row r="1844" spans="5:5" ht="14.25" customHeight="1" x14ac:dyDescent="0.2">
      <c r="E1844" s="19" t="s">
        <v>1979</v>
      </c>
    </row>
    <row r="1845" spans="5:5" ht="14.25" customHeight="1" x14ac:dyDescent="0.2">
      <c r="E1845" s="19" t="s">
        <v>1979</v>
      </c>
    </row>
    <row r="1846" spans="5:5" ht="14.25" customHeight="1" x14ac:dyDescent="0.2">
      <c r="E1846" s="19" t="s">
        <v>1979</v>
      </c>
    </row>
    <row r="1847" spans="5:5" ht="14.25" customHeight="1" x14ac:dyDescent="0.2">
      <c r="E1847" s="19" t="s">
        <v>1979</v>
      </c>
    </row>
    <row r="1848" spans="5:5" ht="14.25" customHeight="1" x14ac:dyDescent="0.2">
      <c r="E1848" s="19" t="s">
        <v>1979</v>
      </c>
    </row>
    <row r="1849" spans="5:5" ht="14.25" customHeight="1" x14ac:dyDescent="0.2">
      <c r="E1849" s="19" t="s">
        <v>1979</v>
      </c>
    </row>
    <row r="1850" spans="5:5" ht="14.25" customHeight="1" x14ac:dyDescent="0.2">
      <c r="E1850" s="19" t="s">
        <v>1979</v>
      </c>
    </row>
    <row r="1851" spans="5:5" ht="14.25" customHeight="1" x14ac:dyDescent="0.2">
      <c r="E1851" s="19" t="s">
        <v>1979</v>
      </c>
    </row>
    <row r="1852" spans="5:5" ht="14.25" customHeight="1" x14ac:dyDescent="0.2">
      <c r="E1852" s="19" t="s">
        <v>1979</v>
      </c>
    </row>
    <row r="1853" spans="5:5" ht="14.25" customHeight="1" x14ac:dyDescent="0.2">
      <c r="E1853" s="19" t="s">
        <v>1979</v>
      </c>
    </row>
    <row r="1854" spans="5:5" ht="14.25" customHeight="1" x14ac:dyDescent="0.2">
      <c r="E1854" s="19" t="s">
        <v>1979</v>
      </c>
    </row>
    <row r="1855" spans="5:5" ht="14.25" customHeight="1" x14ac:dyDescent="0.2">
      <c r="E1855" s="19" t="s">
        <v>1979</v>
      </c>
    </row>
    <row r="1856" spans="5:5" ht="14.25" customHeight="1" x14ac:dyDescent="0.2">
      <c r="E1856" s="19" t="s">
        <v>1979</v>
      </c>
    </row>
    <row r="1857" spans="5:5" ht="14.25" customHeight="1" x14ac:dyDescent="0.2">
      <c r="E1857" s="19" t="s">
        <v>1979</v>
      </c>
    </row>
    <row r="1858" spans="5:5" ht="14.25" customHeight="1" x14ac:dyDescent="0.2">
      <c r="E1858" s="19" t="s">
        <v>1979</v>
      </c>
    </row>
    <row r="1859" spans="5:5" ht="14.25" customHeight="1" x14ac:dyDescent="0.2">
      <c r="E1859" s="19" t="s">
        <v>1979</v>
      </c>
    </row>
    <row r="1860" spans="5:5" ht="14.25" customHeight="1" x14ac:dyDescent="0.2">
      <c r="E1860" s="19" t="s">
        <v>1979</v>
      </c>
    </row>
    <row r="1861" spans="5:5" ht="14.25" customHeight="1" x14ac:dyDescent="0.2">
      <c r="E1861" s="19" t="s">
        <v>1979</v>
      </c>
    </row>
    <row r="1862" spans="5:5" ht="14.25" customHeight="1" x14ac:dyDescent="0.2">
      <c r="E1862" s="19" t="s">
        <v>1979</v>
      </c>
    </row>
    <row r="1863" spans="5:5" ht="14.25" customHeight="1" x14ac:dyDescent="0.2">
      <c r="E1863" s="19" t="s">
        <v>1979</v>
      </c>
    </row>
    <row r="1864" spans="5:5" ht="14.25" customHeight="1" x14ac:dyDescent="0.2">
      <c r="E1864" s="19" t="s">
        <v>1979</v>
      </c>
    </row>
    <row r="1865" spans="5:5" ht="14.25" customHeight="1" x14ac:dyDescent="0.2">
      <c r="E1865" s="19" t="s">
        <v>1979</v>
      </c>
    </row>
    <row r="1866" spans="5:5" ht="14.25" customHeight="1" x14ac:dyDescent="0.2">
      <c r="E1866" s="19" t="s">
        <v>1979</v>
      </c>
    </row>
    <row r="1867" spans="5:5" ht="14.25" customHeight="1" x14ac:dyDescent="0.2">
      <c r="E1867" s="19" t="s">
        <v>1979</v>
      </c>
    </row>
    <row r="1868" spans="5:5" ht="14.25" customHeight="1" x14ac:dyDescent="0.2">
      <c r="E1868" s="19" t="s">
        <v>1979</v>
      </c>
    </row>
    <row r="1869" spans="5:5" ht="14.25" customHeight="1" x14ac:dyDescent="0.2">
      <c r="E1869" s="19" t="s">
        <v>1979</v>
      </c>
    </row>
    <row r="1870" spans="5:5" ht="14.25" customHeight="1" x14ac:dyDescent="0.2">
      <c r="E1870" s="19" t="s">
        <v>1979</v>
      </c>
    </row>
    <row r="1871" spans="5:5" ht="14.25" customHeight="1" x14ac:dyDescent="0.2">
      <c r="E1871" s="19" t="s">
        <v>1979</v>
      </c>
    </row>
    <row r="1872" spans="5:5" ht="14.25" customHeight="1" x14ac:dyDescent="0.2">
      <c r="E1872" s="19" t="s">
        <v>1979</v>
      </c>
    </row>
    <row r="1873" spans="5:5" ht="14.25" customHeight="1" x14ac:dyDescent="0.2">
      <c r="E1873" s="19" t="s">
        <v>1979</v>
      </c>
    </row>
    <row r="1874" spans="5:5" ht="14.25" customHeight="1" x14ac:dyDescent="0.2">
      <c r="E1874" s="19" t="s">
        <v>1979</v>
      </c>
    </row>
    <row r="1875" spans="5:5" ht="14.25" customHeight="1" x14ac:dyDescent="0.2">
      <c r="E1875" s="19" t="s">
        <v>1979</v>
      </c>
    </row>
    <row r="1876" spans="5:5" ht="14.25" customHeight="1" x14ac:dyDescent="0.2">
      <c r="E1876" s="19" t="s">
        <v>1979</v>
      </c>
    </row>
    <row r="1877" spans="5:5" ht="14.25" customHeight="1" x14ac:dyDescent="0.2">
      <c r="E1877" s="19" t="s">
        <v>1979</v>
      </c>
    </row>
    <row r="1878" spans="5:5" ht="14.25" customHeight="1" x14ac:dyDescent="0.2">
      <c r="E1878" s="19" t="s">
        <v>1979</v>
      </c>
    </row>
    <row r="1879" spans="5:5" ht="14.25" customHeight="1" x14ac:dyDescent="0.2">
      <c r="E1879" s="19" t="s">
        <v>1979</v>
      </c>
    </row>
    <row r="1880" spans="5:5" ht="14.25" customHeight="1" x14ac:dyDescent="0.2">
      <c r="E1880" s="19" t="s">
        <v>1979</v>
      </c>
    </row>
    <row r="1881" spans="5:5" ht="14.25" customHeight="1" x14ac:dyDescent="0.2">
      <c r="E1881" s="19" t="s">
        <v>1979</v>
      </c>
    </row>
    <row r="1882" spans="5:5" ht="14.25" customHeight="1" x14ac:dyDescent="0.2">
      <c r="E1882" s="19" t="s">
        <v>1979</v>
      </c>
    </row>
    <row r="1883" spans="5:5" ht="14.25" customHeight="1" x14ac:dyDescent="0.2">
      <c r="E1883" s="19" t="s">
        <v>1979</v>
      </c>
    </row>
    <row r="1884" spans="5:5" ht="14.25" customHeight="1" x14ac:dyDescent="0.2">
      <c r="E1884" s="19" t="s">
        <v>1979</v>
      </c>
    </row>
    <row r="1885" spans="5:5" ht="14.25" customHeight="1" x14ac:dyDescent="0.2">
      <c r="E1885" s="19" t="s">
        <v>1979</v>
      </c>
    </row>
    <row r="1886" spans="5:5" ht="14.25" customHeight="1" x14ac:dyDescent="0.2">
      <c r="E1886" s="19" t="s">
        <v>1979</v>
      </c>
    </row>
    <row r="1887" spans="5:5" ht="14.25" customHeight="1" x14ac:dyDescent="0.2">
      <c r="E1887" s="19" t="s">
        <v>1979</v>
      </c>
    </row>
    <row r="1888" spans="5:5" ht="14.25" customHeight="1" x14ac:dyDescent="0.2">
      <c r="E1888" s="19" t="s">
        <v>1979</v>
      </c>
    </row>
    <row r="1889" spans="5:5" ht="14.25" customHeight="1" x14ac:dyDescent="0.2">
      <c r="E1889" s="19" t="s">
        <v>1979</v>
      </c>
    </row>
    <row r="1890" spans="5:5" ht="14.25" customHeight="1" x14ac:dyDescent="0.2">
      <c r="E1890" s="19" t="s">
        <v>1979</v>
      </c>
    </row>
    <row r="1891" spans="5:5" ht="14.25" customHeight="1" x14ac:dyDescent="0.2">
      <c r="E1891" s="19" t="s">
        <v>1979</v>
      </c>
    </row>
    <row r="1892" spans="5:5" ht="14.25" customHeight="1" x14ac:dyDescent="0.2">
      <c r="E1892" s="19" t="s">
        <v>1979</v>
      </c>
    </row>
    <row r="1893" spans="5:5" ht="14.25" customHeight="1" x14ac:dyDescent="0.2">
      <c r="E1893" s="19" t="s">
        <v>1979</v>
      </c>
    </row>
    <row r="1894" spans="5:5" ht="14.25" customHeight="1" x14ac:dyDescent="0.2">
      <c r="E1894" s="19" t="s">
        <v>1979</v>
      </c>
    </row>
    <row r="1895" spans="5:5" ht="14.25" customHeight="1" x14ac:dyDescent="0.2">
      <c r="E1895" s="19" t="s">
        <v>1979</v>
      </c>
    </row>
    <row r="1896" spans="5:5" ht="14.25" customHeight="1" x14ac:dyDescent="0.2">
      <c r="E1896" s="19" t="s">
        <v>1979</v>
      </c>
    </row>
    <row r="1897" spans="5:5" ht="14.25" customHeight="1" x14ac:dyDescent="0.2">
      <c r="E1897" s="19" t="s">
        <v>1979</v>
      </c>
    </row>
    <row r="1898" spans="5:5" ht="14.25" customHeight="1" x14ac:dyDescent="0.2">
      <c r="E1898" s="19" t="s">
        <v>1979</v>
      </c>
    </row>
    <row r="1899" spans="5:5" ht="14.25" customHeight="1" x14ac:dyDescent="0.2">
      <c r="E1899" s="19" t="s">
        <v>1979</v>
      </c>
    </row>
    <row r="1900" spans="5:5" ht="14.25" customHeight="1" x14ac:dyDescent="0.2">
      <c r="E1900" s="19" t="s">
        <v>1979</v>
      </c>
    </row>
    <row r="1901" spans="5:5" ht="14.25" customHeight="1" x14ac:dyDescent="0.2">
      <c r="E1901" s="19" t="s">
        <v>1979</v>
      </c>
    </row>
    <row r="1902" spans="5:5" ht="14.25" customHeight="1" x14ac:dyDescent="0.2">
      <c r="E1902" s="19" t="s">
        <v>1979</v>
      </c>
    </row>
    <row r="1903" spans="5:5" ht="14.25" customHeight="1" x14ac:dyDescent="0.2">
      <c r="E1903" s="19" t="s">
        <v>1979</v>
      </c>
    </row>
    <row r="1904" spans="5:5" ht="14.25" customHeight="1" x14ac:dyDescent="0.2">
      <c r="E1904" s="19" t="s">
        <v>1979</v>
      </c>
    </row>
    <row r="1905" spans="5:5" ht="14.25" customHeight="1" x14ac:dyDescent="0.2">
      <c r="E1905" s="19" t="s">
        <v>1979</v>
      </c>
    </row>
    <row r="1906" spans="5:5" ht="14.25" customHeight="1" x14ac:dyDescent="0.2">
      <c r="E1906" s="19" t="s">
        <v>1979</v>
      </c>
    </row>
    <row r="1907" spans="5:5" ht="14.25" customHeight="1" x14ac:dyDescent="0.2">
      <c r="E1907" s="19" t="s">
        <v>1979</v>
      </c>
    </row>
    <row r="1908" spans="5:5" ht="14.25" customHeight="1" x14ac:dyDescent="0.2">
      <c r="E1908" s="19" t="s">
        <v>1979</v>
      </c>
    </row>
    <row r="1909" spans="5:5" ht="14.25" customHeight="1" x14ac:dyDescent="0.2">
      <c r="E1909" s="19" t="s">
        <v>1979</v>
      </c>
    </row>
    <row r="1910" spans="5:5" ht="14.25" customHeight="1" x14ac:dyDescent="0.2">
      <c r="E1910" s="19" t="s">
        <v>1979</v>
      </c>
    </row>
    <row r="1911" spans="5:5" ht="14.25" customHeight="1" x14ac:dyDescent="0.2">
      <c r="E1911" s="19" t="s">
        <v>1979</v>
      </c>
    </row>
    <row r="1912" spans="5:5" ht="14.25" customHeight="1" x14ac:dyDescent="0.2">
      <c r="E1912" s="19" t="s">
        <v>1979</v>
      </c>
    </row>
    <row r="1913" spans="5:5" ht="14.25" customHeight="1" x14ac:dyDescent="0.2">
      <c r="E1913" s="19" t="s">
        <v>1979</v>
      </c>
    </row>
    <row r="1914" spans="5:5" ht="14.25" customHeight="1" x14ac:dyDescent="0.2">
      <c r="E1914" s="19" t="s">
        <v>1979</v>
      </c>
    </row>
    <row r="1915" spans="5:5" ht="14.25" customHeight="1" x14ac:dyDescent="0.2">
      <c r="E1915" s="19" t="s">
        <v>1979</v>
      </c>
    </row>
    <row r="1916" spans="5:5" ht="14.25" customHeight="1" x14ac:dyDescent="0.2">
      <c r="E1916" s="19" t="s">
        <v>1979</v>
      </c>
    </row>
    <row r="1917" spans="5:5" ht="14.25" customHeight="1" x14ac:dyDescent="0.2">
      <c r="E1917" s="19" t="s">
        <v>1979</v>
      </c>
    </row>
    <row r="1918" spans="5:5" ht="14.25" customHeight="1" x14ac:dyDescent="0.2">
      <c r="E1918" s="19" t="s">
        <v>1979</v>
      </c>
    </row>
    <row r="1919" spans="5:5" ht="14.25" customHeight="1" x14ac:dyDescent="0.2">
      <c r="E1919" s="19" t="s">
        <v>1979</v>
      </c>
    </row>
    <row r="1920" spans="5:5" ht="14.25" customHeight="1" x14ac:dyDescent="0.2">
      <c r="E1920" s="19" t="s">
        <v>1979</v>
      </c>
    </row>
    <row r="1921" spans="5:5" ht="14.25" customHeight="1" x14ac:dyDescent="0.2">
      <c r="E1921" s="19" t="s">
        <v>1979</v>
      </c>
    </row>
    <row r="1922" spans="5:5" ht="14.25" customHeight="1" x14ac:dyDescent="0.2">
      <c r="E1922" s="19" t="s">
        <v>1979</v>
      </c>
    </row>
    <row r="1923" spans="5:5" ht="14.25" customHeight="1" x14ac:dyDescent="0.2">
      <c r="E1923" s="19" t="s">
        <v>1979</v>
      </c>
    </row>
    <row r="1924" spans="5:5" ht="14.25" customHeight="1" x14ac:dyDescent="0.2">
      <c r="E1924" s="19" t="s">
        <v>1979</v>
      </c>
    </row>
    <row r="1925" spans="5:5" ht="14.25" customHeight="1" x14ac:dyDescent="0.2">
      <c r="E1925" s="19" t="s">
        <v>1979</v>
      </c>
    </row>
    <row r="1926" spans="5:5" ht="14.25" customHeight="1" x14ac:dyDescent="0.2">
      <c r="E1926" s="19" t="s">
        <v>1979</v>
      </c>
    </row>
    <row r="1927" spans="5:5" ht="14.25" customHeight="1" x14ac:dyDescent="0.2">
      <c r="E1927" s="19" t="s">
        <v>1979</v>
      </c>
    </row>
    <row r="1928" spans="5:5" ht="14.25" customHeight="1" x14ac:dyDescent="0.2">
      <c r="E1928" s="19" t="s">
        <v>1979</v>
      </c>
    </row>
    <row r="1929" spans="5:5" ht="14.25" customHeight="1" x14ac:dyDescent="0.2">
      <c r="E1929" s="19" t="s">
        <v>1979</v>
      </c>
    </row>
    <row r="1930" spans="5:5" ht="14.25" customHeight="1" x14ac:dyDescent="0.2">
      <c r="E1930" s="19" t="s">
        <v>1979</v>
      </c>
    </row>
    <row r="1931" spans="5:5" ht="14.25" customHeight="1" x14ac:dyDescent="0.2">
      <c r="E1931" s="19" t="s">
        <v>1979</v>
      </c>
    </row>
    <row r="1932" spans="5:5" ht="14.25" customHeight="1" x14ac:dyDescent="0.2">
      <c r="E1932" s="19" t="s">
        <v>1979</v>
      </c>
    </row>
    <row r="1933" spans="5:5" ht="14.25" customHeight="1" x14ac:dyDescent="0.2">
      <c r="E1933" s="19" t="s">
        <v>1979</v>
      </c>
    </row>
    <row r="1934" spans="5:5" ht="14.25" customHeight="1" x14ac:dyDescent="0.2">
      <c r="E1934" s="19" t="s">
        <v>1979</v>
      </c>
    </row>
    <row r="1935" spans="5:5" ht="14.25" customHeight="1" x14ac:dyDescent="0.2">
      <c r="E1935" s="19" t="s">
        <v>1979</v>
      </c>
    </row>
    <row r="1936" spans="5:5" ht="14.25" customHeight="1" x14ac:dyDescent="0.2">
      <c r="E1936" s="19" t="s">
        <v>1979</v>
      </c>
    </row>
    <row r="1937" spans="5:5" ht="14.25" customHeight="1" x14ac:dyDescent="0.2">
      <c r="E1937" s="19" t="s">
        <v>1979</v>
      </c>
    </row>
    <row r="1938" spans="5:5" ht="14.25" customHeight="1" x14ac:dyDescent="0.2">
      <c r="E1938" s="19" t="s">
        <v>1979</v>
      </c>
    </row>
    <row r="1939" spans="5:5" ht="14.25" customHeight="1" x14ac:dyDescent="0.2">
      <c r="E1939" s="19" t="s">
        <v>1979</v>
      </c>
    </row>
    <row r="1940" spans="5:5" ht="14.25" customHeight="1" x14ac:dyDescent="0.2">
      <c r="E1940" s="19" t="s">
        <v>1979</v>
      </c>
    </row>
    <row r="1941" spans="5:5" ht="14.25" customHeight="1" x14ac:dyDescent="0.2">
      <c r="E1941" s="19" t="s">
        <v>1979</v>
      </c>
    </row>
    <row r="1942" spans="5:5" ht="14.25" customHeight="1" x14ac:dyDescent="0.2">
      <c r="E1942" s="19" t="s">
        <v>1979</v>
      </c>
    </row>
    <row r="1943" spans="5:5" ht="14.25" customHeight="1" x14ac:dyDescent="0.2">
      <c r="E1943" s="19" t="s">
        <v>1979</v>
      </c>
    </row>
    <row r="1944" spans="5:5" ht="14.25" customHeight="1" x14ac:dyDescent="0.2">
      <c r="E1944" s="19" t="s">
        <v>1979</v>
      </c>
    </row>
    <row r="1945" spans="5:5" ht="14.25" customHeight="1" x14ac:dyDescent="0.2">
      <c r="E1945" s="19" t="s">
        <v>1979</v>
      </c>
    </row>
    <row r="1946" spans="5:5" ht="14.25" customHeight="1" x14ac:dyDescent="0.2">
      <c r="E1946" s="19" t="s">
        <v>1979</v>
      </c>
    </row>
    <row r="1947" spans="5:5" ht="14.25" customHeight="1" x14ac:dyDescent="0.2">
      <c r="E1947" s="19" t="s">
        <v>1979</v>
      </c>
    </row>
    <row r="1948" spans="5:5" ht="14.25" customHeight="1" x14ac:dyDescent="0.2">
      <c r="E1948" s="19" t="s">
        <v>1979</v>
      </c>
    </row>
    <row r="1949" spans="5:5" ht="14.25" customHeight="1" x14ac:dyDescent="0.2">
      <c r="E1949" s="19" t="s">
        <v>1979</v>
      </c>
    </row>
    <row r="1950" spans="5:5" ht="14.25" customHeight="1" x14ac:dyDescent="0.2">
      <c r="E1950" s="19" t="s">
        <v>1979</v>
      </c>
    </row>
    <row r="1951" spans="5:5" ht="14.25" customHeight="1" x14ac:dyDescent="0.2">
      <c r="E1951" s="19" t="s">
        <v>1979</v>
      </c>
    </row>
    <row r="1952" spans="5:5" ht="14.25" customHeight="1" x14ac:dyDescent="0.2">
      <c r="E1952" s="19" t="s">
        <v>1979</v>
      </c>
    </row>
    <row r="1953" spans="5:5" ht="14.25" customHeight="1" x14ac:dyDescent="0.2">
      <c r="E1953" s="19" t="s">
        <v>1979</v>
      </c>
    </row>
    <row r="1954" spans="5:5" ht="14.25" customHeight="1" x14ac:dyDescent="0.2">
      <c r="E1954" s="19" t="s">
        <v>1979</v>
      </c>
    </row>
    <row r="1955" spans="5:5" ht="14.25" customHeight="1" x14ac:dyDescent="0.2">
      <c r="E1955" s="19" t="s">
        <v>1979</v>
      </c>
    </row>
    <row r="1956" spans="5:5" ht="14.25" customHeight="1" x14ac:dyDescent="0.2">
      <c r="E1956" s="19" t="s">
        <v>1979</v>
      </c>
    </row>
    <row r="1957" spans="5:5" ht="14.25" customHeight="1" x14ac:dyDescent="0.2">
      <c r="E1957" s="19" t="s">
        <v>1979</v>
      </c>
    </row>
    <row r="1958" spans="5:5" ht="14.25" customHeight="1" x14ac:dyDescent="0.2">
      <c r="E1958" s="19" t="s">
        <v>1979</v>
      </c>
    </row>
    <row r="1959" spans="5:5" ht="14.25" customHeight="1" x14ac:dyDescent="0.2">
      <c r="E1959" s="19" t="s">
        <v>1979</v>
      </c>
    </row>
    <row r="1960" spans="5:5" ht="14.25" customHeight="1" x14ac:dyDescent="0.2">
      <c r="E1960" s="19" t="s">
        <v>1979</v>
      </c>
    </row>
    <row r="1961" spans="5:5" ht="14.25" customHeight="1" x14ac:dyDescent="0.2">
      <c r="E1961" s="19" t="s">
        <v>1979</v>
      </c>
    </row>
    <row r="1962" spans="5:5" ht="14.25" customHeight="1" x14ac:dyDescent="0.2">
      <c r="E1962" s="19" t="s">
        <v>1979</v>
      </c>
    </row>
    <row r="1963" spans="5:5" ht="14.25" customHeight="1" x14ac:dyDescent="0.2">
      <c r="E1963" s="19" t="s">
        <v>1979</v>
      </c>
    </row>
    <row r="1964" spans="5:5" ht="14.25" customHeight="1" x14ac:dyDescent="0.2">
      <c r="E1964" s="19" t="s">
        <v>1979</v>
      </c>
    </row>
    <row r="1965" spans="5:5" ht="14.25" customHeight="1" x14ac:dyDescent="0.2">
      <c r="E1965" s="19" t="s">
        <v>1979</v>
      </c>
    </row>
    <row r="1966" spans="5:5" ht="14.25" customHeight="1" x14ac:dyDescent="0.2">
      <c r="E1966" s="19" t="s">
        <v>1979</v>
      </c>
    </row>
    <row r="1967" spans="5:5" ht="14.25" customHeight="1" x14ac:dyDescent="0.2">
      <c r="E1967" s="19" t="s">
        <v>1979</v>
      </c>
    </row>
    <row r="1968" spans="5:5" ht="14.25" customHeight="1" x14ac:dyDescent="0.2">
      <c r="E1968" s="19" t="s">
        <v>1979</v>
      </c>
    </row>
    <row r="1969" spans="5:5" ht="14.25" customHeight="1" x14ac:dyDescent="0.2">
      <c r="E1969" s="19" t="s">
        <v>1979</v>
      </c>
    </row>
    <row r="1970" spans="5:5" ht="14.25" customHeight="1" x14ac:dyDescent="0.2">
      <c r="E1970" s="19" t="s">
        <v>1979</v>
      </c>
    </row>
    <row r="1971" spans="5:5" ht="14.25" customHeight="1" x14ac:dyDescent="0.2">
      <c r="E1971" s="19" t="s">
        <v>1979</v>
      </c>
    </row>
    <row r="1972" spans="5:5" ht="14.25" customHeight="1" x14ac:dyDescent="0.2">
      <c r="E1972" s="19" t="s">
        <v>1979</v>
      </c>
    </row>
    <row r="1973" spans="5:5" ht="14.25" customHeight="1" x14ac:dyDescent="0.2">
      <c r="E1973" s="19" t="s">
        <v>1979</v>
      </c>
    </row>
    <row r="1974" spans="5:5" ht="14.25" customHeight="1" x14ac:dyDescent="0.2">
      <c r="E1974" s="19" t="s">
        <v>1979</v>
      </c>
    </row>
    <row r="1975" spans="5:5" ht="14.25" customHeight="1" x14ac:dyDescent="0.2">
      <c r="E1975" s="19" t="s">
        <v>1979</v>
      </c>
    </row>
    <row r="1976" spans="5:5" ht="14.25" customHeight="1" x14ac:dyDescent="0.2">
      <c r="E1976" s="19" t="s">
        <v>1979</v>
      </c>
    </row>
    <row r="1977" spans="5:5" ht="14.25" customHeight="1" x14ac:dyDescent="0.2">
      <c r="E1977" s="19" t="s">
        <v>1979</v>
      </c>
    </row>
    <row r="1978" spans="5:5" ht="14.25" customHeight="1" x14ac:dyDescent="0.2">
      <c r="E1978" s="19" t="s">
        <v>1979</v>
      </c>
    </row>
    <row r="1979" spans="5:5" ht="14.25" customHeight="1" x14ac:dyDescent="0.2">
      <c r="E1979" s="19" t="s">
        <v>1979</v>
      </c>
    </row>
    <row r="1980" spans="5:5" ht="14.25" customHeight="1" x14ac:dyDescent="0.2">
      <c r="E1980" s="19" t="s">
        <v>1979</v>
      </c>
    </row>
    <row r="1981" spans="5:5" ht="14.25" customHeight="1" x14ac:dyDescent="0.2">
      <c r="E1981" s="19" t="s">
        <v>1979</v>
      </c>
    </row>
    <row r="1982" spans="5:5" ht="14.25" customHeight="1" x14ac:dyDescent="0.2">
      <c r="E1982" s="19" t="s">
        <v>1979</v>
      </c>
    </row>
    <row r="1983" spans="5:5" ht="14.25" customHeight="1" x14ac:dyDescent="0.2">
      <c r="E1983" s="19" t="s">
        <v>1979</v>
      </c>
    </row>
    <row r="1984" spans="5:5" ht="14.25" customHeight="1" x14ac:dyDescent="0.2">
      <c r="E1984" s="19" t="s">
        <v>1979</v>
      </c>
    </row>
    <row r="1985" spans="5:5" ht="14.25" customHeight="1" x14ac:dyDescent="0.2">
      <c r="E1985" s="19" t="s">
        <v>1979</v>
      </c>
    </row>
    <row r="1986" spans="5:5" ht="14.25" customHeight="1" x14ac:dyDescent="0.2">
      <c r="E1986" s="19" t="s">
        <v>1979</v>
      </c>
    </row>
    <row r="1987" spans="5:5" ht="14.25" customHeight="1" x14ac:dyDescent="0.2">
      <c r="E1987" s="19" t="s">
        <v>1979</v>
      </c>
    </row>
    <row r="1988" spans="5:5" ht="14.25" customHeight="1" x14ac:dyDescent="0.2">
      <c r="E1988" s="19" t="s">
        <v>1979</v>
      </c>
    </row>
    <row r="1989" spans="5:5" ht="14.25" customHeight="1" x14ac:dyDescent="0.2">
      <c r="E1989" s="19" t="s">
        <v>1979</v>
      </c>
    </row>
    <row r="1990" spans="5:5" ht="14.25" customHeight="1" x14ac:dyDescent="0.2">
      <c r="E1990" s="19" t="s">
        <v>1979</v>
      </c>
    </row>
    <row r="1991" spans="5:5" ht="14.25" customHeight="1" x14ac:dyDescent="0.2">
      <c r="E1991" s="19" t="s">
        <v>1979</v>
      </c>
    </row>
    <row r="1992" spans="5:5" ht="14.25" customHeight="1" x14ac:dyDescent="0.2">
      <c r="E1992" s="19" t="s">
        <v>1979</v>
      </c>
    </row>
    <row r="1993" spans="5:5" ht="14.25" customHeight="1" x14ac:dyDescent="0.2">
      <c r="E1993" s="19" t="s">
        <v>1979</v>
      </c>
    </row>
    <row r="1994" spans="5:5" ht="14.25" customHeight="1" x14ac:dyDescent="0.2">
      <c r="E1994" s="19" t="s">
        <v>1979</v>
      </c>
    </row>
    <row r="1995" spans="5:5" ht="14.25" customHeight="1" x14ac:dyDescent="0.2">
      <c r="E1995" s="19" t="s">
        <v>1979</v>
      </c>
    </row>
    <row r="1996" spans="5:5" ht="14.25" customHeight="1" x14ac:dyDescent="0.2">
      <c r="E1996" s="19" t="s">
        <v>1979</v>
      </c>
    </row>
    <row r="1997" spans="5:5" ht="14.25" customHeight="1" x14ac:dyDescent="0.2">
      <c r="E1997" s="19" t="s">
        <v>1979</v>
      </c>
    </row>
    <row r="1998" spans="5:5" ht="14.25" customHeight="1" x14ac:dyDescent="0.2">
      <c r="E1998" s="19" t="s">
        <v>1979</v>
      </c>
    </row>
    <row r="1999" spans="5:5" ht="14.25" customHeight="1" x14ac:dyDescent="0.2">
      <c r="E1999" s="19" t="s">
        <v>1979</v>
      </c>
    </row>
    <row r="2000" spans="5:5" ht="14.25" customHeight="1" x14ac:dyDescent="0.2">
      <c r="E2000" s="19" t="s">
        <v>1979</v>
      </c>
    </row>
  </sheetData>
  <dataValidations count="1">
    <dataValidation type="list" allowBlank="1" showInputMessage="1" showErrorMessage="1" sqref="E2:E1048576" xr:uid="{00000000-0002-0000-0700-000000000000}">
      <formula1>vcode</formula1>
    </dataValidation>
  </dataValidations>
  <pageMargins left="0.75" right="0.75" top="1" bottom="1" header="0.5" footer="0.5"/>
  <pageSetup paperSize="9" orientation="portrait" horizontalDpi="4294967293" verticalDpi="0" r:id="rId1"/>
  <headerFooter alignWithMargins="0">
    <oddHeader>&amp;A</oddHeader>
    <oddFooter>Page &amp;P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1000000}">
          <x14:formula1>
            <xm:f>All_LTMN_Lookups!$D$2:$D$8</xm:f>
          </x14:formula1>
          <xm:sqref>G2:G2000</xm:sqref>
        </x14:dataValidation>
        <x14:dataValidation type="list" allowBlank="1" showInputMessage="1" showErrorMessage="1" xr:uid="{00000000-0002-0000-0700-000002000000}">
          <x14:formula1>
            <xm:f>All_LTMN_Lookups!$Y$13:$Y$15</xm:f>
          </x14:formula1>
          <xm:sqref>O2001:O1048576</xm:sqref>
        </x14:dataValidation>
        <x14:dataValidation type="list" allowBlank="1" showInputMessage="1" showErrorMessage="1" xr:uid="{00000000-0002-0000-0700-000003000000}">
          <x14:formula1>
            <xm:f>All_LTMN_Lookups!$Y$2:$Y$20</xm:f>
          </x14:formula1>
          <xm:sqref>O2:O2000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zoomScaleNormal="100" workbookViewId="0"/>
  </sheetViews>
  <sheetFormatPr defaultRowHeight="15" x14ac:dyDescent="0.2"/>
  <cols>
    <col min="1" max="1" width="17" style="15" bestFit="1" customWidth="1"/>
    <col min="2" max="2" width="12.44140625" style="15" bestFit="1" customWidth="1"/>
    <col min="3" max="3" width="19.6640625" style="15" bestFit="1" customWidth="1"/>
    <col min="4" max="4" width="23.44140625" style="15" bestFit="1" customWidth="1"/>
    <col min="5" max="5" width="13.88671875" style="149" bestFit="1" customWidth="1"/>
    <col min="6" max="6" width="16" style="15" bestFit="1" customWidth="1"/>
    <col min="7" max="7" width="11.33203125" style="15" bestFit="1" customWidth="1"/>
    <col min="8" max="8" width="12" style="15" bestFit="1" customWidth="1"/>
  </cols>
  <sheetData>
    <row r="1" spans="1:8" ht="21.95" customHeight="1" x14ac:dyDescent="0.2">
      <c r="A1" s="222" t="s">
        <v>1877</v>
      </c>
      <c r="B1" s="222" t="s">
        <v>1878</v>
      </c>
      <c r="C1" s="222" t="s">
        <v>1980</v>
      </c>
      <c r="D1" s="222" t="s">
        <v>1879</v>
      </c>
      <c r="E1" s="222" t="s">
        <v>1880</v>
      </c>
      <c r="F1" s="222" t="s">
        <v>1881</v>
      </c>
      <c r="G1" s="222" t="s">
        <v>1882</v>
      </c>
      <c r="H1" s="222" t="s">
        <v>1891</v>
      </c>
    </row>
    <row r="2" spans="1:8" ht="14.1" customHeight="1" x14ac:dyDescent="0.2">
      <c r="A2" s="149" t="s">
        <v>898</v>
      </c>
      <c r="B2" s="149" t="s">
        <v>19</v>
      </c>
      <c r="C2" s="149" t="s">
        <v>199</v>
      </c>
      <c r="D2" s="149" t="s">
        <v>72</v>
      </c>
      <c r="E2" s="149" t="s">
        <v>512</v>
      </c>
      <c r="F2" s="149" t="s">
        <v>1900</v>
      </c>
      <c r="G2" s="149" t="s">
        <v>1883</v>
      </c>
      <c r="H2" s="149" t="s">
        <v>1779</v>
      </c>
    </row>
    <row r="3" spans="1:8" ht="14.1" customHeight="1" x14ac:dyDescent="0.2">
      <c r="A3" s="149" t="s">
        <v>884</v>
      </c>
      <c r="B3" s="149" t="s">
        <v>1082</v>
      </c>
      <c r="C3" s="149" t="s">
        <v>200</v>
      </c>
      <c r="D3" s="149" t="s">
        <v>556</v>
      </c>
      <c r="E3" s="149" t="s">
        <v>669</v>
      </c>
      <c r="F3" s="149" t="s">
        <v>1901</v>
      </c>
    </row>
    <row r="4" spans="1:8" ht="14.1" customHeight="1" x14ac:dyDescent="0.2">
      <c r="A4" s="149" t="s">
        <v>882</v>
      </c>
      <c r="C4" s="149" t="s">
        <v>564</v>
      </c>
      <c r="D4" s="149" t="s">
        <v>1776</v>
      </c>
      <c r="E4" s="149" t="s">
        <v>288</v>
      </c>
      <c r="F4" s="149" t="s">
        <v>1902</v>
      </c>
    </row>
    <row r="5" spans="1:8" ht="14.1" customHeight="1" x14ac:dyDescent="0.2">
      <c r="A5" s="149" t="s">
        <v>737</v>
      </c>
      <c r="C5" s="149" t="s">
        <v>111</v>
      </c>
      <c r="D5" s="149" t="s">
        <v>1775</v>
      </c>
      <c r="E5" s="149" t="s">
        <v>665</v>
      </c>
      <c r="F5" s="149" t="s">
        <v>1903</v>
      </c>
    </row>
    <row r="6" spans="1:8" ht="14.1" customHeight="1" x14ac:dyDescent="0.2">
      <c r="A6" s="149" t="s">
        <v>861</v>
      </c>
      <c r="C6" s="149" t="s">
        <v>98</v>
      </c>
      <c r="D6" s="149" t="s">
        <v>22</v>
      </c>
      <c r="E6" s="149" t="s">
        <v>664</v>
      </c>
      <c r="F6" s="149" t="s">
        <v>132</v>
      </c>
    </row>
    <row r="7" spans="1:8" ht="14.1" customHeight="1" x14ac:dyDescent="0.2">
      <c r="A7" s="149" t="s">
        <v>831</v>
      </c>
      <c r="C7" s="149" t="s">
        <v>94</v>
      </c>
      <c r="D7" s="149" t="s">
        <v>1312</v>
      </c>
      <c r="E7" s="149" t="s">
        <v>663</v>
      </c>
      <c r="F7" s="149" t="s">
        <v>615</v>
      </c>
    </row>
    <row r="8" spans="1:8" ht="14.1" customHeight="1" x14ac:dyDescent="0.2">
      <c r="A8" s="149" t="s">
        <v>569</v>
      </c>
      <c r="C8" s="149" t="s">
        <v>114</v>
      </c>
      <c r="D8" s="149" t="s">
        <v>1281</v>
      </c>
      <c r="E8" s="149" t="s">
        <v>662</v>
      </c>
      <c r="F8" s="149" t="s">
        <v>1313</v>
      </c>
    </row>
    <row r="9" spans="1:8" ht="14.1" customHeight="1" x14ac:dyDescent="0.2">
      <c r="A9" s="149" t="s">
        <v>851</v>
      </c>
      <c r="C9" s="149" t="s">
        <v>24</v>
      </c>
      <c r="D9" s="149" t="s">
        <v>1236</v>
      </c>
      <c r="E9" s="149" t="s">
        <v>1769</v>
      </c>
      <c r="F9" s="149" t="s">
        <v>612</v>
      </c>
    </row>
    <row r="10" spans="1:8" ht="14.1" customHeight="1" x14ac:dyDescent="0.2">
      <c r="A10" s="149" t="s">
        <v>1778</v>
      </c>
      <c r="C10" s="149" t="s">
        <v>1310</v>
      </c>
      <c r="D10" s="149" t="s">
        <v>1149</v>
      </c>
      <c r="E10" s="149" t="s">
        <v>656</v>
      </c>
      <c r="F10" s="149" t="s">
        <v>1904</v>
      </c>
    </row>
    <row r="11" spans="1:8" ht="14.1" customHeight="1" x14ac:dyDescent="0.2">
      <c r="A11" s="149" t="s">
        <v>805</v>
      </c>
      <c r="C11" s="149" t="s">
        <v>1300</v>
      </c>
      <c r="D11" s="149" t="s">
        <v>1095</v>
      </c>
      <c r="E11" s="149" t="s">
        <v>654</v>
      </c>
      <c r="F11" s="149" t="s">
        <v>1194</v>
      </c>
    </row>
    <row r="12" spans="1:8" ht="14.1" customHeight="1" x14ac:dyDescent="0.2">
      <c r="A12" s="149" t="s">
        <v>804</v>
      </c>
      <c r="C12" s="149" t="s">
        <v>1251</v>
      </c>
      <c r="D12" s="149" t="s">
        <v>1052</v>
      </c>
      <c r="E12" s="149" t="s">
        <v>660</v>
      </c>
      <c r="F12" s="149" t="s">
        <v>1861</v>
      </c>
    </row>
    <row r="13" spans="1:8" ht="14.1" customHeight="1" x14ac:dyDescent="0.2">
      <c r="A13" s="149" t="s">
        <v>797</v>
      </c>
      <c r="C13" s="149" t="s">
        <v>1229</v>
      </c>
      <c r="E13" s="149" t="s">
        <v>1767</v>
      </c>
      <c r="F13" s="149" t="s">
        <v>1905</v>
      </c>
    </row>
    <row r="14" spans="1:8" ht="14.1" customHeight="1" x14ac:dyDescent="0.2">
      <c r="A14" s="149" t="s">
        <v>795</v>
      </c>
      <c r="C14" s="149" t="s">
        <v>1227</v>
      </c>
      <c r="E14" s="149" t="s">
        <v>435</v>
      </c>
      <c r="F14" s="149" t="s">
        <v>327</v>
      </c>
    </row>
    <row r="15" spans="1:8" ht="14.1" customHeight="1" x14ac:dyDescent="0.2">
      <c r="A15" s="149" t="s">
        <v>794</v>
      </c>
      <c r="C15" s="149" t="s">
        <v>1226</v>
      </c>
      <c r="E15" s="149" t="s">
        <v>649</v>
      </c>
      <c r="F15" s="149" t="s">
        <v>599</v>
      </c>
    </row>
    <row r="16" spans="1:8" ht="14.1" customHeight="1" x14ac:dyDescent="0.2">
      <c r="A16" s="149" t="s">
        <v>799</v>
      </c>
      <c r="C16" s="149" t="s">
        <v>1225</v>
      </c>
      <c r="E16" s="149" t="s">
        <v>1825</v>
      </c>
      <c r="F16" s="149" t="s">
        <v>1906</v>
      </c>
    </row>
    <row r="17" spans="1:6" ht="14.1" customHeight="1" x14ac:dyDescent="0.2">
      <c r="A17" s="149" t="s">
        <v>791</v>
      </c>
      <c r="C17" s="149" t="s">
        <v>1223</v>
      </c>
      <c r="E17" s="149" t="s">
        <v>646</v>
      </c>
      <c r="F17" s="149" t="s">
        <v>1907</v>
      </c>
    </row>
    <row r="18" spans="1:6" ht="14.1" customHeight="1" x14ac:dyDescent="0.2">
      <c r="A18" s="149" t="s">
        <v>775</v>
      </c>
      <c r="C18" s="149" t="s">
        <v>1190</v>
      </c>
      <c r="E18" s="149" t="s">
        <v>1774</v>
      </c>
      <c r="F18" s="149" t="s">
        <v>547</v>
      </c>
    </row>
    <row r="19" spans="1:6" ht="14.1" customHeight="1" x14ac:dyDescent="0.2">
      <c r="A19" s="149" t="s">
        <v>774</v>
      </c>
      <c r="C19" s="149" t="s">
        <v>1163</v>
      </c>
      <c r="E19" s="149" t="s">
        <v>640</v>
      </c>
      <c r="F19" s="149" t="s">
        <v>1908</v>
      </c>
    </row>
    <row r="20" spans="1:6" ht="14.1" customHeight="1" x14ac:dyDescent="0.2">
      <c r="A20" s="149" t="s">
        <v>773</v>
      </c>
      <c r="C20" s="149" t="s">
        <v>1065</v>
      </c>
      <c r="E20" s="149" t="s">
        <v>1773</v>
      </c>
      <c r="F20" s="149" t="s">
        <v>1909</v>
      </c>
    </row>
    <row r="21" spans="1:6" ht="14.1" customHeight="1" x14ac:dyDescent="0.2">
      <c r="A21" s="149" t="s">
        <v>565</v>
      </c>
      <c r="C21" s="149" t="s">
        <v>1768</v>
      </c>
      <c r="E21" s="149" t="s">
        <v>1771</v>
      </c>
      <c r="F21" s="149" t="s">
        <v>1772</v>
      </c>
    </row>
    <row r="22" spans="1:6" ht="14.1" customHeight="1" x14ac:dyDescent="0.2">
      <c r="A22" s="149" t="s">
        <v>252</v>
      </c>
      <c r="E22" s="149" t="s">
        <v>1770</v>
      </c>
    </row>
    <row r="23" spans="1:6" ht="14.1" customHeight="1" x14ac:dyDescent="0.2">
      <c r="A23" s="149" t="s">
        <v>769</v>
      </c>
      <c r="E23" s="149" t="s">
        <v>1777</v>
      </c>
    </row>
    <row r="24" spans="1:6" ht="14.1" customHeight="1" x14ac:dyDescent="0.2">
      <c r="A24" s="149" t="s">
        <v>768</v>
      </c>
    </row>
    <row r="25" spans="1:6" ht="14.1" customHeight="1" x14ac:dyDescent="0.2">
      <c r="A25" s="149" t="s">
        <v>767</v>
      </c>
    </row>
    <row r="26" spans="1:6" ht="14.1" customHeight="1" x14ac:dyDescent="0.2">
      <c r="A26" s="149" t="s">
        <v>762</v>
      </c>
    </row>
  </sheetData>
  <sortState xmlns:xlrd2="http://schemas.microsoft.com/office/spreadsheetml/2017/richdata2" ref="F2:F32">
    <sortCondition ref="F1"/>
  </sortState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"/>
  <dimension ref="A1:AG1644"/>
  <sheetViews>
    <sheetView showGridLines="0" workbookViewId="0"/>
  </sheetViews>
  <sheetFormatPr defaultRowHeight="15" x14ac:dyDescent="0.2"/>
  <cols>
    <col min="1" max="1" width="13" style="10" customWidth="1"/>
    <col min="2" max="2" width="19.109375" style="10" bestFit="1" customWidth="1"/>
    <col min="3" max="3" width="4.109375" style="17" customWidth="1"/>
    <col min="4" max="4" width="9.88671875" style="10" customWidth="1"/>
    <col min="5" max="5" width="9.88671875" style="10" bestFit="1" customWidth="1"/>
    <col min="6" max="6" width="3.5546875" style="17" customWidth="1"/>
    <col min="7" max="7" width="12.6640625" style="10" customWidth="1"/>
    <col min="8" max="8" width="11.33203125" style="10" bestFit="1" customWidth="1"/>
    <col min="9" max="9" width="4.33203125" style="17" customWidth="1"/>
    <col min="10" max="10" width="29.5546875" style="10" customWidth="1"/>
    <col min="11" max="11" width="9.88671875" style="10" customWidth="1"/>
    <col min="12" max="12" width="5" style="17" customWidth="1"/>
    <col min="13" max="14" width="7.77734375" style="10" customWidth="1"/>
    <col min="15" max="15" width="21.5546875" style="10" bestFit="1" customWidth="1"/>
    <col min="16" max="16" width="5.44140625" style="17" customWidth="1"/>
    <col min="17" max="17" width="22.6640625" style="10" bestFit="1" customWidth="1"/>
    <col min="18" max="18" width="4.77734375" style="17" customWidth="1"/>
    <col min="19" max="19" width="39.6640625" style="10" bestFit="1" customWidth="1"/>
    <col min="20" max="20" width="4.77734375" style="17" customWidth="1"/>
    <col min="22" max="22" width="41.77734375" bestFit="1" customWidth="1"/>
    <col min="23" max="23" width="16.109375" bestFit="1" customWidth="1"/>
    <col min="24" max="24" width="4.33203125" style="17" customWidth="1"/>
    <col min="25" max="25" width="6.44140625" style="17" bestFit="1" customWidth="1"/>
    <col min="26" max="26" width="35.33203125" bestFit="1" customWidth="1"/>
    <col min="27" max="27" width="20.5546875" bestFit="1" customWidth="1"/>
    <col min="28" max="28" width="5" customWidth="1"/>
    <col min="29" max="29" width="9" style="14" bestFit="1" customWidth="1"/>
    <col min="30" max="30" width="41.77734375" style="10" bestFit="1" customWidth="1"/>
    <col min="31" max="31" width="28.109375" style="10" bestFit="1" customWidth="1"/>
    <col min="32" max="32" width="5.109375" style="17" customWidth="1"/>
    <col min="33" max="33" width="10.109375" style="17" bestFit="1" customWidth="1"/>
    <col min="34" max="16384" width="8.88671875" style="17"/>
  </cols>
  <sheetData>
    <row r="1" spans="1:33" s="89" customFormat="1" ht="29.25" customHeight="1" x14ac:dyDescent="0.2">
      <c r="A1" s="213" t="s">
        <v>1326</v>
      </c>
      <c r="B1" s="213" t="s">
        <v>1724</v>
      </c>
      <c r="C1" s="35"/>
      <c r="D1" s="214" t="s">
        <v>226</v>
      </c>
      <c r="E1" s="214" t="s">
        <v>227</v>
      </c>
      <c r="F1" s="36"/>
      <c r="G1" s="215" t="s">
        <v>1323</v>
      </c>
      <c r="H1" s="215" t="s">
        <v>228</v>
      </c>
      <c r="I1" s="38"/>
      <c r="J1" s="216" t="s">
        <v>221</v>
      </c>
      <c r="K1" s="216" t="s">
        <v>229</v>
      </c>
      <c r="L1" s="39"/>
      <c r="M1" s="217" t="s">
        <v>219</v>
      </c>
      <c r="N1" s="217" t="s">
        <v>230</v>
      </c>
      <c r="O1" s="217" t="s">
        <v>1725</v>
      </c>
      <c r="P1" s="66"/>
      <c r="Q1" s="205" t="s">
        <v>1321</v>
      </c>
      <c r="R1" s="83"/>
      <c r="S1" s="205" t="s">
        <v>1320</v>
      </c>
      <c r="T1" s="23"/>
      <c r="U1" s="218" t="s">
        <v>1445</v>
      </c>
      <c r="V1" s="218" t="s">
        <v>1726</v>
      </c>
      <c r="W1" s="218" t="s">
        <v>1728</v>
      </c>
      <c r="Y1" s="218" t="s">
        <v>1729</v>
      </c>
      <c r="Z1" s="218" t="s">
        <v>1726</v>
      </c>
      <c r="AA1" s="218" t="s">
        <v>1728</v>
      </c>
      <c r="AC1" s="219" t="s">
        <v>1727</v>
      </c>
      <c r="AD1" s="220" t="s">
        <v>1726</v>
      </c>
      <c r="AE1" s="205" t="s">
        <v>1339</v>
      </c>
      <c r="AG1" s="221" t="s">
        <v>1682</v>
      </c>
    </row>
    <row r="2" spans="1:33" ht="14.25" customHeight="1" x14ac:dyDescent="0.2">
      <c r="A2" s="41">
        <v>1</v>
      </c>
      <c r="B2" s="42" t="s">
        <v>1569</v>
      </c>
      <c r="C2" s="33"/>
      <c r="D2" s="47" t="s">
        <v>231</v>
      </c>
      <c r="E2" s="48" t="s">
        <v>1591</v>
      </c>
      <c r="F2" s="34"/>
      <c r="G2" s="53">
        <v>1</v>
      </c>
      <c r="H2" s="54" t="s">
        <v>1598</v>
      </c>
      <c r="I2" s="37"/>
      <c r="J2" s="59" t="s">
        <v>232</v>
      </c>
      <c r="K2" s="60">
        <v>9999</v>
      </c>
      <c r="L2" s="11"/>
      <c r="M2" s="67" t="s">
        <v>233</v>
      </c>
      <c r="N2" s="68" t="s">
        <v>234</v>
      </c>
      <c r="O2" s="69" t="s">
        <v>1601</v>
      </c>
      <c r="P2" s="8"/>
      <c r="Q2" s="79" t="s">
        <v>1338</v>
      </c>
      <c r="R2" s="65"/>
      <c r="S2" s="84" t="s">
        <v>1361</v>
      </c>
      <c r="T2" s="77"/>
      <c r="U2" s="90">
        <v>999</v>
      </c>
      <c r="V2" s="91" t="s">
        <v>1527</v>
      </c>
      <c r="W2" s="92" t="s">
        <v>1340</v>
      </c>
      <c r="Y2" s="90">
        <v>999</v>
      </c>
      <c r="Z2" s="91" t="s">
        <v>1527</v>
      </c>
      <c r="AA2" s="92" t="s">
        <v>1340</v>
      </c>
      <c r="AC2" s="90">
        <v>999</v>
      </c>
      <c r="AD2" s="91" t="s">
        <v>1527</v>
      </c>
      <c r="AE2" s="92" t="s">
        <v>1340</v>
      </c>
      <c r="AG2" s="103" t="s">
        <v>1730</v>
      </c>
    </row>
    <row r="3" spans="1:33" ht="14.25" customHeight="1" x14ac:dyDescent="0.2">
      <c r="A3" s="43">
        <v>2</v>
      </c>
      <c r="B3" s="44" t="s">
        <v>1570</v>
      </c>
      <c r="C3" s="33"/>
      <c r="D3" s="49" t="s">
        <v>235</v>
      </c>
      <c r="E3" s="50" t="s">
        <v>1592</v>
      </c>
      <c r="F3" s="34"/>
      <c r="G3" s="55">
        <v>2</v>
      </c>
      <c r="H3" s="56" t="s">
        <v>1599</v>
      </c>
      <c r="I3" s="37"/>
      <c r="J3" s="61" t="s">
        <v>395</v>
      </c>
      <c r="K3" s="62">
        <v>3365</v>
      </c>
      <c r="L3" s="11"/>
      <c r="M3" s="70" t="s">
        <v>237</v>
      </c>
      <c r="N3" s="8" t="s">
        <v>238</v>
      </c>
      <c r="O3" s="71" t="s">
        <v>1602</v>
      </c>
      <c r="P3" s="8"/>
      <c r="Q3" s="80" t="s">
        <v>1354</v>
      </c>
      <c r="R3" s="65"/>
      <c r="S3" s="84" t="s">
        <v>1362</v>
      </c>
      <c r="T3" s="77"/>
      <c r="U3" s="95" t="s">
        <v>1467</v>
      </c>
      <c r="V3" s="2" t="s">
        <v>1548</v>
      </c>
      <c r="W3" s="94" t="s">
        <v>1435</v>
      </c>
      <c r="Y3" s="99" t="s">
        <v>1668</v>
      </c>
      <c r="Z3" s="2" t="s">
        <v>1530</v>
      </c>
      <c r="AA3" s="94" t="s">
        <v>1341</v>
      </c>
      <c r="AC3" s="93">
        <v>100</v>
      </c>
      <c r="AD3" s="6" t="s">
        <v>1567</v>
      </c>
      <c r="AE3" s="94" t="s">
        <v>1342</v>
      </c>
      <c r="AG3" s="104" t="s">
        <v>1731</v>
      </c>
    </row>
    <row r="4" spans="1:33" ht="14.25" customHeight="1" x14ac:dyDescent="0.2">
      <c r="A4" s="43">
        <v>3</v>
      </c>
      <c r="B4" s="44" t="s">
        <v>1571</v>
      </c>
      <c r="C4" s="33"/>
      <c r="D4" s="49" t="s">
        <v>239</v>
      </c>
      <c r="E4" s="50" t="s">
        <v>1593</v>
      </c>
      <c r="F4" s="34"/>
      <c r="G4" s="57">
        <v>3</v>
      </c>
      <c r="H4" s="58" t="s">
        <v>1600</v>
      </c>
      <c r="I4" s="37"/>
      <c r="J4" s="61" t="s">
        <v>394</v>
      </c>
      <c r="K4" s="62">
        <v>3366</v>
      </c>
      <c r="L4" s="11"/>
      <c r="M4" s="70" t="s">
        <v>241</v>
      </c>
      <c r="N4" s="8" t="s">
        <v>242</v>
      </c>
      <c r="O4" s="71" t="s">
        <v>1603</v>
      </c>
      <c r="P4" s="8"/>
      <c r="Q4" s="81" t="s">
        <v>1373</v>
      </c>
      <c r="R4" s="65"/>
      <c r="S4" s="85" t="s">
        <v>1400</v>
      </c>
      <c r="T4" s="77"/>
      <c r="U4" s="95" t="s">
        <v>1652</v>
      </c>
      <c r="V4" s="2" t="s">
        <v>1549</v>
      </c>
      <c r="W4" s="94" t="s">
        <v>1435</v>
      </c>
      <c r="Y4" s="99" t="s">
        <v>1432</v>
      </c>
      <c r="Z4" s="9" t="s">
        <v>1531</v>
      </c>
      <c r="AA4" s="94" t="s">
        <v>1341</v>
      </c>
      <c r="AC4" s="93">
        <v>101</v>
      </c>
      <c r="AD4" s="6" t="s">
        <v>1480</v>
      </c>
      <c r="AE4" s="94" t="s">
        <v>1342</v>
      </c>
      <c r="AG4" s="104" t="s">
        <v>1732</v>
      </c>
    </row>
    <row r="5" spans="1:33" ht="14.25" customHeight="1" x14ac:dyDescent="0.2">
      <c r="A5" s="43">
        <v>4</v>
      </c>
      <c r="B5" s="44" t="s">
        <v>1572</v>
      </c>
      <c r="C5" s="33"/>
      <c r="D5" s="49" t="s">
        <v>243</v>
      </c>
      <c r="E5" s="50" t="s">
        <v>1594</v>
      </c>
      <c r="F5" s="34"/>
      <c r="J5" s="61" t="s">
        <v>759</v>
      </c>
      <c r="K5" s="62">
        <v>1998</v>
      </c>
      <c r="L5" s="11"/>
      <c r="M5" s="70" t="s">
        <v>245</v>
      </c>
      <c r="N5" s="8" t="s">
        <v>246</v>
      </c>
      <c r="O5" s="71" t="s">
        <v>1604</v>
      </c>
      <c r="P5" s="8"/>
      <c r="Q5" s="81" t="s">
        <v>1356</v>
      </c>
      <c r="R5" s="65"/>
      <c r="S5" s="86" t="s">
        <v>1430</v>
      </c>
      <c r="T5" s="7"/>
      <c r="U5" s="95" t="s">
        <v>1653</v>
      </c>
      <c r="V5" s="2" t="s">
        <v>1550</v>
      </c>
      <c r="W5" s="94" t="s">
        <v>1435</v>
      </c>
      <c r="Y5" s="99" t="s">
        <v>1669</v>
      </c>
      <c r="Z5" s="9" t="s">
        <v>1532</v>
      </c>
      <c r="AA5" s="94" t="s">
        <v>1341</v>
      </c>
      <c r="AC5" s="93">
        <v>102</v>
      </c>
      <c r="AD5" s="6" t="s">
        <v>1481</v>
      </c>
      <c r="AE5" s="94" t="s">
        <v>1342</v>
      </c>
      <c r="AG5" s="104" t="s">
        <v>1733</v>
      </c>
    </row>
    <row r="6" spans="1:33" ht="14.25" customHeight="1" x14ac:dyDescent="0.2">
      <c r="A6" s="43">
        <v>5</v>
      </c>
      <c r="B6" s="44" t="s">
        <v>1573</v>
      </c>
      <c r="C6" s="33"/>
      <c r="D6" s="49" t="s">
        <v>247</v>
      </c>
      <c r="E6" s="50" t="s">
        <v>1595</v>
      </c>
      <c r="F6" s="34"/>
      <c r="J6" s="61" t="s">
        <v>216</v>
      </c>
      <c r="K6" s="62">
        <v>102</v>
      </c>
      <c r="L6" s="11"/>
      <c r="M6" s="70" t="s">
        <v>249</v>
      </c>
      <c r="N6" s="8" t="s">
        <v>250</v>
      </c>
      <c r="O6" s="71" t="s">
        <v>1605</v>
      </c>
      <c r="P6" s="8"/>
      <c r="Q6" s="81" t="s">
        <v>1358</v>
      </c>
      <c r="R6" s="65"/>
      <c r="S6" s="85" t="s">
        <v>1403</v>
      </c>
      <c r="T6" s="77"/>
      <c r="U6" s="95" t="s">
        <v>1654</v>
      </c>
      <c r="V6" s="2" t="s">
        <v>1551</v>
      </c>
      <c r="W6" s="94" t="s">
        <v>1435</v>
      </c>
      <c r="Y6" s="99" t="s">
        <v>1433</v>
      </c>
      <c r="Z6" s="7" t="s">
        <v>1533</v>
      </c>
      <c r="AA6" s="94" t="s">
        <v>1341</v>
      </c>
      <c r="AC6" s="93">
        <v>103</v>
      </c>
      <c r="AD6" s="6" t="s">
        <v>1482</v>
      </c>
      <c r="AE6" s="94" t="s">
        <v>1342</v>
      </c>
      <c r="AG6" s="104" t="s">
        <v>1734</v>
      </c>
    </row>
    <row r="7" spans="1:33" ht="14.25" customHeight="1" x14ac:dyDescent="0.2">
      <c r="A7" s="43">
        <v>6</v>
      </c>
      <c r="B7" s="44" t="s">
        <v>1574</v>
      </c>
      <c r="C7" s="33"/>
      <c r="D7" s="49" t="s">
        <v>251</v>
      </c>
      <c r="E7" s="50" t="s">
        <v>1596</v>
      </c>
      <c r="F7" s="34"/>
      <c r="J7" s="61" t="s">
        <v>624</v>
      </c>
      <c r="K7" s="62">
        <v>2599</v>
      </c>
      <c r="L7" s="11"/>
      <c r="M7" s="70" t="s">
        <v>253</v>
      </c>
      <c r="N7" s="8" t="s">
        <v>254</v>
      </c>
      <c r="O7" s="71" t="s">
        <v>1606</v>
      </c>
      <c r="P7" s="8"/>
      <c r="Q7" s="81" t="s">
        <v>1363</v>
      </c>
      <c r="R7" s="65"/>
      <c r="S7" s="85" t="s">
        <v>1421</v>
      </c>
      <c r="T7" s="77"/>
      <c r="U7" s="95" t="s">
        <v>1468</v>
      </c>
      <c r="V7" s="9" t="s">
        <v>1552</v>
      </c>
      <c r="W7" s="94" t="s">
        <v>1435</v>
      </c>
      <c r="Y7" s="99" t="s">
        <v>1670</v>
      </c>
      <c r="Z7" s="7" t="s">
        <v>1534</v>
      </c>
      <c r="AA7" s="94" t="s">
        <v>1341</v>
      </c>
      <c r="AC7" s="93">
        <v>200</v>
      </c>
      <c r="AD7" s="6" t="s">
        <v>1515</v>
      </c>
      <c r="AE7" s="94" t="s">
        <v>1342</v>
      </c>
      <c r="AG7" s="105" t="s">
        <v>1735</v>
      </c>
    </row>
    <row r="8" spans="1:33" ht="14.25" customHeight="1" x14ac:dyDescent="0.2">
      <c r="A8" s="43">
        <v>7</v>
      </c>
      <c r="B8" s="44" t="s">
        <v>1575</v>
      </c>
      <c r="C8" s="33"/>
      <c r="D8" s="51" t="s">
        <v>255</v>
      </c>
      <c r="E8" s="52" t="s">
        <v>1597</v>
      </c>
      <c r="F8" s="34"/>
      <c r="J8" s="61" t="s">
        <v>625</v>
      </c>
      <c r="K8" s="62">
        <v>2598</v>
      </c>
      <c r="L8" s="11"/>
      <c r="M8" s="70" t="s">
        <v>257</v>
      </c>
      <c r="N8" s="8" t="s">
        <v>258</v>
      </c>
      <c r="O8" s="71" t="s">
        <v>1607</v>
      </c>
      <c r="P8" s="8"/>
      <c r="Q8" s="81" t="s">
        <v>1360</v>
      </c>
      <c r="R8" s="65"/>
      <c r="S8" s="85" t="s">
        <v>1392</v>
      </c>
      <c r="T8" s="77"/>
      <c r="U8" s="95" t="s">
        <v>1655</v>
      </c>
      <c r="V8" s="9" t="s">
        <v>1553</v>
      </c>
      <c r="W8" s="94" t="s">
        <v>1435</v>
      </c>
      <c r="Y8" s="99" t="s">
        <v>1671</v>
      </c>
      <c r="Z8" s="3" t="s">
        <v>1535</v>
      </c>
      <c r="AA8" s="94" t="s">
        <v>1341</v>
      </c>
      <c r="AC8" s="93">
        <v>201</v>
      </c>
      <c r="AD8" s="6" t="s">
        <v>1516</v>
      </c>
      <c r="AE8" s="94" t="s">
        <v>1342</v>
      </c>
    </row>
    <row r="9" spans="1:33" ht="14.25" customHeight="1" x14ac:dyDescent="0.2">
      <c r="A9" s="43">
        <v>8</v>
      </c>
      <c r="B9" s="44" t="s">
        <v>1576</v>
      </c>
      <c r="C9" s="33"/>
      <c r="D9" s="17"/>
      <c r="E9" s="17"/>
      <c r="G9" s="17"/>
      <c r="H9" s="17"/>
      <c r="J9" s="61" t="s">
        <v>533</v>
      </c>
      <c r="K9" s="62">
        <v>2753</v>
      </c>
      <c r="L9" s="11"/>
      <c r="M9" s="70" t="s">
        <v>260</v>
      </c>
      <c r="N9" s="8" t="s">
        <v>261</v>
      </c>
      <c r="O9" s="71" t="s">
        <v>1608</v>
      </c>
      <c r="P9" s="8"/>
      <c r="Q9" s="81" t="s">
        <v>1369</v>
      </c>
      <c r="R9" s="65"/>
      <c r="S9" s="85" t="s">
        <v>1411</v>
      </c>
      <c r="T9" s="77"/>
      <c r="U9" s="95" t="s">
        <v>1656</v>
      </c>
      <c r="V9" s="9" t="s">
        <v>1554</v>
      </c>
      <c r="W9" s="94" t="s">
        <v>1435</v>
      </c>
      <c r="Y9" s="99" t="s">
        <v>1434</v>
      </c>
      <c r="Z9" s="3" t="s">
        <v>1536</v>
      </c>
      <c r="AA9" s="94" t="s">
        <v>1341</v>
      </c>
      <c r="AC9" s="93">
        <v>202</v>
      </c>
      <c r="AD9" s="6" t="s">
        <v>1517</v>
      </c>
      <c r="AE9" s="94" t="s">
        <v>1342</v>
      </c>
    </row>
    <row r="10" spans="1:33" ht="14.25" customHeight="1" x14ac:dyDescent="0.2">
      <c r="A10" s="43">
        <v>9</v>
      </c>
      <c r="B10" s="44" t="s">
        <v>1577</v>
      </c>
      <c r="C10" s="33"/>
      <c r="D10" s="17"/>
      <c r="E10" s="17"/>
      <c r="G10" s="17"/>
      <c r="H10" s="17"/>
      <c r="J10" s="61" t="s">
        <v>582</v>
      </c>
      <c r="K10" s="62">
        <v>2653</v>
      </c>
      <c r="L10" s="11"/>
      <c r="M10" s="70" t="s">
        <v>263</v>
      </c>
      <c r="N10" s="8" t="s">
        <v>264</v>
      </c>
      <c r="O10" s="71" t="s">
        <v>1609</v>
      </c>
      <c r="P10" s="8"/>
      <c r="Q10" s="81" t="s">
        <v>1371</v>
      </c>
      <c r="R10" s="65"/>
      <c r="S10" s="85" t="s">
        <v>1436</v>
      </c>
      <c r="T10" s="77"/>
      <c r="U10" s="95" t="s">
        <v>1657</v>
      </c>
      <c r="V10" s="9" t="s">
        <v>1555</v>
      </c>
      <c r="W10" s="94" t="s">
        <v>1435</v>
      </c>
      <c r="Y10" s="99" t="s">
        <v>1672</v>
      </c>
      <c r="Z10" s="1" t="s">
        <v>1537</v>
      </c>
      <c r="AA10" s="94" t="s">
        <v>1341</v>
      </c>
      <c r="AC10" s="93">
        <v>230</v>
      </c>
      <c r="AD10" s="6" t="s">
        <v>1518</v>
      </c>
      <c r="AE10" s="94" t="s">
        <v>1342</v>
      </c>
    </row>
    <row r="11" spans="1:33" ht="14.25" customHeight="1" x14ac:dyDescent="0.2">
      <c r="A11" s="43">
        <v>10</v>
      </c>
      <c r="B11" s="44" t="s">
        <v>1578</v>
      </c>
      <c r="C11" s="33"/>
      <c r="D11" s="17"/>
      <c r="E11" s="17"/>
      <c r="G11" s="17"/>
      <c r="H11" s="17"/>
      <c r="J11" s="61" t="s">
        <v>215</v>
      </c>
      <c r="K11" s="62">
        <v>103</v>
      </c>
      <c r="L11" s="11"/>
      <c r="M11" s="70" t="s">
        <v>266</v>
      </c>
      <c r="N11" s="8" t="s">
        <v>267</v>
      </c>
      <c r="O11" s="71" t="s">
        <v>1610</v>
      </c>
      <c r="P11" s="8"/>
      <c r="Q11" s="81" t="s">
        <v>1367</v>
      </c>
      <c r="R11" s="65"/>
      <c r="S11" s="85" t="s">
        <v>1407</v>
      </c>
      <c r="T11" s="77"/>
      <c r="U11" s="95" t="s">
        <v>1658</v>
      </c>
      <c r="V11" s="7" t="s">
        <v>1556</v>
      </c>
      <c r="W11" s="94" t="s">
        <v>1435</v>
      </c>
      <c r="Y11" s="99" t="s">
        <v>1673</v>
      </c>
      <c r="Z11" s="7" t="s">
        <v>1538</v>
      </c>
      <c r="AA11" s="94" t="s">
        <v>1341</v>
      </c>
      <c r="AC11" s="93">
        <v>231</v>
      </c>
      <c r="AD11" s="6" t="s">
        <v>1519</v>
      </c>
      <c r="AE11" s="94" t="s">
        <v>1342</v>
      </c>
    </row>
    <row r="12" spans="1:33" ht="14.25" customHeight="1" x14ac:dyDescent="0.2">
      <c r="A12" s="43">
        <v>11</v>
      </c>
      <c r="B12" s="44" t="s">
        <v>1579</v>
      </c>
      <c r="C12" s="33"/>
      <c r="D12" s="17"/>
      <c r="E12" s="17"/>
      <c r="G12" s="17"/>
      <c r="H12" s="17"/>
      <c r="J12" s="61" t="s">
        <v>622</v>
      </c>
      <c r="K12" s="62">
        <v>2601</v>
      </c>
      <c r="L12" s="11"/>
      <c r="M12" s="70" t="s">
        <v>225</v>
      </c>
      <c r="N12" s="8" t="s">
        <v>269</v>
      </c>
      <c r="O12" s="71" t="s">
        <v>1611</v>
      </c>
      <c r="P12" s="8"/>
      <c r="Q12" s="81" t="s">
        <v>1377</v>
      </c>
      <c r="R12" s="65"/>
      <c r="S12" s="85" t="s">
        <v>1422</v>
      </c>
      <c r="T12" s="77"/>
      <c r="U12" s="95" t="s">
        <v>1659</v>
      </c>
      <c r="V12" s="9" t="s">
        <v>1557</v>
      </c>
      <c r="W12" s="94" t="s">
        <v>1435</v>
      </c>
      <c r="Y12" s="99" t="s">
        <v>1674</v>
      </c>
      <c r="Z12" s="3" t="s">
        <v>1539</v>
      </c>
      <c r="AA12" s="94" t="s">
        <v>1341</v>
      </c>
      <c r="AC12" s="93">
        <v>235</v>
      </c>
      <c r="AD12" s="6" t="s">
        <v>1520</v>
      </c>
      <c r="AE12" s="94" t="s">
        <v>1342</v>
      </c>
    </row>
    <row r="13" spans="1:33" ht="14.25" customHeight="1" x14ac:dyDescent="0.2">
      <c r="A13" s="43">
        <v>12</v>
      </c>
      <c r="B13" s="44" t="s">
        <v>1580</v>
      </c>
      <c r="C13" s="33"/>
      <c r="D13" s="17"/>
      <c r="E13" s="17"/>
      <c r="G13" s="17"/>
      <c r="H13" s="17"/>
      <c r="J13" s="61" t="s">
        <v>623</v>
      </c>
      <c r="K13" s="62">
        <v>2600</v>
      </c>
      <c r="L13" s="11"/>
      <c r="M13" s="70" t="s">
        <v>271</v>
      </c>
      <c r="N13" s="8" t="s">
        <v>272</v>
      </c>
      <c r="O13" s="71" t="s">
        <v>1612</v>
      </c>
      <c r="P13" s="8"/>
      <c r="Q13" s="81" t="s">
        <v>1375</v>
      </c>
      <c r="R13" s="65"/>
      <c r="S13" s="85" t="s">
        <v>1423</v>
      </c>
      <c r="T13" s="77"/>
      <c r="U13" s="95" t="s">
        <v>1660</v>
      </c>
      <c r="V13" s="9" t="s">
        <v>1558</v>
      </c>
      <c r="W13" s="94" t="s">
        <v>1435</v>
      </c>
      <c r="Y13" s="99" t="s">
        <v>1675</v>
      </c>
      <c r="Z13" s="3" t="s">
        <v>1540</v>
      </c>
      <c r="AA13" s="94" t="s">
        <v>1341</v>
      </c>
      <c r="AC13" s="93">
        <v>236</v>
      </c>
      <c r="AD13" s="6" t="s">
        <v>1521</v>
      </c>
      <c r="AE13" s="94" t="s">
        <v>1342</v>
      </c>
    </row>
    <row r="14" spans="1:33" ht="14.25" customHeight="1" x14ac:dyDescent="0.2">
      <c r="A14" s="43">
        <v>13</v>
      </c>
      <c r="B14" s="44" t="s">
        <v>1581</v>
      </c>
      <c r="C14" s="33"/>
      <c r="D14" s="17"/>
      <c r="E14" s="17"/>
      <c r="G14" s="17"/>
      <c r="H14" s="17"/>
      <c r="J14" s="61" t="s">
        <v>522</v>
      </c>
      <c r="K14" s="62">
        <v>2781</v>
      </c>
      <c r="L14" s="11"/>
      <c r="M14" s="70" t="s">
        <v>274</v>
      </c>
      <c r="N14" s="8" t="s">
        <v>275</v>
      </c>
      <c r="O14" s="71" t="s">
        <v>1613</v>
      </c>
      <c r="P14" s="8"/>
      <c r="Q14" s="81" t="s">
        <v>1365</v>
      </c>
      <c r="R14" s="65"/>
      <c r="S14" s="85" t="s">
        <v>1419</v>
      </c>
      <c r="T14" s="77"/>
      <c r="U14" s="95" t="s">
        <v>1661</v>
      </c>
      <c r="V14" s="2" t="s">
        <v>1559</v>
      </c>
      <c r="W14" s="94" t="s">
        <v>1435</v>
      </c>
      <c r="Y14" s="99" t="s">
        <v>1676</v>
      </c>
      <c r="Z14" s="1" t="s">
        <v>1541</v>
      </c>
      <c r="AA14" s="94" t="s">
        <v>1341</v>
      </c>
      <c r="AC14" s="93">
        <v>237</v>
      </c>
      <c r="AD14" s="6" t="s">
        <v>1522</v>
      </c>
      <c r="AE14" s="94" t="s">
        <v>1342</v>
      </c>
    </row>
    <row r="15" spans="1:33" ht="14.25" customHeight="1" x14ac:dyDescent="0.2">
      <c r="A15" s="43">
        <v>14</v>
      </c>
      <c r="B15" s="44" t="s">
        <v>1582</v>
      </c>
      <c r="C15" s="33"/>
      <c r="D15" s="17"/>
      <c r="E15" s="17"/>
      <c r="G15" s="17"/>
      <c r="H15" s="17"/>
      <c r="J15" s="61" t="s">
        <v>214</v>
      </c>
      <c r="K15" s="62">
        <v>104</v>
      </c>
      <c r="L15" s="11"/>
      <c r="M15" s="70" t="s">
        <v>277</v>
      </c>
      <c r="N15" s="8" t="s">
        <v>278</v>
      </c>
      <c r="O15" s="71" t="s">
        <v>1614</v>
      </c>
      <c r="P15" s="8"/>
      <c r="Q15" s="81" t="s">
        <v>1350</v>
      </c>
      <c r="R15" s="65"/>
      <c r="S15" s="85" t="s">
        <v>1359</v>
      </c>
      <c r="T15" s="77"/>
      <c r="U15" s="95" t="s">
        <v>1662</v>
      </c>
      <c r="V15" s="2" t="s">
        <v>1560</v>
      </c>
      <c r="W15" s="94" t="s">
        <v>1435</v>
      </c>
      <c r="Y15" s="99" t="s">
        <v>1469</v>
      </c>
      <c r="Z15" s="7" t="s">
        <v>1542</v>
      </c>
      <c r="AA15" s="94" t="s">
        <v>1341</v>
      </c>
      <c r="AC15" s="93">
        <v>238</v>
      </c>
      <c r="AD15" s="6" t="s">
        <v>1523</v>
      </c>
      <c r="AE15" s="94" t="s">
        <v>1342</v>
      </c>
    </row>
    <row r="16" spans="1:33" ht="14.25" customHeight="1" x14ac:dyDescent="0.2">
      <c r="A16" s="43">
        <v>15</v>
      </c>
      <c r="B16" s="44" t="s">
        <v>1583</v>
      </c>
      <c r="C16" s="33"/>
      <c r="D16" s="17"/>
      <c r="E16" s="17"/>
      <c r="G16" s="17"/>
      <c r="H16" s="17"/>
      <c r="J16" s="61" t="s">
        <v>213</v>
      </c>
      <c r="K16" s="62">
        <v>105</v>
      </c>
      <c r="L16" s="11"/>
      <c r="M16" s="70" t="s">
        <v>280</v>
      </c>
      <c r="N16" s="8" t="s">
        <v>281</v>
      </c>
      <c r="O16" s="71" t="s">
        <v>1615</v>
      </c>
      <c r="P16" s="8"/>
      <c r="Q16" s="80" t="s">
        <v>1352</v>
      </c>
      <c r="R16" s="65"/>
      <c r="S16" s="84" t="s">
        <v>1427</v>
      </c>
      <c r="T16" s="77"/>
      <c r="U16" s="95" t="s">
        <v>1663</v>
      </c>
      <c r="V16" s="7" t="s">
        <v>1561</v>
      </c>
      <c r="W16" s="94" t="s">
        <v>1435</v>
      </c>
      <c r="Y16" s="99" t="s">
        <v>1471</v>
      </c>
      <c r="Z16" s="9" t="s">
        <v>1543</v>
      </c>
      <c r="AA16" s="94" t="s">
        <v>1341</v>
      </c>
      <c r="AC16" s="93">
        <v>239</v>
      </c>
      <c r="AD16" s="6" t="s">
        <v>1524</v>
      </c>
      <c r="AE16" s="94" t="s">
        <v>1342</v>
      </c>
    </row>
    <row r="17" spans="1:31" ht="14.25" customHeight="1" x14ac:dyDescent="0.2">
      <c r="A17" s="43">
        <v>16</v>
      </c>
      <c r="B17" s="44" t="s">
        <v>1584</v>
      </c>
      <c r="C17" s="33"/>
      <c r="D17" s="17"/>
      <c r="E17" s="17"/>
      <c r="G17" s="17"/>
      <c r="H17" s="17"/>
      <c r="J17" s="61" t="s">
        <v>583</v>
      </c>
      <c r="K17" s="62">
        <v>2650</v>
      </c>
      <c r="L17" s="11"/>
      <c r="M17" s="70" t="s">
        <v>283</v>
      </c>
      <c r="N17" s="8" t="s">
        <v>284</v>
      </c>
      <c r="O17" s="71" t="s">
        <v>1616</v>
      </c>
      <c r="P17" s="8"/>
      <c r="Q17" s="80" t="s">
        <v>1379</v>
      </c>
      <c r="R17" s="65"/>
      <c r="S17" s="84" t="s">
        <v>1418</v>
      </c>
      <c r="T17" s="77"/>
      <c r="U17" s="95" t="s">
        <v>1664</v>
      </c>
      <c r="V17" s="7" t="s">
        <v>1562</v>
      </c>
      <c r="W17" s="94" t="s">
        <v>1435</v>
      </c>
      <c r="Y17" s="99" t="s">
        <v>1677</v>
      </c>
      <c r="Z17" s="7" t="s">
        <v>1544</v>
      </c>
      <c r="AA17" s="94" t="s">
        <v>1341</v>
      </c>
      <c r="AC17" s="93">
        <v>240</v>
      </c>
      <c r="AD17" s="6" t="s">
        <v>1525</v>
      </c>
      <c r="AE17" s="94" t="s">
        <v>1342</v>
      </c>
    </row>
    <row r="18" spans="1:31" ht="14.25" customHeight="1" x14ac:dyDescent="0.2">
      <c r="A18" s="43">
        <v>17</v>
      </c>
      <c r="B18" s="44" t="s">
        <v>1585</v>
      </c>
      <c r="C18" s="33"/>
      <c r="D18" s="17"/>
      <c r="E18" s="17"/>
      <c r="G18" s="17"/>
      <c r="H18" s="17"/>
      <c r="J18" s="61" t="s">
        <v>212</v>
      </c>
      <c r="K18" s="62">
        <v>107</v>
      </c>
      <c r="L18" s="11"/>
      <c r="M18" s="70" t="s">
        <v>286</v>
      </c>
      <c r="N18" s="8" t="s">
        <v>287</v>
      </c>
      <c r="O18" s="71" t="s">
        <v>1617</v>
      </c>
      <c r="P18" s="8"/>
      <c r="Q18" s="80" t="s">
        <v>1381</v>
      </c>
      <c r="R18" s="65"/>
      <c r="S18" s="84" t="s">
        <v>1364</v>
      </c>
      <c r="T18" s="77"/>
      <c r="U18" s="95" t="s">
        <v>1665</v>
      </c>
      <c r="V18" s="7" t="s">
        <v>1563</v>
      </c>
      <c r="W18" s="94" t="s">
        <v>1435</v>
      </c>
      <c r="Y18" s="99" t="s">
        <v>1472</v>
      </c>
      <c r="Z18" s="7" t="s">
        <v>1545</v>
      </c>
      <c r="AA18" s="94" t="s">
        <v>1341</v>
      </c>
      <c r="AC18" s="93">
        <v>241</v>
      </c>
      <c r="AD18" s="6" t="s">
        <v>1526</v>
      </c>
      <c r="AE18" s="94" t="s">
        <v>1342</v>
      </c>
    </row>
    <row r="19" spans="1:31" ht="14.25" customHeight="1" x14ac:dyDescent="0.2">
      <c r="A19" s="43">
        <v>18</v>
      </c>
      <c r="B19" s="44" t="s">
        <v>1586</v>
      </c>
      <c r="C19" s="33"/>
      <c r="D19" s="17"/>
      <c r="E19" s="17"/>
      <c r="G19" s="17"/>
      <c r="H19" s="17"/>
      <c r="J19" s="61" t="s">
        <v>211</v>
      </c>
      <c r="K19" s="62">
        <v>109</v>
      </c>
      <c r="L19" s="11"/>
      <c r="M19" s="70" t="s">
        <v>289</v>
      </c>
      <c r="N19" s="8" t="s">
        <v>290</v>
      </c>
      <c r="O19" s="71" t="s">
        <v>1618</v>
      </c>
      <c r="P19" s="8"/>
      <c r="Q19" s="80" t="s">
        <v>1383</v>
      </c>
      <c r="R19" s="65"/>
      <c r="S19" s="84" t="s">
        <v>1425</v>
      </c>
      <c r="T19" s="77"/>
      <c r="U19" s="95" t="s">
        <v>1666</v>
      </c>
      <c r="V19" s="1" t="s">
        <v>1564</v>
      </c>
      <c r="W19" s="94" t="s">
        <v>1435</v>
      </c>
      <c r="Y19" s="99" t="s">
        <v>1473</v>
      </c>
      <c r="Z19" s="7" t="s">
        <v>1546</v>
      </c>
      <c r="AA19" s="94" t="s">
        <v>1341</v>
      </c>
      <c r="AC19" s="93">
        <v>136</v>
      </c>
      <c r="AD19" s="6" t="s">
        <v>1496</v>
      </c>
      <c r="AE19" s="94" t="s">
        <v>1347</v>
      </c>
    </row>
    <row r="20" spans="1:31" ht="14.25" customHeight="1" x14ac:dyDescent="0.2">
      <c r="A20" s="43">
        <v>19</v>
      </c>
      <c r="B20" s="44" t="s">
        <v>1587</v>
      </c>
      <c r="C20" s="33"/>
      <c r="D20" s="17"/>
      <c r="E20" s="17"/>
      <c r="G20" s="17"/>
      <c r="H20" s="17"/>
      <c r="J20" s="61" t="s">
        <v>210</v>
      </c>
      <c r="K20" s="62">
        <v>110</v>
      </c>
      <c r="L20" s="11"/>
      <c r="M20" s="70" t="s">
        <v>292</v>
      </c>
      <c r="N20" s="8" t="s">
        <v>293</v>
      </c>
      <c r="O20" s="71" t="s">
        <v>1619</v>
      </c>
      <c r="P20" s="8"/>
      <c r="Q20" s="80" t="s">
        <v>1385</v>
      </c>
      <c r="R20" s="65"/>
      <c r="S20" s="84" t="s">
        <v>1402</v>
      </c>
      <c r="T20" s="77"/>
      <c r="U20" s="95" t="s">
        <v>1470</v>
      </c>
      <c r="V20" s="1" t="s">
        <v>1565</v>
      </c>
      <c r="W20" s="94" t="s">
        <v>1435</v>
      </c>
      <c r="Y20" s="100" t="s">
        <v>1568</v>
      </c>
      <c r="Z20" s="101" t="s">
        <v>1547</v>
      </c>
      <c r="AA20" s="98" t="s">
        <v>1478</v>
      </c>
      <c r="AC20" s="93">
        <v>145</v>
      </c>
      <c r="AD20" s="6" t="s">
        <v>1505</v>
      </c>
      <c r="AE20" s="94" t="s">
        <v>1348</v>
      </c>
    </row>
    <row r="21" spans="1:31" ht="14.25" customHeight="1" x14ac:dyDescent="0.2">
      <c r="A21" s="43">
        <v>20</v>
      </c>
      <c r="B21" s="44" t="s">
        <v>1588</v>
      </c>
      <c r="C21" s="33"/>
      <c r="D21" s="17"/>
      <c r="E21" s="17"/>
      <c r="G21" s="17"/>
      <c r="H21" s="17"/>
      <c r="J21" s="61" t="s">
        <v>209</v>
      </c>
      <c r="K21" s="62">
        <v>111</v>
      </c>
      <c r="L21" s="11"/>
      <c r="M21" s="70" t="s">
        <v>295</v>
      </c>
      <c r="N21" s="8" t="s">
        <v>296</v>
      </c>
      <c r="O21" s="71" t="s">
        <v>1620</v>
      </c>
      <c r="P21" s="8"/>
      <c r="Q21" s="80" t="s">
        <v>1387</v>
      </c>
      <c r="R21" s="65"/>
      <c r="S21" s="84" t="s">
        <v>1409</v>
      </c>
      <c r="T21" s="77"/>
      <c r="U21" s="95" t="s">
        <v>1667</v>
      </c>
      <c r="V21" s="1" t="s">
        <v>1566</v>
      </c>
      <c r="W21" s="94" t="s">
        <v>1435</v>
      </c>
      <c r="AC21" s="93">
        <v>146</v>
      </c>
      <c r="AD21" s="6" t="s">
        <v>1506</v>
      </c>
      <c r="AE21" s="94" t="s">
        <v>1348</v>
      </c>
    </row>
    <row r="22" spans="1:31" ht="14.25" customHeight="1" x14ac:dyDescent="0.2">
      <c r="A22" s="43">
        <v>21</v>
      </c>
      <c r="B22" s="44" t="s">
        <v>1589</v>
      </c>
      <c r="C22" s="33"/>
      <c r="J22" s="61" t="s">
        <v>208</v>
      </c>
      <c r="K22" s="62">
        <v>112</v>
      </c>
      <c r="L22" s="11"/>
      <c r="M22" s="70" t="s">
        <v>298</v>
      </c>
      <c r="N22" s="8" t="s">
        <v>299</v>
      </c>
      <c r="O22" s="71" t="s">
        <v>1621</v>
      </c>
      <c r="P22" s="8"/>
      <c r="Q22" s="82" t="s">
        <v>1389</v>
      </c>
      <c r="R22" s="65"/>
      <c r="S22" s="84" t="s">
        <v>1412</v>
      </c>
      <c r="T22" s="77"/>
      <c r="U22" s="93">
        <v>100</v>
      </c>
      <c r="V22" s="6" t="s">
        <v>1567</v>
      </c>
      <c r="W22" s="94" t="s">
        <v>1342</v>
      </c>
      <c r="AC22" s="93">
        <v>147</v>
      </c>
      <c r="AD22" s="6" t="s">
        <v>1507</v>
      </c>
      <c r="AE22" s="94" t="s">
        <v>1348</v>
      </c>
    </row>
    <row r="23" spans="1:31" ht="14.25" customHeight="1" x14ac:dyDescent="0.2">
      <c r="A23" s="45">
        <v>22</v>
      </c>
      <c r="B23" s="46" t="s">
        <v>1590</v>
      </c>
      <c r="C23" s="33"/>
      <c r="J23" s="61" t="s">
        <v>207</v>
      </c>
      <c r="K23" s="62">
        <v>113</v>
      </c>
      <c r="L23" s="11"/>
      <c r="M23" s="70" t="s">
        <v>301</v>
      </c>
      <c r="N23" s="8" t="s">
        <v>302</v>
      </c>
      <c r="O23" s="71" t="s">
        <v>1622</v>
      </c>
      <c r="P23" s="8"/>
      <c r="Q23" s="7"/>
      <c r="R23" s="7"/>
      <c r="S23" s="84" t="s">
        <v>1410</v>
      </c>
      <c r="T23" s="77"/>
      <c r="U23" s="93">
        <v>101</v>
      </c>
      <c r="V23" s="6" t="s">
        <v>1480</v>
      </c>
      <c r="W23" s="94" t="s">
        <v>1342</v>
      </c>
      <c r="AC23" s="93">
        <v>148</v>
      </c>
      <c r="AD23" s="6" t="s">
        <v>1508</v>
      </c>
      <c r="AE23" s="94" t="s">
        <v>1348</v>
      </c>
    </row>
    <row r="24" spans="1:31" ht="14.25" customHeight="1" x14ac:dyDescent="0.2">
      <c r="J24" s="61" t="s">
        <v>206</v>
      </c>
      <c r="K24" s="62">
        <v>114</v>
      </c>
      <c r="L24" s="11"/>
      <c r="M24" s="70" t="s">
        <v>304</v>
      </c>
      <c r="N24" s="8" t="s">
        <v>305</v>
      </c>
      <c r="O24" s="71" t="s">
        <v>1623</v>
      </c>
      <c r="P24" s="8"/>
      <c r="Q24" s="3"/>
      <c r="R24" s="7"/>
      <c r="S24" s="85" t="s">
        <v>1405</v>
      </c>
      <c r="T24" s="77"/>
      <c r="U24" s="93">
        <v>102</v>
      </c>
      <c r="V24" s="6" t="s">
        <v>1481</v>
      </c>
      <c r="W24" s="94" t="s">
        <v>1342</v>
      </c>
      <c r="AC24" s="93">
        <v>149</v>
      </c>
      <c r="AD24" s="6" t="s">
        <v>1509</v>
      </c>
      <c r="AE24" s="94" t="s">
        <v>1348</v>
      </c>
    </row>
    <row r="25" spans="1:31" ht="14.25" customHeight="1" x14ac:dyDescent="0.2">
      <c r="J25" s="61" t="s">
        <v>203</v>
      </c>
      <c r="K25" s="62">
        <v>119</v>
      </c>
      <c r="L25" s="11"/>
      <c r="M25" s="70" t="s">
        <v>307</v>
      </c>
      <c r="N25" s="8" t="s">
        <v>308</v>
      </c>
      <c r="O25" s="71" t="s">
        <v>1624</v>
      </c>
      <c r="P25" s="8"/>
      <c r="Q25" s="3"/>
      <c r="R25" s="7"/>
      <c r="S25" s="85" t="s">
        <v>1372</v>
      </c>
      <c r="T25" s="77"/>
      <c r="U25" s="93">
        <v>103</v>
      </c>
      <c r="V25" s="6" t="s">
        <v>1482</v>
      </c>
      <c r="W25" s="94" t="s">
        <v>1342</v>
      </c>
      <c r="AC25" s="93">
        <v>130</v>
      </c>
      <c r="AD25" s="6" t="s">
        <v>1491</v>
      </c>
      <c r="AE25" s="94" t="s">
        <v>1344</v>
      </c>
    </row>
    <row r="26" spans="1:31" ht="14.25" customHeight="1" x14ac:dyDescent="0.2">
      <c r="J26" s="61" t="s">
        <v>526</v>
      </c>
      <c r="K26" s="62">
        <v>2767</v>
      </c>
      <c r="L26" s="11"/>
      <c r="M26" s="70" t="s">
        <v>310</v>
      </c>
      <c r="N26" s="8" t="s">
        <v>311</v>
      </c>
      <c r="O26" s="71" t="s">
        <v>1625</v>
      </c>
      <c r="P26" s="8"/>
      <c r="Q26" s="3"/>
      <c r="R26" s="7"/>
      <c r="S26" s="85" t="s">
        <v>1386</v>
      </c>
      <c r="T26" s="77"/>
      <c r="U26" s="93">
        <v>200</v>
      </c>
      <c r="V26" s="6" t="s">
        <v>1515</v>
      </c>
      <c r="W26" s="94" t="s">
        <v>1342</v>
      </c>
      <c r="AC26" s="93">
        <v>132</v>
      </c>
      <c r="AD26" s="6" t="s">
        <v>1493</v>
      </c>
      <c r="AE26" s="94" t="s">
        <v>1344</v>
      </c>
    </row>
    <row r="27" spans="1:31" ht="14.25" customHeight="1" x14ac:dyDescent="0.2">
      <c r="J27" s="61" t="s">
        <v>202</v>
      </c>
      <c r="K27" s="62">
        <v>120</v>
      </c>
      <c r="L27" s="11"/>
      <c r="M27" s="70" t="s">
        <v>313</v>
      </c>
      <c r="N27" s="8" t="s">
        <v>314</v>
      </c>
      <c r="O27" s="71" t="s">
        <v>1626</v>
      </c>
      <c r="P27" s="8"/>
      <c r="Q27" s="3"/>
      <c r="R27" s="7"/>
      <c r="S27" s="85" t="s">
        <v>1384</v>
      </c>
      <c r="T27" s="77"/>
      <c r="U27" s="93">
        <v>201</v>
      </c>
      <c r="V27" s="6" t="s">
        <v>1516</v>
      </c>
      <c r="W27" s="94" t="s">
        <v>1342</v>
      </c>
      <c r="AC27" s="95">
        <v>550</v>
      </c>
      <c r="AD27" s="2" t="s">
        <v>1528</v>
      </c>
      <c r="AE27" s="94" t="s">
        <v>1344</v>
      </c>
    </row>
    <row r="28" spans="1:31" ht="14.25" customHeight="1" x14ac:dyDescent="0.2">
      <c r="J28" s="61" t="s">
        <v>199</v>
      </c>
      <c r="K28" s="62">
        <v>123</v>
      </c>
      <c r="L28" s="11"/>
      <c r="M28" s="70" t="s">
        <v>316</v>
      </c>
      <c r="N28" s="8" t="s">
        <v>317</v>
      </c>
      <c r="O28" s="71" t="s">
        <v>1627</v>
      </c>
      <c r="P28" s="8"/>
      <c r="Q28" s="3"/>
      <c r="R28" s="7"/>
      <c r="S28" s="85" t="s">
        <v>1397</v>
      </c>
      <c r="T28" s="77"/>
      <c r="U28" s="93">
        <v>202</v>
      </c>
      <c r="V28" s="6" t="s">
        <v>1517</v>
      </c>
      <c r="W28" s="94" t="s">
        <v>1342</v>
      </c>
      <c r="AC28" s="95">
        <v>551</v>
      </c>
      <c r="AD28" s="2" t="s">
        <v>1529</v>
      </c>
      <c r="AE28" s="94" t="s">
        <v>1344</v>
      </c>
    </row>
    <row r="29" spans="1:31" ht="14.25" customHeight="1" x14ac:dyDescent="0.2">
      <c r="J29" s="61" t="s">
        <v>440</v>
      </c>
      <c r="K29" s="62">
        <v>3079</v>
      </c>
      <c r="L29" s="11"/>
      <c r="M29" s="70" t="s">
        <v>319</v>
      </c>
      <c r="N29" s="8" t="s">
        <v>320</v>
      </c>
      <c r="O29" s="71" t="s">
        <v>1628</v>
      </c>
      <c r="P29" s="8"/>
      <c r="Q29" s="3"/>
      <c r="R29" s="7"/>
      <c r="S29" s="85" t="s">
        <v>1393</v>
      </c>
      <c r="T29" s="77"/>
      <c r="U29" s="93">
        <v>230</v>
      </c>
      <c r="V29" s="6" t="s">
        <v>1518</v>
      </c>
      <c r="W29" s="94" t="s">
        <v>1342</v>
      </c>
      <c r="AC29" s="93">
        <v>131</v>
      </c>
      <c r="AD29" s="6" t="s">
        <v>1492</v>
      </c>
      <c r="AE29" s="94" t="s">
        <v>1345</v>
      </c>
    </row>
    <row r="30" spans="1:31" ht="14.25" customHeight="1" x14ac:dyDescent="0.2">
      <c r="J30" s="61" t="s">
        <v>201</v>
      </c>
      <c r="K30" s="62">
        <v>121</v>
      </c>
      <c r="L30" s="11"/>
      <c r="M30" s="70" t="s">
        <v>322</v>
      </c>
      <c r="N30" s="8" t="s">
        <v>323</v>
      </c>
      <c r="O30" s="71" t="s">
        <v>1629</v>
      </c>
      <c r="P30" s="8"/>
      <c r="Q30" s="3"/>
      <c r="R30" s="7"/>
      <c r="S30" s="85" t="s">
        <v>1390</v>
      </c>
      <c r="T30" s="77"/>
      <c r="U30" s="93">
        <v>231</v>
      </c>
      <c r="V30" s="6" t="s">
        <v>1519</v>
      </c>
      <c r="W30" s="94" t="s">
        <v>1342</v>
      </c>
      <c r="AC30" s="93">
        <v>141</v>
      </c>
      <c r="AD30" s="6" t="s">
        <v>1501</v>
      </c>
      <c r="AE30" s="94" t="s">
        <v>1345</v>
      </c>
    </row>
    <row r="31" spans="1:31" ht="14.25" customHeight="1" x14ac:dyDescent="0.2">
      <c r="J31" s="61" t="s">
        <v>200</v>
      </c>
      <c r="K31" s="62">
        <v>122</v>
      </c>
      <c r="L31" s="11"/>
      <c r="M31" s="70" t="s">
        <v>325</v>
      </c>
      <c r="N31" s="8" t="s">
        <v>326</v>
      </c>
      <c r="O31" s="71" t="s">
        <v>1630</v>
      </c>
      <c r="P31" s="8"/>
      <c r="Q31" s="3"/>
      <c r="R31" s="7"/>
      <c r="S31" s="85" t="s">
        <v>1378</v>
      </c>
      <c r="T31" s="77"/>
      <c r="U31" s="93">
        <v>235</v>
      </c>
      <c r="V31" s="6" t="s">
        <v>1520</v>
      </c>
      <c r="W31" s="94" t="s">
        <v>1342</v>
      </c>
      <c r="AC31" s="93">
        <v>142</v>
      </c>
      <c r="AD31" s="6" t="s">
        <v>1502</v>
      </c>
      <c r="AE31" s="94" t="s">
        <v>1345</v>
      </c>
    </row>
    <row r="32" spans="1:31" ht="14.25" customHeight="1" x14ac:dyDescent="0.2">
      <c r="J32" s="61" t="s">
        <v>564</v>
      </c>
      <c r="K32" s="62">
        <v>2701</v>
      </c>
      <c r="L32" s="11"/>
      <c r="M32" s="70" t="s">
        <v>328</v>
      </c>
      <c r="N32" s="8" t="s">
        <v>329</v>
      </c>
      <c r="O32" s="71" t="s">
        <v>1631</v>
      </c>
      <c r="P32" s="8"/>
      <c r="Q32" s="7"/>
      <c r="R32" s="7"/>
      <c r="S32" s="84" t="s">
        <v>1399</v>
      </c>
      <c r="T32" s="77"/>
      <c r="U32" s="93">
        <v>236</v>
      </c>
      <c r="V32" s="6" t="s">
        <v>1521</v>
      </c>
      <c r="W32" s="94" t="s">
        <v>1342</v>
      </c>
      <c r="AC32" s="93">
        <v>142</v>
      </c>
      <c r="AD32" s="6" t="s">
        <v>1503</v>
      </c>
      <c r="AE32" s="94" t="s">
        <v>1345</v>
      </c>
    </row>
    <row r="33" spans="10:31" ht="14.25" customHeight="1" x14ac:dyDescent="0.2">
      <c r="J33" s="61" t="s">
        <v>198</v>
      </c>
      <c r="K33" s="62">
        <v>124</v>
      </c>
      <c r="L33" s="11"/>
      <c r="M33" s="70" t="s">
        <v>331</v>
      </c>
      <c r="N33" s="8" t="s">
        <v>332</v>
      </c>
      <c r="O33" s="71" t="s">
        <v>1632</v>
      </c>
      <c r="P33" s="8"/>
      <c r="Q33" s="7"/>
      <c r="R33" s="7"/>
      <c r="S33" s="84" t="s">
        <v>1408</v>
      </c>
      <c r="T33" s="77"/>
      <c r="U33" s="93">
        <v>237</v>
      </c>
      <c r="V33" s="6" t="s">
        <v>1522</v>
      </c>
      <c r="W33" s="94" t="s">
        <v>1342</v>
      </c>
      <c r="AC33" s="93">
        <v>144</v>
      </c>
      <c r="AD33" s="6" t="s">
        <v>1504</v>
      </c>
      <c r="AE33" s="94" t="s">
        <v>1345</v>
      </c>
    </row>
    <row r="34" spans="10:31" ht="14.25" customHeight="1" x14ac:dyDescent="0.2">
      <c r="J34" s="61" t="s">
        <v>197</v>
      </c>
      <c r="K34" s="62">
        <v>125</v>
      </c>
      <c r="L34" s="11"/>
      <c r="M34" s="70" t="s">
        <v>334</v>
      </c>
      <c r="N34" s="8" t="s">
        <v>335</v>
      </c>
      <c r="O34" s="71" t="s">
        <v>1633</v>
      </c>
      <c r="P34" s="8"/>
      <c r="Q34" s="7"/>
      <c r="R34" s="7"/>
      <c r="S34" s="84" t="s">
        <v>1428</v>
      </c>
      <c r="T34" s="77"/>
      <c r="U34" s="93">
        <v>238</v>
      </c>
      <c r="V34" s="6" t="s">
        <v>1523</v>
      </c>
      <c r="W34" s="94" t="s">
        <v>1342</v>
      </c>
      <c r="AC34" s="93">
        <v>114</v>
      </c>
      <c r="AD34" s="6" t="s">
        <v>1483</v>
      </c>
      <c r="AE34" s="94" t="s">
        <v>1343</v>
      </c>
    </row>
    <row r="35" spans="10:31" ht="14.25" customHeight="1" x14ac:dyDescent="0.2">
      <c r="J35" s="61" t="s">
        <v>196</v>
      </c>
      <c r="K35" s="62">
        <v>127</v>
      </c>
      <c r="L35" s="11"/>
      <c r="M35" s="70" t="s">
        <v>337</v>
      </c>
      <c r="N35" s="8" t="s">
        <v>338</v>
      </c>
      <c r="O35" s="71" t="s">
        <v>1634</v>
      </c>
      <c r="P35" s="8"/>
      <c r="Q35" s="7"/>
      <c r="R35" s="7"/>
      <c r="S35" s="84" t="s">
        <v>1406</v>
      </c>
      <c r="T35" s="77"/>
      <c r="U35" s="93">
        <v>239</v>
      </c>
      <c r="V35" s="6" t="s">
        <v>1524</v>
      </c>
      <c r="W35" s="94" t="s">
        <v>1342</v>
      </c>
      <c r="AC35" s="93">
        <v>115</v>
      </c>
      <c r="AD35" s="6" t="s">
        <v>1484</v>
      </c>
      <c r="AE35" s="94" t="s">
        <v>1343</v>
      </c>
    </row>
    <row r="36" spans="10:31" ht="14.25" customHeight="1" x14ac:dyDescent="0.2">
      <c r="J36" s="61" t="s">
        <v>195</v>
      </c>
      <c r="K36" s="62">
        <v>129</v>
      </c>
      <c r="L36" s="11"/>
      <c r="M36" s="70" t="s">
        <v>340</v>
      </c>
      <c r="N36" s="8" t="s">
        <v>341</v>
      </c>
      <c r="O36" s="71" t="s">
        <v>1635</v>
      </c>
      <c r="P36" s="8"/>
      <c r="Q36" s="7"/>
      <c r="R36" s="7"/>
      <c r="S36" s="84" t="s">
        <v>1357</v>
      </c>
      <c r="T36" s="77"/>
      <c r="U36" s="93">
        <v>240</v>
      </c>
      <c r="V36" s="6" t="s">
        <v>1525</v>
      </c>
      <c r="W36" s="94" t="s">
        <v>1342</v>
      </c>
      <c r="AC36" s="93">
        <v>116</v>
      </c>
      <c r="AD36" s="6" t="s">
        <v>1485</v>
      </c>
      <c r="AE36" s="94" t="s">
        <v>1343</v>
      </c>
    </row>
    <row r="37" spans="10:31" ht="14.25" customHeight="1" x14ac:dyDescent="0.2">
      <c r="J37" s="61" t="s">
        <v>194</v>
      </c>
      <c r="K37" s="62">
        <v>131</v>
      </c>
      <c r="L37" s="11"/>
      <c r="M37" s="70" t="s">
        <v>343</v>
      </c>
      <c r="N37" s="8" t="s">
        <v>344</v>
      </c>
      <c r="O37" s="71" t="s">
        <v>1636</v>
      </c>
      <c r="P37" s="8"/>
      <c r="Q37" s="3"/>
      <c r="R37" s="7"/>
      <c r="S37" s="85" t="s">
        <v>1401</v>
      </c>
      <c r="T37" s="77"/>
      <c r="U37" s="96">
        <v>241</v>
      </c>
      <c r="V37" s="97" t="s">
        <v>1526</v>
      </c>
      <c r="W37" s="98" t="s">
        <v>1342</v>
      </c>
      <c r="AC37" s="93">
        <v>117</v>
      </c>
      <c r="AD37" s="6" t="s">
        <v>1486</v>
      </c>
      <c r="AE37" s="94" t="s">
        <v>1343</v>
      </c>
    </row>
    <row r="38" spans="10:31" ht="14.25" customHeight="1" x14ac:dyDescent="0.2">
      <c r="J38" s="61" t="s">
        <v>560</v>
      </c>
      <c r="K38" s="62">
        <v>2705</v>
      </c>
      <c r="L38" s="11"/>
      <c r="M38" s="70" t="s">
        <v>346</v>
      </c>
      <c r="N38" s="8" t="s">
        <v>347</v>
      </c>
      <c r="O38" s="71" t="s">
        <v>1637</v>
      </c>
      <c r="P38" s="8"/>
      <c r="Q38" s="7"/>
      <c r="R38" s="7"/>
      <c r="S38" s="84" t="s">
        <v>1426</v>
      </c>
      <c r="T38" s="77"/>
      <c r="AC38" s="93">
        <v>118</v>
      </c>
      <c r="AD38" s="6" t="s">
        <v>1487</v>
      </c>
      <c r="AE38" s="94" t="s">
        <v>1343</v>
      </c>
    </row>
    <row r="39" spans="10:31" ht="14.25" customHeight="1" x14ac:dyDescent="0.2">
      <c r="J39" s="61" t="s">
        <v>193</v>
      </c>
      <c r="K39" s="62">
        <v>132</v>
      </c>
      <c r="L39" s="11"/>
      <c r="M39" s="70" t="s">
        <v>349</v>
      </c>
      <c r="N39" s="8" t="s">
        <v>350</v>
      </c>
      <c r="O39" s="71" t="s">
        <v>1638</v>
      </c>
      <c r="P39" s="8"/>
      <c r="Q39" s="7"/>
      <c r="R39" s="7"/>
      <c r="S39" s="84" t="s">
        <v>1382</v>
      </c>
      <c r="T39" s="77"/>
      <c r="AC39" s="93">
        <v>119</v>
      </c>
      <c r="AD39" s="6" t="s">
        <v>1488</v>
      </c>
      <c r="AE39" s="94" t="s">
        <v>1343</v>
      </c>
    </row>
    <row r="40" spans="10:31" ht="14.25" customHeight="1" x14ac:dyDescent="0.2">
      <c r="J40" s="61" t="s">
        <v>192</v>
      </c>
      <c r="K40" s="62">
        <v>135</v>
      </c>
      <c r="L40" s="11"/>
      <c r="M40" s="70" t="s">
        <v>352</v>
      </c>
      <c r="N40" s="8" t="s">
        <v>353</v>
      </c>
      <c r="O40" s="71" t="s">
        <v>1639</v>
      </c>
      <c r="P40" s="8"/>
      <c r="Q40" s="7"/>
      <c r="R40" s="7"/>
      <c r="S40" s="84" t="s">
        <v>1353</v>
      </c>
      <c r="T40" s="77"/>
      <c r="AC40" s="93">
        <v>120</v>
      </c>
      <c r="AD40" s="6" t="s">
        <v>1489</v>
      </c>
      <c r="AE40" s="94" t="s">
        <v>1343</v>
      </c>
    </row>
    <row r="41" spans="10:31" ht="14.25" customHeight="1" x14ac:dyDescent="0.2">
      <c r="J41" s="61" t="s">
        <v>191</v>
      </c>
      <c r="K41" s="62">
        <v>136</v>
      </c>
      <c r="L41" s="11"/>
      <c r="M41" s="70" t="s">
        <v>355</v>
      </c>
      <c r="N41" s="8" t="s">
        <v>356</v>
      </c>
      <c r="O41" s="71" t="s">
        <v>1640</v>
      </c>
      <c r="P41" s="8"/>
      <c r="Q41" s="7"/>
      <c r="R41" s="7"/>
      <c r="S41" s="84" t="s">
        <v>1404</v>
      </c>
      <c r="T41" s="77"/>
      <c r="AC41" s="93">
        <v>121</v>
      </c>
      <c r="AD41" s="6" t="s">
        <v>1490</v>
      </c>
      <c r="AE41" s="94" t="s">
        <v>1343</v>
      </c>
    </row>
    <row r="42" spans="10:31" ht="14.25" customHeight="1" x14ac:dyDescent="0.2">
      <c r="J42" s="61" t="s">
        <v>190</v>
      </c>
      <c r="K42" s="62">
        <v>139</v>
      </c>
      <c r="L42" s="11"/>
      <c r="M42" s="72" t="s">
        <v>1449</v>
      </c>
      <c r="N42" s="40" t="s">
        <v>1448</v>
      </c>
      <c r="O42" s="73" t="s">
        <v>1641</v>
      </c>
      <c r="P42" s="40"/>
      <c r="Q42" s="7"/>
      <c r="R42" s="7"/>
      <c r="S42" s="84" t="s">
        <v>1415</v>
      </c>
      <c r="T42" s="77"/>
      <c r="AC42" s="93">
        <v>138</v>
      </c>
      <c r="AD42" s="6" t="s">
        <v>1498</v>
      </c>
      <c r="AE42" s="94" t="s">
        <v>1343</v>
      </c>
    </row>
    <row r="43" spans="10:31" ht="14.25" customHeight="1" x14ac:dyDescent="0.2">
      <c r="J43" s="61" t="s">
        <v>189</v>
      </c>
      <c r="K43" s="62">
        <v>141</v>
      </c>
      <c r="L43" s="11"/>
      <c r="M43" s="72" t="s">
        <v>1451</v>
      </c>
      <c r="N43" s="40" t="s">
        <v>1450</v>
      </c>
      <c r="O43" s="73" t="s">
        <v>1642</v>
      </c>
      <c r="P43" s="40"/>
      <c r="Q43" s="7"/>
      <c r="R43" s="7"/>
      <c r="S43" s="84" t="s">
        <v>1355</v>
      </c>
      <c r="T43" s="77"/>
      <c r="AC43" s="93">
        <v>139</v>
      </c>
      <c r="AD43" s="6" t="s">
        <v>1499</v>
      </c>
      <c r="AE43" s="94" t="s">
        <v>1343</v>
      </c>
    </row>
    <row r="44" spans="10:31" ht="14.25" customHeight="1" x14ac:dyDescent="0.2">
      <c r="J44" s="61" t="s">
        <v>521</v>
      </c>
      <c r="K44" s="62">
        <v>2786</v>
      </c>
      <c r="L44" s="11"/>
      <c r="M44" s="72" t="s">
        <v>1453</v>
      </c>
      <c r="N44" s="40" t="s">
        <v>1452</v>
      </c>
      <c r="O44" s="73" t="s">
        <v>1643</v>
      </c>
      <c r="P44" s="40"/>
      <c r="Q44" s="7"/>
      <c r="R44" s="7"/>
      <c r="S44" s="84" t="s">
        <v>1396</v>
      </c>
      <c r="T44" s="77"/>
      <c r="AC44" s="93">
        <v>140</v>
      </c>
      <c r="AD44" s="6" t="s">
        <v>1500</v>
      </c>
      <c r="AE44" s="94" t="s">
        <v>1343</v>
      </c>
    </row>
    <row r="45" spans="10:31" ht="14.25" customHeight="1" x14ac:dyDescent="0.2">
      <c r="J45" s="61" t="s">
        <v>679</v>
      </c>
      <c r="K45" s="62">
        <v>2320</v>
      </c>
      <c r="L45" s="11"/>
      <c r="M45" s="72" t="s">
        <v>1455</v>
      </c>
      <c r="N45" s="40" t="s">
        <v>1454</v>
      </c>
      <c r="O45" s="73" t="s">
        <v>1644</v>
      </c>
      <c r="P45" s="40"/>
      <c r="Q45" s="7"/>
      <c r="R45" s="7"/>
      <c r="S45" s="84" t="s">
        <v>1398</v>
      </c>
      <c r="T45" s="77"/>
      <c r="AC45" s="93">
        <v>154</v>
      </c>
      <c r="AD45" s="6" t="s">
        <v>1514</v>
      </c>
      <c r="AE45" s="94" t="s">
        <v>1343</v>
      </c>
    </row>
    <row r="46" spans="10:31" ht="14.25" customHeight="1" x14ac:dyDescent="0.2">
      <c r="J46" s="61" t="s">
        <v>411</v>
      </c>
      <c r="K46" s="62">
        <v>3263</v>
      </c>
      <c r="L46" s="11"/>
      <c r="M46" s="72" t="s">
        <v>1457</v>
      </c>
      <c r="N46" s="40" t="s">
        <v>1456</v>
      </c>
      <c r="O46" s="73" t="s">
        <v>1645</v>
      </c>
      <c r="P46" s="40"/>
      <c r="Q46" s="7"/>
      <c r="R46" s="7"/>
      <c r="S46" s="84" t="s">
        <v>1351</v>
      </c>
      <c r="T46" s="77"/>
      <c r="AC46" s="93">
        <v>133</v>
      </c>
      <c r="AD46" s="6" t="s">
        <v>1494</v>
      </c>
      <c r="AE46" s="94" t="s">
        <v>1346</v>
      </c>
    </row>
    <row r="47" spans="10:31" ht="14.25" customHeight="1" x14ac:dyDescent="0.2">
      <c r="J47" s="61" t="s">
        <v>188</v>
      </c>
      <c r="K47" s="62">
        <v>144</v>
      </c>
      <c r="L47" s="11"/>
      <c r="M47" s="72" t="s">
        <v>1459</v>
      </c>
      <c r="N47" s="40" t="s">
        <v>1458</v>
      </c>
      <c r="O47" s="73" t="s">
        <v>1646</v>
      </c>
      <c r="P47" s="40"/>
      <c r="Q47" s="7"/>
      <c r="R47" s="7"/>
      <c r="S47" s="87" t="s">
        <v>1651</v>
      </c>
      <c r="T47" s="78"/>
      <c r="AC47" s="93">
        <v>134</v>
      </c>
      <c r="AD47" s="6" t="s">
        <v>1495</v>
      </c>
      <c r="AE47" s="94" t="s">
        <v>1346</v>
      </c>
    </row>
    <row r="48" spans="10:31" ht="14.25" customHeight="1" x14ac:dyDescent="0.2">
      <c r="J48" s="61" t="s">
        <v>187</v>
      </c>
      <c r="K48" s="62">
        <v>151</v>
      </c>
      <c r="L48" s="11"/>
      <c r="M48" s="72" t="s">
        <v>1461</v>
      </c>
      <c r="N48" s="40" t="s">
        <v>1460</v>
      </c>
      <c r="O48" s="73" t="s">
        <v>1647</v>
      </c>
      <c r="P48" s="40"/>
      <c r="Q48" s="7"/>
      <c r="R48" s="7"/>
      <c r="S48" s="87" t="s">
        <v>1447</v>
      </c>
      <c r="T48" s="78"/>
      <c r="AC48" s="93">
        <v>137</v>
      </c>
      <c r="AD48" s="6" t="s">
        <v>1497</v>
      </c>
      <c r="AE48" s="94" t="s">
        <v>1346</v>
      </c>
    </row>
    <row r="49" spans="10:31" ht="14.25" customHeight="1" x14ac:dyDescent="0.2">
      <c r="J49" s="61" t="s">
        <v>186</v>
      </c>
      <c r="K49" s="62">
        <v>152</v>
      </c>
      <c r="L49" s="11"/>
      <c r="M49" s="72" t="s">
        <v>1463</v>
      </c>
      <c r="N49" s="40" t="s">
        <v>1462</v>
      </c>
      <c r="O49" s="73" t="s">
        <v>1648</v>
      </c>
      <c r="P49" s="40"/>
      <c r="Q49" s="7"/>
      <c r="R49" s="7"/>
      <c r="S49" s="84" t="s">
        <v>1431</v>
      </c>
      <c r="T49" s="77"/>
      <c r="AC49" s="93">
        <v>150</v>
      </c>
      <c r="AD49" s="6" t="s">
        <v>1510</v>
      </c>
      <c r="AE49" s="94" t="s">
        <v>1349</v>
      </c>
    </row>
    <row r="50" spans="10:31" ht="14.25" customHeight="1" x14ac:dyDescent="0.2">
      <c r="J50" s="61" t="s">
        <v>185</v>
      </c>
      <c r="K50" s="62">
        <v>153</v>
      </c>
      <c r="L50" s="11"/>
      <c r="M50" s="72" t="s">
        <v>1464</v>
      </c>
      <c r="N50" s="40" t="s">
        <v>1479</v>
      </c>
      <c r="O50" s="73" t="s">
        <v>1649</v>
      </c>
      <c r="P50" s="40"/>
      <c r="Q50" s="7"/>
      <c r="R50" s="7"/>
      <c r="S50" s="84" t="s">
        <v>1413</v>
      </c>
      <c r="T50" s="77"/>
      <c r="AC50" s="93">
        <v>151</v>
      </c>
      <c r="AD50" s="6" t="s">
        <v>1511</v>
      </c>
      <c r="AE50" s="94" t="s">
        <v>1349</v>
      </c>
    </row>
    <row r="51" spans="10:31" ht="14.25" customHeight="1" x14ac:dyDescent="0.2">
      <c r="J51" s="61" t="s">
        <v>620</v>
      </c>
      <c r="K51" s="62">
        <v>2603</v>
      </c>
      <c r="L51" s="11"/>
      <c r="M51" s="74" t="s">
        <v>1466</v>
      </c>
      <c r="N51" s="75" t="s">
        <v>1465</v>
      </c>
      <c r="O51" s="76" t="s">
        <v>1650</v>
      </c>
      <c r="P51" s="40"/>
      <c r="Q51" s="7"/>
      <c r="R51" s="7"/>
      <c r="S51" s="84" t="s">
        <v>1420</v>
      </c>
      <c r="T51" s="77"/>
      <c r="AC51" s="93">
        <v>152</v>
      </c>
      <c r="AD51" s="6" t="s">
        <v>1512</v>
      </c>
      <c r="AE51" s="94" t="s">
        <v>1349</v>
      </c>
    </row>
    <row r="52" spans="10:31" ht="14.25" customHeight="1" x14ac:dyDescent="0.2">
      <c r="J52" s="61" t="s">
        <v>621</v>
      </c>
      <c r="K52" s="62">
        <v>2602</v>
      </c>
      <c r="L52" s="11"/>
      <c r="O52" s="12"/>
      <c r="P52" s="12"/>
      <c r="Q52" s="7"/>
      <c r="R52" s="7"/>
      <c r="S52" s="84" t="s">
        <v>1429</v>
      </c>
      <c r="T52" s="77"/>
      <c r="AC52" s="96">
        <v>153</v>
      </c>
      <c r="AD52" s="97" t="s">
        <v>1513</v>
      </c>
      <c r="AE52" s="98" t="s">
        <v>1349</v>
      </c>
    </row>
    <row r="53" spans="10:31" ht="14.25" customHeight="1" x14ac:dyDescent="0.2">
      <c r="J53" s="61" t="s">
        <v>393</v>
      </c>
      <c r="K53" s="62">
        <v>3377</v>
      </c>
      <c r="L53" s="11"/>
      <c r="O53" s="12"/>
      <c r="P53" s="12"/>
      <c r="Q53" s="7"/>
      <c r="R53" s="7"/>
      <c r="S53" s="84" t="s">
        <v>1414</v>
      </c>
      <c r="T53" s="77"/>
    </row>
    <row r="54" spans="10:31" ht="14.25" customHeight="1" x14ac:dyDescent="0.2">
      <c r="J54" s="61" t="s">
        <v>357</v>
      </c>
      <c r="K54" s="62">
        <v>4325</v>
      </c>
      <c r="L54" s="11"/>
      <c r="O54" s="12"/>
      <c r="P54" s="12"/>
      <c r="Q54" s="7"/>
      <c r="R54" s="7"/>
      <c r="S54" s="84" t="s">
        <v>1416</v>
      </c>
      <c r="T54" s="77"/>
    </row>
    <row r="55" spans="10:31" ht="14.25" customHeight="1" x14ac:dyDescent="0.2">
      <c r="J55" s="61" t="s">
        <v>184</v>
      </c>
      <c r="K55" s="62">
        <v>156</v>
      </c>
      <c r="L55" s="11"/>
      <c r="O55" s="12"/>
      <c r="P55" s="12"/>
      <c r="Q55" s="7"/>
      <c r="R55" s="7"/>
      <c r="S55" s="84" t="s">
        <v>1424</v>
      </c>
      <c r="T55" s="77"/>
    </row>
    <row r="56" spans="10:31" ht="14.25" customHeight="1" x14ac:dyDescent="0.2">
      <c r="J56" s="61" t="s">
        <v>183</v>
      </c>
      <c r="K56" s="62">
        <v>158</v>
      </c>
      <c r="L56" s="11"/>
      <c r="O56" s="12"/>
      <c r="P56" s="12"/>
      <c r="Q56" s="7"/>
      <c r="R56" s="7"/>
      <c r="S56" s="84" t="s">
        <v>1417</v>
      </c>
      <c r="T56" s="77"/>
    </row>
    <row r="57" spans="10:31" ht="14.25" customHeight="1" x14ac:dyDescent="0.2">
      <c r="J57" s="61" t="s">
        <v>916</v>
      </c>
      <c r="K57" s="62">
        <v>1455</v>
      </c>
      <c r="L57" s="11"/>
      <c r="O57" s="12"/>
      <c r="P57" s="12"/>
      <c r="Q57" s="3"/>
      <c r="R57" s="7"/>
      <c r="S57" s="85" t="s">
        <v>1366</v>
      </c>
      <c r="T57" s="77"/>
    </row>
    <row r="58" spans="10:31" ht="14.25" customHeight="1" x14ac:dyDescent="0.2">
      <c r="J58" s="61" t="s">
        <v>915</v>
      </c>
      <c r="K58" s="62">
        <v>1460</v>
      </c>
      <c r="L58" s="11"/>
      <c r="O58" s="12"/>
      <c r="P58" s="12"/>
      <c r="Q58" s="3"/>
      <c r="R58" s="7"/>
      <c r="S58" s="85" t="s">
        <v>1380</v>
      </c>
      <c r="T58" s="77"/>
    </row>
    <row r="59" spans="10:31" ht="14.25" customHeight="1" x14ac:dyDescent="0.2">
      <c r="J59" s="61" t="s">
        <v>913</v>
      </c>
      <c r="K59" s="62">
        <v>1463</v>
      </c>
      <c r="L59" s="11"/>
      <c r="O59" s="12"/>
      <c r="P59" s="12"/>
      <c r="Q59" s="3"/>
      <c r="R59" s="7"/>
      <c r="S59" s="85" t="s">
        <v>1388</v>
      </c>
      <c r="T59" s="77"/>
    </row>
    <row r="60" spans="10:31" ht="14.25" customHeight="1" x14ac:dyDescent="0.2">
      <c r="J60" s="61" t="s">
        <v>182</v>
      </c>
      <c r="K60" s="62">
        <v>161</v>
      </c>
      <c r="L60" s="11"/>
      <c r="O60" s="12"/>
      <c r="P60" s="12"/>
      <c r="Q60" s="7"/>
      <c r="R60" s="7"/>
      <c r="S60" s="84" t="s">
        <v>1395</v>
      </c>
      <c r="T60" s="77"/>
    </row>
    <row r="61" spans="10:31" ht="14.25" customHeight="1" x14ac:dyDescent="0.2">
      <c r="J61" s="61" t="s">
        <v>181</v>
      </c>
      <c r="K61" s="62">
        <v>163</v>
      </c>
      <c r="L61" s="11"/>
      <c r="O61" s="12"/>
      <c r="P61" s="12"/>
      <c r="Q61" s="3"/>
      <c r="R61" s="7"/>
      <c r="S61" s="85" t="s">
        <v>1391</v>
      </c>
      <c r="T61" s="77"/>
    </row>
    <row r="62" spans="10:31" ht="14.25" customHeight="1" x14ac:dyDescent="0.2">
      <c r="J62" s="61" t="s">
        <v>753</v>
      </c>
      <c r="K62" s="62">
        <v>2056</v>
      </c>
      <c r="L62" s="11"/>
      <c r="O62" s="12"/>
      <c r="P62" s="12"/>
      <c r="Q62" s="3"/>
      <c r="R62" s="7"/>
      <c r="S62" s="85" t="s">
        <v>1394</v>
      </c>
      <c r="T62" s="77"/>
    </row>
    <row r="63" spans="10:31" ht="14.25" customHeight="1" x14ac:dyDescent="0.2">
      <c r="J63" s="61" t="s">
        <v>752</v>
      </c>
      <c r="K63" s="62">
        <v>2057</v>
      </c>
      <c r="L63" s="11"/>
      <c r="O63" s="12"/>
      <c r="P63" s="12"/>
      <c r="Q63" s="3"/>
      <c r="R63" s="7"/>
      <c r="S63" s="85" t="s">
        <v>1374</v>
      </c>
      <c r="T63" s="77"/>
    </row>
    <row r="64" spans="10:31" ht="14.25" customHeight="1" x14ac:dyDescent="0.2">
      <c r="J64" s="61" t="s">
        <v>912</v>
      </c>
      <c r="K64" s="62">
        <v>1464</v>
      </c>
      <c r="L64" s="11"/>
      <c r="O64" s="12"/>
      <c r="P64" s="12"/>
      <c r="Q64" s="3"/>
      <c r="R64" s="7"/>
      <c r="S64" s="85" t="s">
        <v>1370</v>
      </c>
      <c r="T64" s="77"/>
    </row>
    <row r="65" spans="10:20" ht="14.25" customHeight="1" x14ac:dyDescent="0.2">
      <c r="J65" s="61" t="s">
        <v>911</v>
      </c>
      <c r="K65" s="62">
        <v>1465</v>
      </c>
      <c r="L65" s="11"/>
      <c r="O65" s="12"/>
      <c r="P65" s="12"/>
      <c r="Q65" s="7"/>
      <c r="R65" s="7"/>
      <c r="S65" s="84" t="s">
        <v>1376</v>
      </c>
      <c r="T65" s="77"/>
    </row>
    <row r="66" spans="10:20" ht="14.25" customHeight="1" x14ac:dyDescent="0.2">
      <c r="J66" s="61" t="s">
        <v>910</v>
      </c>
      <c r="K66" s="62">
        <v>1466</v>
      </c>
      <c r="L66" s="11"/>
      <c r="O66" s="12"/>
      <c r="P66" s="12"/>
      <c r="Q66" s="3"/>
      <c r="R66" s="7"/>
      <c r="S66" s="85" t="s">
        <v>1368</v>
      </c>
      <c r="T66" s="77"/>
    </row>
    <row r="67" spans="10:20" ht="14.25" customHeight="1" x14ac:dyDescent="0.2">
      <c r="J67" s="61" t="s">
        <v>180</v>
      </c>
      <c r="K67" s="62">
        <v>166</v>
      </c>
      <c r="L67" s="11"/>
      <c r="O67" s="12"/>
      <c r="P67" s="12"/>
      <c r="Q67" s="3"/>
      <c r="R67" s="7"/>
      <c r="S67" s="85" t="s">
        <v>1437</v>
      </c>
      <c r="T67" s="77"/>
    </row>
    <row r="68" spans="10:20" ht="14.25" customHeight="1" x14ac:dyDescent="0.2">
      <c r="J68" s="61" t="s">
        <v>693</v>
      </c>
      <c r="K68" s="62">
        <v>2256</v>
      </c>
      <c r="L68" s="11"/>
      <c r="O68" s="12"/>
      <c r="P68" s="12"/>
      <c r="Q68" s="3"/>
      <c r="R68" s="7"/>
      <c r="S68" s="86" t="s">
        <v>1438</v>
      </c>
      <c r="T68" s="7"/>
    </row>
    <row r="69" spans="10:20" ht="14.25" customHeight="1" x14ac:dyDescent="0.2">
      <c r="J69" s="61" t="s">
        <v>179</v>
      </c>
      <c r="K69" s="62">
        <v>167</v>
      </c>
      <c r="L69" s="11"/>
      <c r="O69" s="12"/>
      <c r="P69" s="12"/>
      <c r="Q69" s="3"/>
      <c r="R69" s="7"/>
      <c r="S69" s="86" t="s">
        <v>1439</v>
      </c>
      <c r="T69" s="7"/>
    </row>
    <row r="70" spans="10:20" ht="14.25" customHeight="1" x14ac:dyDescent="0.2">
      <c r="J70" s="61" t="s">
        <v>138</v>
      </c>
      <c r="K70" s="62">
        <v>262</v>
      </c>
      <c r="L70" s="11"/>
      <c r="O70" s="12"/>
      <c r="P70" s="12"/>
      <c r="Q70" s="3"/>
      <c r="R70" s="7"/>
      <c r="S70" s="88" t="s">
        <v>1440</v>
      </c>
      <c r="T70" s="7"/>
    </row>
    <row r="71" spans="10:20" ht="14.25" customHeight="1" x14ac:dyDescent="0.2">
      <c r="J71" s="61" t="s">
        <v>909</v>
      </c>
      <c r="K71" s="62">
        <v>1469</v>
      </c>
      <c r="L71" s="11"/>
      <c r="O71" s="12"/>
      <c r="P71" s="12"/>
      <c r="Q71" s="13"/>
      <c r="R71" s="13"/>
    </row>
    <row r="72" spans="10:20" ht="14.25" customHeight="1" x14ac:dyDescent="0.2">
      <c r="J72" s="61" t="s">
        <v>178</v>
      </c>
      <c r="K72" s="62">
        <v>168</v>
      </c>
      <c r="L72" s="11"/>
      <c r="O72" s="12"/>
      <c r="P72" s="12"/>
      <c r="Q72" s="13"/>
      <c r="R72" s="13"/>
    </row>
    <row r="73" spans="10:20" ht="14.25" customHeight="1" x14ac:dyDescent="0.2">
      <c r="J73" s="61" t="s">
        <v>751</v>
      </c>
      <c r="K73" s="62">
        <v>2059</v>
      </c>
      <c r="L73" s="11"/>
      <c r="O73" s="12"/>
      <c r="P73" s="12"/>
      <c r="Q73" s="13"/>
      <c r="R73" s="13"/>
    </row>
    <row r="74" spans="10:20" ht="14.25" customHeight="1" x14ac:dyDescent="0.2">
      <c r="J74" s="61" t="s">
        <v>750</v>
      </c>
      <c r="K74" s="62">
        <v>2060</v>
      </c>
      <c r="L74" s="11"/>
      <c r="O74" s="12"/>
      <c r="P74" s="12"/>
      <c r="Q74" s="13"/>
      <c r="R74" s="13"/>
    </row>
    <row r="75" spans="10:20" ht="14.25" customHeight="1" x14ac:dyDescent="0.2">
      <c r="J75" s="61" t="s">
        <v>392</v>
      </c>
      <c r="K75" s="62">
        <v>3385</v>
      </c>
      <c r="L75" s="11"/>
      <c r="O75" s="12"/>
      <c r="P75" s="12"/>
      <c r="Q75" s="13"/>
      <c r="R75" s="13"/>
    </row>
    <row r="76" spans="10:20" ht="14.25" customHeight="1" x14ac:dyDescent="0.2">
      <c r="J76" s="61" t="s">
        <v>177</v>
      </c>
      <c r="K76" s="62">
        <v>171</v>
      </c>
      <c r="L76" s="11"/>
      <c r="O76" s="12"/>
      <c r="P76" s="12"/>
      <c r="Q76" s="13"/>
      <c r="R76" s="13"/>
    </row>
    <row r="77" spans="10:20" ht="14.25" customHeight="1" x14ac:dyDescent="0.2">
      <c r="J77" s="61" t="s">
        <v>176</v>
      </c>
      <c r="K77" s="62">
        <v>173</v>
      </c>
      <c r="L77" s="11"/>
      <c r="O77" s="12"/>
      <c r="P77" s="12"/>
      <c r="Q77" s="13"/>
      <c r="R77" s="13"/>
    </row>
    <row r="78" spans="10:20" ht="14.25" customHeight="1" x14ac:dyDescent="0.2">
      <c r="J78" s="61" t="s">
        <v>175</v>
      </c>
      <c r="K78" s="62">
        <v>174</v>
      </c>
      <c r="L78" s="11"/>
      <c r="O78" s="12"/>
      <c r="P78" s="12"/>
      <c r="Q78" s="13"/>
      <c r="R78" s="13"/>
    </row>
    <row r="79" spans="10:20" ht="14.25" customHeight="1" x14ac:dyDescent="0.2">
      <c r="J79" s="61" t="s">
        <v>174</v>
      </c>
      <c r="K79" s="62">
        <v>175</v>
      </c>
      <c r="L79" s="11"/>
      <c r="O79" s="12"/>
      <c r="P79" s="12"/>
      <c r="Q79" s="13"/>
      <c r="R79" s="13"/>
    </row>
    <row r="80" spans="10:20" ht="14.25" customHeight="1" x14ac:dyDescent="0.2">
      <c r="J80" s="61" t="s">
        <v>173</v>
      </c>
      <c r="K80" s="62">
        <v>177</v>
      </c>
      <c r="L80" s="11"/>
      <c r="O80" s="12"/>
      <c r="P80" s="12"/>
      <c r="Q80" s="13"/>
      <c r="R80" s="13"/>
    </row>
    <row r="81" spans="10:18" ht="14.25" customHeight="1" x14ac:dyDescent="0.2">
      <c r="J81" s="61" t="s">
        <v>172</v>
      </c>
      <c r="K81" s="62">
        <v>180</v>
      </c>
      <c r="L81" s="11"/>
      <c r="O81" s="12"/>
      <c r="P81" s="12"/>
      <c r="Q81" s="13"/>
      <c r="R81" s="13"/>
    </row>
    <row r="82" spans="10:18" ht="14.25" customHeight="1" x14ac:dyDescent="0.2">
      <c r="J82" s="61" t="s">
        <v>171</v>
      </c>
      <c r="K82" s="62">
        <v>185</v>
      </c>
      <c r="L82" s="11"/>
      <c r="O82" s="12"/>
      <c r="P82" s="12"/>
      <c r="Q82" s="13"/>
      <c r="R82" s="13"/>
    </row>
    <row r="83" spans="10:18" ht="14.25" customHeight="1" x14ac:dyDescent="0.2">
      <c r="J83" s="61" t="s">
        <v>527</v>
      </c>
      <c r="K83" s="62">
        <v>2765</v>
      </c>
      <c r="L83" s="11"/>
      <c r="O83" s="12"/>
      <c r="P83" s="12"/>
      <c r="Q83" s="13"/>
      <c r="R83" s="13"/>
    </row>
    <row r="84" spans="10:18" ht="14.25" customHeight="1" x14ac:dyDescent="0.2">
      <c r="J84" s="61" t="s">
        <v>170</v>
      </c>
      <c r="K84" s="62">
        <v>186</v>
      </c>
      <c r="L84" s="11"/>
      <c r="O84" s="12"/>
      <c r="P84" s="12"/>
      <c r="Q84" s="13"/>
      <c r="R84" s="13"/>
    </row>
    <row r="85" spans="10:18" ht="14.25" customHeight="1" x14ac:dyDescent="0.2">
      <c r="J85" s="61" t="s">
        <v>520</v>
      </c>
      <c r="K85" s="62">
        <v>2792</v>
      </c>
      <c r="L85" s="11"/>
      <c r="O85" s="12"/>
      <c r="P85" s="12"/>
      <c r="Q85" s="13"/>
      <c r="R85" s="13"/>
    </row>
    <row r="86" spans="10:18" ht="14.25" customHeight="1" x14ac:dyDescent="0.2">
      <c r="J86" s="61" t="s">
        <v>169</v>
      </c>
      <c r="K86" s="62">
        <v>188</v>
      </c>
      <c r="L86" s="11"/>
      <c r="O86" s="12"/>
      <c r="P86" s="12"/>
      <c r="Q86" s="13"/>
      <c r="R86" s="13"/>
    </row>
    <row r="87" spans="10:18" ht="14.25" customHeight="1" x14ac:dyDescent="0.2">
      <c r="J87" s="61" t="s">
        <v>168</v>
      </c>
      <c r="K87" s="62">
        <v>189</v>
      </c>
      <c r="L87" s="11"/>
      <c r="O87" s="12"/>
      <c r="P87" s="12"/>
      <c r="Q87" s="13"/>
      <c r="R87" s="13"/>
    </row>
    <row r="88" spans="10:18" ht="14.25" customHeight="1" x14ac:dyDescent="0.2">
      <c r="J88" s="61" t="s">
        <v>167</v>
      </c>
      <c r="K88" s="62">
        <v>194</v>
      </c>
      <c r="L88" s="11"/>
      <c r="O88" s="12"/>
      <c r="P88" s="12"/>
      <c r="Q88" s="13"/>
      <c r="R88" s="13"/>
    </row>
    <row r="89" spans="10:18" ht="14.25" customHeight="1" x14ac:dyDescent="0.2">
      <c r="J89" s="61" t="s">
        <v>166</v>
      </c>
      <c r="K89" s="62">
        <v>195</v>
      </c>
      <c r="L89" s="11"/>
      <c r="O89" s="12"/>
      <c r="P89" s="12"/>
      <c r="Q89" s="13"/>
      <c r="R89" s="13"/>
    </row>
    <row r="90" spans="10:18" ht="14.25" customHeight="1" x14ac:dyDescent="0.2">
      <c r="J90" s="61" t="s">
        <v>165</v>
      </c>
      <c r="K90" s="62">
        <v>197</v>
      </c>
      <c r="L90" s="11"/>
      <c r="O90" s="12"/>
      <c r="P90" s="12"/>
      <c r="Q90" s="13"/>
      <c r="R90" s="13"/>
    </row>
    <row r="91" spans="10:18" ht="14.25" customHeight="1" x14ac:dyDescent="0.2">
      <c r="J91" s="61" t="s">
        <v>164</v>
      </c>
      <c r="K91" s="62">
        <v>201</v>
      </c>
      <c r="L91" s="11"/>
      <c r="O91" s="12"/>
      <c r="P91" s="12"/>
      <c r="Q91" s="13"/>
      <c r="R91" s="13"/>
    </row>
    <row r="92" spans="10:18" ht="14.25" customHeight="1" x14ac:dyDescent="0.2">
      <c r="J92" s="61" t="s">
        <v>581</v>
      </c>
      <c r="K92" s="62">
        <v>2660</v>
      </c>
      <c r="L92" s="11"/>
      <c r="O92" s="12"/>
      <c r="P92" s="12"/>
      <c r="Q92" s="13"/>
      <c r="R92" s="13"/>
    </row>
    <row r="93" spans="10:18" ht="14.25" customHeight="1" x14ac:dyDescent="0.2">
      <c r="J93" s="61" t="s">
        <v>163</v>
      </c>
      <c r="K93" s="62">
        <v>202</v>
      </c>
      <c r="L93" s="11"/>
      <c r="O93" s="12"/>
      <c r="P93" s="12"/>
      <c r="Q93" s="13"/>
      <c r="R93" s="13"/>
    </row>
    <row r="94" spans="10:18" ht="14.25" customHeight="1" x14ac:dyDescent="0.2">
      <c r="J94" s="61" t="s">
        <v>434</v>
      </c>
      <c r="K94" s="62">
        <v>3114</v>
      </c>
      <c r="L94" s="11"/>
      <c r="O94" s="12"/>
      <c r="P94" s="12"/>
      <c r="Q94" s="13"/>
      <c r="R94" s="13"/>
    </row>
    <row r="95" spans="10:18" ht="14.25" customHeight="1" x14ac:dyDescent="0.2">
      <c r="J95" s="61" t="s">
        <v>162</v>
      </c>
      <c r="K95" s="62">
        <v>212</v>
      </c>
      <c r="L95" s="11"/>
      <c r="O95" s="12"/>
      <c r="P95" s="12"/>
      <c r="Q95" s="13"/>
      <c r="R95" s="13"/>
    </row>
    <row r="96" spans="10:18" ht="14.25" customHeight="1" x14ac:dyDescent="0.2">
      <c r="J96" s="61" t="s">
        <v>161</v>
      </c>
      <c r="K96" s="62">
        <v>215</v>
      </c>
      <c r="L96" s="11"/>
      <c r="O96" s="12"/>
      <c r="P96" s="12"/>
      <c r="Q96" s="13"/>
      <c r="R96" s="13"/>
    </row>
    <row r="97" spans="10:18" ht="14.25" customHeight="1" x14ac:dyDescent="0.2">
      <c r="J97" s="61" t="s">
        <v>908</v>
      </c>
      <c r="K97" s="62">
        <v>1480</v>
      </c>
      <c r="L97" s="11"/>
      <c r="O97" s="12"/>
      <c r="P97" s="12"/>
      <c r="Q97" s="13"/>
      <c r="R97" s="13"/>
    </row>
    <row r="98" spans="10:18" ht="14.25" customHeight="1" x14ac:dyDescent="0.2">
      <c r="J98" s="61" t="s">
        <v>160</v>
      </c>
      <c r="K98" s="62">
        <v>217</v>
      </c>
      <c r="L98" s="11"/>
      <c r="O98" s="12"/>
      <c r="P98" s="12"/>
      <c r="Q98" s="13"/>
      <c r="R98" s="13"/>
    </row>
    <row r="99" spans="10:18" ht="14.25" customHeight="1" x14ac:dyDescent="0.2">
      <c r="J99" s="61" t="s">
        <v>159</v>
      </c>
      <c r="K99" s="62">
        <v>221</v>
      </c>
      <c r="L99" s="11"/>
      <c r="O99" s="12"/>
      <c r="P99" s="12"/>
      <c r="Q99" s="13"/>
      <c r="R99" s="13"/>
    </row>
    <row r="100" spans="10:18" ht="14.25" customHeight="1" x14ac:dyDescent="0.2">
      <c r="J100" s="61" t="s">
        <v>907</v>
      </c>
      <c r="K100" s="62">
        <v>1481</v>
      </c>
      <c r="L100" s="11"/>
      <c r="O100" s="12"/>
      <c r="P100" s="12"/>
      <c r="Q100" s="13"/>
      <c r="R100" s="13"/>
    </row>
    <row r="101" spans="10:18" ht="14.25" customHeight="1" x14ac:dyDescent="0.2">
      <c r="J101" s="61" t="s">
        <v>906</v>
      </c>
      <c r="K101" s="62">
        <v>1482</v>
      </c>
      <c r="L101" s="11"/>
      <c r="O101" s="12"/>
      <c r="P101" s="12"/>
      <c r="Q101" s="13"/>
      <c r="R101" s="13"/>
    </row>
    <row r="102" spans="10:18" ht="14.25" customHeight="1" x14ac:dyDescent="0.2">
      <c r="J102" s="61" t="s">
        <v>158</v>
      </c>
      <c r="K102" s="62">
        <v>222</v>
      </c>
      <c r="L102" s="11"/>
      <c r="O102" s="12"/>
      <c r="P102" s="12"/>
      <c r="Q102" s="13"/>
      <c r="R102" s="13"/>
    </row>
    <row r="103" spans="10:18" ht="14.25" customHeight="1" x14ac:dyDescent="0.2">
      <c r="J103" s="61" t="s">
        <v>441</v>
      </c>
      <c r="K103" s="62">
        <v>3068</v>
      </c>
      <c r="L103" s="11"/>
      <c r="O103" s="12"/>
      <c r="P103" s="12"/>
      <c r="Q103" s="13"/>
      <c r="R103" s="13"/>
    </row>
    <row r="104" spans="10:18" ht="14.25" customHeight="1" x14ac:dyDescent="0.2">
      <c r="J104" s="61" t="s">
        <v>157</v>
      </c>
      <c r="K104" s="62">
        <v>225</v>
      </c>
      <c r="L104" s="11"/>
      <c r="O104" s="12"/>
      <c r="P104" s="12"/>
      <c r="Q104" s="13"/>
      <c r="R104" s="13"/>
    </row>
    <row r="105" spans="10:18" ht="14.25" customHeight="1" x14ac:dyDescent="0.2">
      <c r="J105" s="61" t="s">
        <v>156</v>
      </c>
      <c r="K105" s="62">
        <v>226</v>
      </c>
      <c r="L105" s="11"/>
      <c r="O105" s="12"/>
      <c r="P105" s="12"/>
      <c r="Q105" s="13"/>
      <c r="R105" s="13"/>
    </row>
    <row r="106" spans="10:18" ht="14.25" customHeight="1" x14ac:dyDescent="0.2">
      <c r="J106" s="61" t="s">
        <v>282</v>
      </c>
      <c r="K106" s="62">
        <v>6010</v>
      </c>
      <c r="L106" s="11"/>
      <c r="O106" s="12"/>
      <c r="P106" s="12"/>
      <c r="Q106" s="13"/>
      <c r="R106" s="13"/>
    </row>
    <row r="107" spans="10:18" ht="14.25" customHeight="1" x14ac:dyDescent="0.2">
      <c r="J107" s="61" t="s">
        <v>749</v>
      </c>
      <c r="K107" s="62">
        <v>2065</v>
      </c>
      <c r="L107" s="11"/>
      <c r="O107" s="12"/>
      <c r="P107" s="12"/>
      <c r="Q107" s="13"/>
      <c r="R107" s="13"/>
    </row>
    <row r="108" spans="10:18" ht="14.25" customHeight="1" x14ac:dyDescent="0.2">
      <c r="J108" s="61" t="s">
        <v>748</v>
      </c>
      <c r="K108" s="62">
        <v>2067</v>
      </c>
      <c r="L108" s="11"/>
      <c r="O108" s="12"/>
      <c r="P108" s="12"/>
      <c r="Q108" s="13"/>
      <c r="R108" s="13"/>
    </row>
    <row r="109" spans="10:18" ht="14.25" customHeight="1" x14ac:dyDescent="0.2">
      <c r="J109" s="61" t="s">
        <v>747</v>
      </c>
      <c r="K109" s="62">
        <v>2068</v>
      </c>
      <c r="L109" s="11"/>
      <c r="O109" s="12"/>
      <c r="P109" s="12"/>
      <c r="Q109" s="13"/>
      <c r="R109" s="13"/>
    </row>
    <row r="110" spans="10:18" ht="14.25" customHeight="1" x14ac:dyDescent="0.2">
      <c r="J110" s="61" t="s">
        <v>746</v>
      </c>
      <c r="K110" s="62">
        <v>2069</v>
      </c>
      <c r="L110" s="11"/>
      <c r="O110" s="12"/>
      <c r="P110" s="12"/>
      <c r="Q110" s="13"/>
      <c r="R110" s="13"/>
    </row>
    <row r="111" spans="10:18" ht="14.25" customHeight="1" x14ac:dyDescent="0.2">
      <c r="J111" s="61" t="s">
        <v>745</v>
      </c>
      <c r="K111" s="62">
        <v>2071</v>
      </c>
      <c r="L111" s="11"/>
      <c r="O111" s="12"/>
      <c r="P111" s="12"/>
      <c r="Q111" s="13"/>
      <c r="R111" s="13"/>
    </row>
    <row r="112" spans="10:18" ht="14.25" customHeight="1" x14ac:dyDescent="0.2">
      <c r="J112" s="61" t="s">
        <v>519</v>
      </c>
      <c r="K112" s="62">
        <v>2800</v>
      </c>
      <c r="L112" s="11"/>
      <c r="O112" s="12"/>
      <c r="P112" s="12"/>
      <c r="Q112" s="13"/>
      <c r="R112" s="13"/>
    </row>
    <row r="113" spans="10:18" ht="14.25" customHeight="1" x14ac:dyDescent="0.2">
      <c r="J113" s="61" t="s">
        <v>905</v>
      </c>
      <c r="K113" s="62">
        <v>1485</v>
      </c>
      <c r="L113" s="11"/>
      <c r="O113" s="12"/>
      <c r="P113" s="12"/>
      <c r="Q113" s="13"/>
      <c r="R113" s="13"/>
    </row>
    <row r="114" spans="10:18" ht="14.25" customHeight="1" x14ac:dyDescent="0.2">
      <c r="J114" s="61" t="s">
        <v>903</v>
      </c>
      <c r="K114" s="62">
        <v>1500</v>
      </c>
      <c r="L114" s="11"/>
      <c r="O114" s="12"/>
      <c r="P114" s="12"/>
      <c r="Q114" s="13"/>
      <c r="R114" s="13"/>
    </row>
    <row r="115" spans="10:18" ht="14.25" customHeight="1" x14ac:dyDescent="0.2">
      <c r="J115" s="61" t="s">
        <v>744</v>
      </c>
      <c r="K115" s="62">
        <v>2074</v>
      </c>
      <c r="L115" s="11"/>
      <c r="O115" s="12"/>
      <c r="P115" s="12"/>
      <c r="Q115" s="13"/>
      <c r="R115" s="13"/>
    </row>
    <row r="116" spans="10:18" ht="14.25" customHeight="1" x14ac:dyDescent="0.2">
      <c r="J116" s="61" t="s">
        <v>155</v>
      </c>
      <c r="K116" s="62">
        <v>230</v>
      </c>
      <c r="L116" s="11"/>
      <c r="O116" s="12"/>
      <c r="P116" s="12"/>
      <c r="Q116" s="13"/>
      <c r="R116" s="13"/>
    </row>
    <row r="117" spans="10:18" ht="14.25" customHeight="1" x14ac:dyDescent="0.2">
      <c r="J117" s="61" t="s">
        <v>152</v>
      </c>
      <c r="K117" s="62">
        <v>237</v>
      </c>
      <c r="L117" s="11"/>
      <c r="O117" s="12"/>
      <c r="P117" s="12"/>
      <c r="Q117" s="13"/>
      <c r="R117" s="13"/>
    </row>
    <row r="118" spans="10:18" ht="14.25" customHeight="1" x14ac:dyDescent="0.2">
      <c r="J118" s="61" t="s">
        <v>616</v>
      </c>
      <c r="K118" s="62">
        <v>2607</v>
      </c>
      <c r="L118" s="11"/>
      <c r="O118" s="12"/>
      <c r="P118" s="12"/>
      <c r="Q118" s="13"/>
      <c r="R118" s="13"/>
    </row>
    <row r="119" spans="10:18" ht="14.25" customHeight="1" x14ac:dyDescent="0.2">
      <c r="J119" s="61" t="s">
        <v>617</v>
      </c>
      <c r="K119" s="62">
        <v>2606</v>
      </c>
      <c r="L119" s="11"/>
      <c r="O119" s="12"/>
      <c r="P119" s="12"/>
      <c r="Q119" s="13"/>
      <c r="R119" s="13"/>
    </row>
    <row r="120" spans="10:18" ht="14.25" customHeight="1" x14ac:dyDescent="0.2">
      <c r="J120" s="61" t="s">
        <v>151</v>
      </c>
      <c r="K120" s="62">
        <v>238</v>
      </c>
      <c r="L120" s="11"/>
      <c r="O120" s="12"/>
      <c r="P120" s="12"/>
      <c r="Q120" s="13"/>
      <c r="R120" s="13"/>
    </row>
    <row r="121" spans="10:18" ht="14.25" customHeight="1" x14ac:dyDescent="0.2">
      <c r="J121" s="61" t="s">
        <v>153</v>
      </c>
      <c r="K121" s="62">
        <v>236</v>
      </c>
      <c r="L121" s="11"/>
      <c r="O121" s="12"/>
      <c r="P121" s="12"/>
      <c r="Q121" s="13"/>
      <c r="R121" s="13"/>
    </row>
    <row r="122" spans="10:18" ht="14.25" customHeight="1" x14ac:dyDescent="0.2">
      <c r="J122" s="61" t="s">
        <v>618</v>
      </c>
      <c r="K122" s="62">
        <v>2605</v>
      </c>
      <c r="L122" s="11"/>
      <c r="O122" s="12"/>
      <c r="P122" s="12"/>
      <c r="Q122" s="13"/>
      <c r="R122" s="13"/>
    </row>
    <row r="123" spans="10:18" ht="14.25" customHeight="1" x14ac:dyDescent="0.2">
      <c r="J123" s="61" t="s">
        <v>619</v>
      </c>
      <c r="K123" s="62">
        <v>2604</v>
      </c>
      <c r="L123" s="11"/>
      <c r="O123" s="12"/>
      <c r="P123" s="12"/>
      <c r="Q123" s="13"/>
      <c r="R123" s="13"/>
    </row>
    <row r="124" spans="10:18" ht="14.25" customHeight="1" x14ac:dyDescent="0.2">
      <c r="J124" s="61" t="s">
        <v>402</v>
      </c>
      <c r="K124" s="62">
        <v>3324</v>
      </c>
      <c r="L124" s="11"/>
      <c r="O124" s="12"/>
      <c r="P124" s="12"/>
      <c r="Q124" s="13"/>
      <c r="R124" s="13"/>
    </row>
    <row r="125" spans="10:18" ht="14.25" customHeight="1" x14ac:dyDescent="0.2">
      <c r="J125" s="61" t="s">
        <v>518</v>
      </c>
      <c r="K125" s="62">
        <v>2802</v>
      </c>
      <c r="L125" s="11"/>
      <c r="O125" s="12"/>
      <c r="P125" s="12"/>
      <c r="Q125" s="13"/>
      <c r="R125" s="13"/>
    </row>
    <row r="126" spans="10:18" ht="14.25" customHeight="1" x14ac:dyDescent="0.2">
      <c r="J126" s="61" t="s">
        <v>150</v>
      </c>
      <c r="K126" s="62">
        <v>241</v>
      </c>
      <c r="L126" s="11"/>
      <c r="O126" s="12"/>
      <c r="P126" s="12"/>
      <c r="Q126" s="13"/>
      <c r="R126" s="13"/>
    </row>
    <row r="127" spans="10:18" ht="14.25" customHeight="1" x14ac:dyDescent="0.2">
      <c r="J127" s="61" t="s">
        <v>149</v>
      </c>
      <c r="K127" s="62">
        <v>242</v>
      </c>
      <c r="L127" s="11"/>
      <c r="O127" s="12"/>
      <c r="P127" s="12"/>
      <c r="Q127" s="13"/>
      <c r="R127" s="13"/>
    </row>
    <row r="128" spans="10:18" ht="14.25" customHeight="1" x14ac:dyDescent="0.2">
      <c r="J128" s="61" t="s">
        <v>902</v>
      </c>
      <c r="K128" s="62">
        <v>1507</v>
      </c>
      <c r="L128" s="11"/>
      <c r="O128" s="12"/>
      <c r="P128" s="12"/>
      <c r="Q128" s="13"/>
      <c r="R128" s="13"/>
    </row>
    <row r="129" spans="10:18" ht="14.25" customHeight="1" x14ac:dyDescent="0.2">
      <c r="J129" s="61" t="s">
        <v>148</v>
      </c>
      <c r="K129" s="62">
        <v>245</v>
      </c>
      <c r="L129" s="11"/>
      <c r="O129" s="12"/>
      <c r="P129" s="12"/>
      <c r="Q129" s="13"/>
      <c r="R129" s="13"/>
    </row>
    <row r="130" spans="10:18" ht="14.25" customHeight="1" x14ac:dyDescent="0.2">
      <c r="J130" s="61" t="s">
        <v>147</v>
      </c>
      <c r="K130" s="62">
        <v>246</v>
      </c>
      <c r="L130" s="11"/>
      <c r="O130" s="12"/>
      <c r="P130" s="12"/>
      <c r="Q130" s="13"/>
      <c r="R130" s="13"/>
    </row>
    <row r="131" spans="10:18" ht="14.25" customHeight="1" x14ac:dyDescent="0.2">
      <c r="J131" s="61" t="s">
        <v>146</v>
      </c>
      <c r="K131" s="62">
        <v>247</v>
      </c>
      <c r="L131" s="11"/>
      <c r="O131" s="12"/>
      <c r="P131" s="12"/>
      <c r="Q131" s="13"/>
      <c r="R131" s="13"/>
    </row>
    <row r="132" spans="10:18" ht="14.25" customHeight="1" x14ac:dyDescent="0.2">
      <c r="J132" s="61" t="s">
        <v>897</v>
      </c>
      <c r="K132" s="62">
        <v>1522</v>
      </c>
      <c r="L132" s="11"/>
      <c r="O132" s="12"/>
      <c r="P132" s="12"/>
      <c r="Q132" s="13"/>
      <c r="R132" s="13"/>
    </row>
    <row r="133" spans="10:18" ht="14.25" customHeight="1" x14ac:dyDescent="0.2">
      <c r="J133" s="61" t="s">
        <v>445</v>
      </c>
      <c r="K133" s="62">
        <v>3046</v>
      </c>
      <c r="L133" s="11"/>
      <c r="O133" s="12"/>
      <c r="P133" s="12"/>
      <c r="Q133" s="13"/>
      <c r="R133" s="13"/>
    </row>
    <row r="134" spans="10:18" ht="14.25" customHeight="1" x14ac:dyDescent="0.2">
      <c r="J134" s="61" t="s">
        <v>901</v>
      </c>
      <c r="K134" s="62">
        <v>1510</v>
      </c>
      <c r="L134" s="11"/>
      <c r="O134" s="12"/>
      <c r="P134" s="12"/>
      <c r="Q134" s="13"/>
      <c r="R134" s="13"/>
    </row>
    <row r="135" spans="10:18" ht="14.25" customHeight="1" x14ac:dyDescent="0.2">
      <c r="J135" s="61" t="s">
        <v>899</v>
      </c>
      <c r="K135" s="62">
        <v>1518</v>
      </c>
      <c r="L135" s="11"/>
      <c r="O135" s="12"/>
      <c r="P135" s="12"/>
      <c r="Q135" s="13"/>
      <c r="R135" s="13"/>
    </row>
    <row r="136" spans="10:18" ht="14.25" customHeight="1" x14ac:dyDescent="0.2">
      <c r="J136" s="61" t="s">
        <v>898</v>
      </c>
      <c r="K136" s="62">
        <v>1519</v>
      </c>
      <c r="L136" s="11"/>
      <c r="O136" s="12"/>
      <c r="P136" s="12"/>
      <c r="Q136" s="13"/>
      <c r="R136" s="13"/>
    </row>
    <row r="137" spans="10:18" ht="14.25" customHeight="1" x14ac:dyDescent="0.2">
      <c r="J137" s="61" t="s">
        <v>145</v>
      </c>
      <c r="K137" s="62">
        <v>248</v>
      </c>
      <c r="L137" s="11"/>
      <c r="O137" s="12"/>
      <c r="P137" s="12"/>
      <c r="Q137" s="13"/>
      <c r="R137" s="13"/>
    </row>
    <row r="138" spans="10:18" ht="14.25" customHeight="1" x14ac:dyDescent="0.2">
      <c r="J138" s="61" t="s">
        <v>896</v>
      </c>
      <c r="K138" s="62">
        <v>1523</v>
      </c>
      <c r="L138" s="11"/>
      <c r="O138" s="12"/>
      <c r="P138" s="12"/>
      <c r="Q138" s="13"/>
      <c r="R138" s="13"/>
    </row>
    <row r="139" spans="10:18" ht="14.25" customHeight="1" x14ac:dyDescent="0.2">
      <c r="J139" s="61" t="s">
        <v>144</v>
      </c>
      <c r="K139" s="62">
        <v>251</v>
      </c>
      <c r="L139" s="11"/>
      <c r="O139" s="12"/>
      <c r="P139" s="12"/>
      <c r="Q139" s="13"/>
      <c r="R139" s="13"/>
    </row>
    <row r="140" spans="10:18" ht="14.25" customHeight="1" x14ac:dyDescent="0.2">
      <c r="J140" s="61" t="s">
        <v>142</v>
      </c>
      <c r="K140" s="62">
        <v>256</v>
      </c>
      <c r="L140" s="11"/>
      <c r="O140" s="12"/>
      <c r="P140" s="12"/>
      <c r="Q140" s="13"/>
      <c r="R140" s="13"/>
    </row>
    <row r="141" spans="10:18" ht="14.25" customHeight="1" x14ac:dyDescent="0.2">
      <c r="J141" s="61" t="s">
        <v>139</v>
      </c>
      <c r="K141" s="62">
        <v>260</v>
      </c>
      <c r="L141" s="11"/>
    </row>
    <row r="142" spans="10:18" ht="14.25" customHeight="1" x14ac:dyDescent="0.2">
      <c r="J142" s="61" t="s">
        <v>382</v>
      </c>
      <c r="K142" s="62">
        <v>3698</v>
      </c>
      <c r="L142" s="11"/>
    </row>
    <row r="143" spans="10:18" ht="14.25" customHeight="1" x14ac:dyDescent="0.2">
      <c r="J143" s="61" t="s">
        <v>143</v>
      </c>
      <c r="K143" s="62">
        <v>254</v>
      </c>
      <c r="L143" s="11"/>
    </row>
    <row r="144" spans="10:18" ht="14.25" customHeight="1" x14ac:dyDescent="0.2">
      <c r="J144" s="61" t="s">
        <v>141</v>
      </c>
      <c r="K144" s="62">
        <v>258</v>
      </c>
      <c r="L144" s="11"/>
    </row>
    <row r="145" spans="10:12" ht="14.25" customHeight="1" x14ac:dyDescent="0.2">
      <c r="J145" s="61" t="s">
        <v>137</v>
      </c>
      <c r="K145" s="62">
        <v>263</v>
      </c>
      <c r="L145" s="11"/>
    </row>
    <row r="146" spans="10:12" ht="14.25" customHeight="1" x14ac:dyDescent="0.2">
      <c r="J146" s="61" t="s">
        <v>391</v>
      </c>
      <c r="K146" s="62">
        <v>3430</v>
      </c>
      <c r="L146" s="11"/>
    </row>
    <row r="147" spans="10:12" ht="14.25" customHeight="1" x14ac:dyDescent="0.2">
      <c r="J147" s="61" t="s">
        <v>140</v>
      </c>
      <c r="K147" s="62">
        <v>259</v>
      </c>
      <c r="L147" s="11"/>
    </row>
    <row r="148" spans="10:12" ht="14.25" customHeight="1" x14ac:dyDescent="0.2">
      <c r="J148" s="61" t="s">
        <v>904</v>
      </c>
      <c r="K148" s="62">
        <v>1488</v>
      </c>
      <c r="L148" s="11"/>
    </row>
    <row r="149" spans="10:12" ht="14.25" customHeight="1" x14ac:dyDescent="0.2">
      <c r="J149" s="61" t="s">
        <v>136</v>
      </c>
      <c r="K149" s="62">
        <v>264</v>
      </c>
      <c r="L149" s="11"/>
    </row>
    <row r="150" spans="10:12" ht="14.25" customHeight="1" x14ac:dyDescent="0.2">
      <c r="J150" s="61" t="s">
        <v>309</v>
      </c>
      <c r="K150" s="62">
        <v>4441</v>
      </c>
      <c r="L150" s="11"/>
    </row>
    <row r="151" spans="10:12" ht="14.25" customHeight="1" x14ac:dyDescent="0.2">
      <c r="J151" s="61" t="s">
        <v>218</v>
      </c>
      <c r="K151" s="62">
        <v>16</v>
      </c>
      <c r="L151" s="11"/>
    </row>
    <row r="152" spans="10:12" ht="14.25" customHeight="1" x14ac:dyDescent="0.2">
      <c r="J152" s="61" t="s">
        <v>517</v>
      </c>
      <c r="K152" s="62">
        <v>2807</v>
      </c>
      <c r="L152" s="11"/>
    </row>
    <row r="153" spans="10:12" ht="14.25" customHeight="1" x14ac:dyDescent="0.2">
      <c r="J153" s="61" t="s">
        <v>895</v>
      </c>
      <c r="K153" s="62">
        <v>1524</v>
      </c>
      <c r="L153" s="11"/>
    </row>
    <row r="154" spans="10:12" ht="14.25" customHeight="1" x14ac:dyDescent="0.2">
      <c r="J154" s="61" t="s">
        <v>894</v>
      </c>
      <c r="K154" s="62">
        <v>1531</v>
      </c>
      <c r="L154" s="11"/>
    </row>
    <row r="155" spans="10:12" ht="14.25" customHeight="1" x14ac:dyDescent="0.2">
      <c r="J155" s="61" t="s">
        <v>893</v>
      </c>
      <c r="K155" s="62">
        <v>1543</v>
      </c>
      <c r="L155" s="11"/>
    </row>
    <row r="156" spans="10:12" ht="14.25" customHeight="1" x14ac:dyDescent="0.2">
      <c r="J156" s="61" t="s">
        <v>892</v>
      </c>
      <c r="K156" s="62">
        <v>1544</v>
      </c>
      <c r="L156" s="11"/>
    </row>
    <row r="157" spans="10:12" ht="14.25" customHeight="1" x14ac:dyDescent="0.2">
      <c r="J157" s="61" t="s">
        <v>891</v>
      </c>
      <c r="K157" s="62">
        <v>1546</v>
      </c>
      <c r="L157" s="11"/>
    </row>
    <row r="158" spans="10:12" ht="14.25" customHeight="1" x14ac:dyDescent="0.2">
      <c r="J158" s="61" t="s">
        <v>890</v>
      </c>
      <c r="K158" s="62">
        <v>1549</v>
      </c>
      <c r="L158" s="11"/>
    </row>
    <row r="159" spans="10:12" ht="14.25" customHeight="1" x14ac:dyDescent="0.2">
      <c r="J159" s="61" t="s">
        <v>135</v>
      </c>
      <c r="K159" s="62">
        <v>270</v>
      </c>
      <c r="L159" s="11"/>
    </row>
    <row r="160" spans="10:12" ht="14.25" customHeight="1" x14ac:dyDescent="0.2">
      <c r="J160" s="61" t="s">
        <v>921</v>
      </c>
      <c r="K160" s="62">
        <v>1444</v>
      </c>
      <c r="L160" s="11"/>
    </row>
    <row r="161" spans="10:12" ht="14.25" customHeight="1" x14ac:dyDescent="0.2">
      <c r="J161" s="61" t="s">
        <v>919</v>
      </c>
      <c r="K161" s="62">
        <v>1446</v>
      </c>
      <c r="L161" s="11"/>
    </row>
    <row r="162" spans="10:12" ht="14.25" customHeight="1" x14ac:dyDescent="0.2">
      <c r="J162" s="61" t="s">
        <v>920</v>
      </c>
      <c r="K162" s="62">
        <v>1445</v>
      </c>
      <c r="L162" s="11"/>
    </row>
    <row r="163" spans="10:12" ht="14.25" customHeight="1" x14ac:dyDescent="0.2">
      <c r="J163" s="61" t="s">
        <v>133</v>
      </c>
      <c r="K163" s="62">
        <v>274</v>
      </c>
      <c r="L163" s="11"/>
    </row>
    <row r="164" spans="10:12" ht="14.25" customHeight="1" x14ac:dyDescent="0.2">
      <c r="J164" s="61" t="s">
        <v>132</v>
      </c>
      <c r="K164" s="62">
        <v>278</v>
      </c>
      <c r="L164" s="11"/>
    </row>
    <row r="165" spans="10:12" ht="14.25" customHeight="1" x14ac:dyDescent="0.2">
      <c r="J165" s="61" t="s">
        <v>131</v>
      </c>
      <c r="K165" s="62">
        <v>279</v>
      </c>
      <c r="L165" s="11"/>
    </row>
    <row r="166" spans="10:12" ht="14.25" customHeight="1" x14ac:dyDescent="0.2">
      <c r="J166" s="61" t="s">
        <v>516</v>
      </c>
      <c r="K166" s="62">
        <v>2814</v>
      </c>
      <c r="L166" s="11"/>
    </row>
    <row r="167" spans="10:12" ht="14.25" customHeight="1" x14ac:dyDescent="0.2">
      <c r="J167" s="61" t="s">
        <v>743</v>
      </c>
      <c r="K167" s="62">
        <v>2078</v>
      </c>
      <c r="L167" s="11"/>
    </row>
    <row r="168" spans="10:12" ht="14.25" customHeight="1" x14ac:dyDescent="0.2">
      <c r="J168" s="61" t="s">
        <v>291</v>
      </c>
      <c r="K168" s="62">
        <v>6001</v>
      </c>
      <c r="L168" s="11"/>
    </row>
    <row r="169" spans="10:12" ht="14.25" customHeight="1" x14ac:dyDescent="0.2">
      <c r="J169" s="61" t="s">
        <v>739</v>
      </c>
      <c r="K169" s="62">
        <v>2084</v>
      </c>
      <c r="L169" s="11"/>
    </row>
    <row r="170" spans="10:12" ht="14.25" customHeight="1" x14ac:dyDescent="0.2">
      <c r="J170" s="61" t="s">
        <v>454</v>
      </c>
      <c r="K170" s="62">
        <v>3005</v>
      </c>
      <c r="L170" s="11"/>
    </row>
    <row r="171" spans="10:12" ht="14.25" customHeight="1" x14ac:dyDescent="0.2">
      <c r="J171" s="61" t="s">
        <v>742</v>
      </c>
      <c r="K171" s="62">
        <v>2079</v>
      </c>
      <c r="L171" s="11"/>
    </row>
    <row r="172" spans="10:12" ht="14.25" customHeight="1" x14ac:dyDescent="0.2">
      <c r="J172" s="61" t="s">
        <v>741</v>
      </c>
      <c r="K172" s="62">
        <v>2080</v>
      </c>
      <c r="L172" s="11"/>
    </row>
    <row r="173" spans="10:12" ht="14.25" customHeight="1" x14ac:dyDescent="0.2">
      <c r="J173" s="61" t="s">
        <v>740</v>
      </c>
      <c r="K173" s="62">
        <v>2082</v>
      </c>
      <c r="L173" s="11"/>
    </row>
    <row r="174" spans="10:12" ht="14.25" customHeight="1" x14ac:dyDescent="0.2">
      <c r="J174" s="61" t="s">
        <v>130</v>
      </c>
      <c r="K174" s="62">
        <v>281</v>
      </c>
      <c r="L174" s="11"/>
    </row>
    <row r="175" spans="10:12" ht="14.25" customHeight="1" x14ac:dyDescent="0.2">
      <c r="J175" s="61" t="s">
        <v>129</v>
      </c>
      <c r="K175" s="62">
        <v>284</v>
      </c>
      <c r="L175" s="11"/>
    </row>
    <row r="176" spans="10:12" ht="14.25" customHeight="1" x14ac:dyDescent="0.2">
      <c r="J176" s="61" t="s">
        <v>580</v>
      </c>
      <c r="K176" s="62">
        <v>2667</v>
      </c>
      <c r="L176" s="11"/>
    </row>
    <row r="177" spans="10:12" ht="14.25" customHeight="1" x14ac:dyDescent="0.2">
      <c r="J177" s="61" t="s">
        <v>128</v>
      </c>
      <c r="K177" s="62">
        <v>288</v>
      </c>
      <c r="L177" s="11"/>
    </row>
    <row r="178" spans="10:12" ht="14.25" customHeight="1" x14ac:dyDescent="0.2">
      <c r="J178" s="61" t="s">
        <v>887</v>
      </c>
      <c r="K178" s="62">
        <v>1566</v>
      </c>
      <c r="L178" s="11"/>
    </row>
    <row r="179" spans="10:12" ht="14.25" customHeight="1" x14ac:dyDescent="0.2">
      <c r="J179" s="61" t="s">
        <v>886</v>
      </c>
      <c r="K179" s="62">
        <v>1571</v>
      </c>
      <c r="L179" s="11"/>
    </row>
    <row r="180" spans="10:12" ht="14.25" customHeight="1" x14ac:dyDescent="0.2">
      <c r="J180" s="61" t="s">
        <v>372</v>
      </c>
      <c r="K180" s="62">
        <v>4282</v>
      </c>
      <c r="L180" s="11"/>
    </row>
    <row r="181" spans="10:12" ht="14.25" customHeight="1" x14ac:dyDescent="0.2">
      <c r="J181" s="61" t="s">
        <v>885</v>
      </c>
      <c r="K181" s="62">
        <v>1572</v>
      </c>
      <c r="L181" s="11"/>
    </row>
    <row r="182" spans="10:12" ht="14.25" customHeight="1" x14ac:dyDescent="0.2">
      <c r="J182" s="61" t="s">
        <v>884</v>
      </c>
      <c r="K182" s="62">
        <v>1574</v>
      </c>
      <c r="L182" s="11"/>
    </row>
    <row r="183" spans="10:12" ht="14.25" customHeight="1" x14ac:dyDescent="0.2">
      <c r="J183" s="61" t="s">
        <v>883</v>
      </c>
      <c r="K183" s="62">
        <v>1575</v>
      </c>
      <c r="L183" s="11"/>
    </row>
    <row r="184" spans="10:12" ht="14.25" customHeight="1" x14ac:dyDescent="0.2">
      <c r="J184" s="61" t="s">
        <v>882</v>
      </c>
      <c r="K184" s="62">
        <v>1576</v>
      </c>
      <c r="L184" s="11"/>
    </row>
    <row r="185" spans="10:12" ht="14.25" customHeight="1" x14ac:dyDescent="0.2">
      <c r="J185" s="61" t="s">
        <v>881</v>
      </c>
      <c r="K185" s="62">
        <v>1577</v>
      </c>
      <c r="L185" s="11"/>
    </row>
    <row r="186" spans="10:12" ht="14.25" customHeight="1" x14ac:dyDescent="0.2">
      <c r="J186" s="61" t="s">
        <v>127</v>
      </c>
      <c r="K186" s="62">
        <v>290</v>
      </c>
      <c r="L186" s="11"/>
    </row>
    <row r="187" spans="10:12" ht="14.25" customHeight="1" x14ac:dyDescent="0.2">
      <c r="J187" s="61" t="s">
        <v>579</v>
      </c>
      <c r="K187" s="62">
        <v>2668</v>
      </c>
      <c r="L187" s="11"/>
    </row>
    <row r="188" spans="10:12" ht="14.25" customHeight="1" x14ac:dyDescent="0.2">
      <c r="J188" s="61" t="s">
        <v>126</v>
      </c>
      <c r="K188" s="62">
        <v>291</v>
      </c>
      <c r="L188" s="11"/>
    </row>
    <row r="189" spans="10:12" ht="14.25" customHeight="1" x14ac:dyDescent="0.2">
      <c r="J189" s="61" t="s">
        <v>125</v>
      </c>
      <c r="K189" s="62">
        <v>292</v>
      </c>
      <c r="L189" s="11"/>
    </row>
    <row r="190" spans="10:12" ht="14.25" customHeight="1" x14ac:dyDescent="0.2">
      <c r="J190" s="61" t="s">
        <v>124</v>
      </c>
      <c r="K190" s="62">
        <v>293</v>
      </c>
      <c r="L190" s="11"/>
    </row>
    <row r="191" spans="10:12" ht="14.25" customHeight="1" x14ac:dyDescent="0.2">
      <c r="J191" s="61" t="s">
        <v>123</v>
      </c>
      <c r="K191" s="62">
        <v>295</v>
      </c>
      <c r="L191" s="11"/>
    </row>
    <row r="192" spans="10:12" ht="14.25" customHeight="1" x14ac:dyDescent="0.2">
      <c r="J192" s="61" t="s">
        <v>122</v>
      </c>
      <c r="K192" s="62">
        <v>298</v>
      </c>
      <c r="L192" s="11"/>
    </row>
    <row r="193" spans="10:12" ht="14.25" customHeight="1" x14ac:dyDescent="0.2">
      <c r="J193" s="61" t="s">
        <v>121</v>
      </c>
      <c r="K193" s="62">
        <v>299</v>
      </c>
      <c r="L193" s="11"/>
    </row>
    <row r="194" spans="10:12" ht="14.25" customHeight="1" x14ac:dyDescent="0.2">
      <c r="J194" s="61" t="s">
        <v>120</v>
      </c>
      <c r="K194" s="62">
        <v>302</v>
      </c>
      <c r="L194" s="11"/>
    </row>
    <row r="195" spans="10:12" ht="14.25" customHeight="1" x14ac:dyDescent="0.2">
      <c r="J195" s="61" t="s">
        <v>119</v>
      </c>
      <c r="K195" s="62">
        <v>307</v>
      </c>
      <c r="L195" s="11"/>
    </row>
    <row r="196" spans="10:12" ht="14.25" customHeight="1" x14ac:dyDescent="0.2">
      <c r="J196" s="61" t="s">
        <v>118</v>
      </c>
      <c r="K196" s="62">
        <v>308</v>
      </c>
      <c r="L196" s="11"/>
    </row>
    <row r="197" spans="10:12" ht="14.25" customHeight="1" x14ac:dyDescent="0.2">
      <c r="J197" s="61" t="s">
        <v>117</v>
      </c>
      <c r="K197" s="62">
        <v>309</v>
      </c>
      <c r="L197" s="11"/>
    </row>
    <row r="198" spans="10:12" ht="14.25" customHeight="1" x14ac:dyDescent="0.2">
      <c r="J198" s="61" t="s">
        <v>116</v>
      </c>
      <c r="K198" s="62">
        <v>310</v>
      </c>
      <c r="L198" s="11"/>
    </row>
    <row r="199" spans="10:12" ht="14.25" customHeight="1" x14ac:dyDescent="0.2">
      <c r="J199" s="61" t="s">
        <v>115</v>
      </c>
      <c r="K199" s="62">
        <v>311</v>
      </c>
      <c r="L199" s="11"/>
    </row>
    <row r="200" spans="10:12" ht="14.25" customHeight="1" x14ac:dyDescent="0.2">
      <c r="J200" s="61" t="s">
        <v>113</v>
      </c>
      <c r="K200" s="62">
        <v>315</v>
      </c>
      <c r="L200" s="11"/>
    </row>
    <row r="201" spans="10:12" ht="14.25" customHeight="1" x14ac:dyDescent="0.2">
      <c r="J201" s="61" t="s">
        <v>112</v>
      </c>
      <c r="K201" s="62">
        <v>317</v>
      </c>
      <c r="L201" s="11"/>
    </row>
    <row r="202" spans="10:12" ht="14.25" customHeight="1" x14ac:dyDescent="0.2">
      <c r="J202" s="61" t="s">
        <v>111</v>
      </c>
      <c r="K202" s="62">
        <v>319</v>
      </c>
      <c r="L202" s="11"/>
    </row>
    <row r="203" spans="10:12" ht="14.25" customHeight="1" x14ac:dyDescent="0.2">
      <c r="J203" s="61" t="s">
        <v>110</v>
      </c>
      <c r="K203" s="62">
        <v>322</v>
      </c>
      <c r="L203" s="11"/>
    </row>
    <row r="204" spans="10:12" ht="14.25" customHeight="1" x14ac:dyDescent="0.2">
      <c r="J204" s="61" t="s">
        <v>578</v>
      </c>
      <c r="K204" s="62">
        <v>2672</v>
      </c>
      <c r="L204" s="11"/>
    </row>
    <row r="205" spans="10:12" ht="14.25" customHeight="1" x14ac:dyDescent="0.2">
      <c r="J205" s="61" t="s">
        <v>109</v>
      </c>
      <c r="K205" s="62">
        <v>323</v>
      </c>
      <c r="L205" s="11"/>
    </row>
    <row r="206" spans="10:12" ht="14.25" customHeight="1" x14ac:dyDescent="0.2">
      <c r="J206" s="61" t="s">
        <v>108</v>
      </c>
      <c r="K206" s="62">
        <v>324</v>
      </c>
      <c r="L206" s="11"/>
    </row>
    <row r="207" spans="10:12" ht="14.25" customHeight="1" x14ac:dyDescent="0.2">
      <c r="J207" s="61" t="s">
        <v>107</v>
      </c>
      <c r="K207" s="62">
        <v>325</v>
      </c>
      <c r="L207" s="11"/>
    </row>
    <row r="208" spans="10:12" ht="14.25" customHeight="1" x14ac:dyDescent="0.2">
      <c r="J208" s="61" t="s">
        <v>106</v>
      </c>
      <c r="K208" s="62">
        <v>327</v>
      </c>
      <c r="L208" s="11"/>
    </row>
    <row r="209" spans="10:12" ht="14.25" customHeight="1" x14ac:dyDescent="0.2">
      <c r="J209" s="61" t="s">
        <v>104</v>
      </c>
      <c r="K209" s="62">
        <v>330</v>
      </c>
      <c r="L209" s="11"/>
    </row>
    <row r="210" spans="10:12" ht="14.25" customHeight="1" x14ac:dyDescent="0.2">
      <c r="J210" s="61" t="s">
        <v>96</v>
      </c>
      <c r="K210" s="62">
        <v>342</v>
      </c>
      <c r="L210" s="11"/>
    </row>
    <row r="211" spans="10:12" ht="14.25" customHeight="1" x14ac:dyDescent="0.2">
      <c r="J211" s="61" t="s">
        <v>103</v>
      </c>
      <c r="K211" s="62">
        <v>332</v>
      </c>
      <c r="L211" s="11"/>
    </row>
    <row r="212" spans="10:12" ht="14.25" customHeight="1" x14ac:dyDescent="0.2">
      <c r="J212" s="61" t="s">
        <v>102</v>
      </c>
      <c r="K212" s="62">
        <v>333</v>
      </c>
      <c r="L212" s="11"/>
    </row>
    <row r="213" spans="10:12" ht="14.25" customHeight="1" x14ac:dyDescent="0.2">
      <c r="J213" s="61" t="s">
        <v>101</v>
      </c>
      <c r="K213" s="62">
        <v>335</v>
      </c>
      <c r="L213" s="11"/>
    </row>
    <row r="214" spans="10:12" ht="14.25" customHeight="1" x14ac:dyDescent="0.2">
      <c r="J214" s="61" t="s">
        <v>100</v>
      </c>
      <c r="K214" s="62">
        <v>336</v>
      </c>
      <c r="L214" s="11"/>
    </row>
    <row r="215" spans="10:12" ht="14.25" customHeight="1" x14ac:dyDescent="0.2">
      <c r="J215" s="61" t="s">
        <v>99</v>
      </c>
      <c r="K215" s="62">
        <v>337</v>
      </c>
      <c r="L215" s="11"/>
    </row>
    <row r="216" spans="10:12" ht="14.25" customHeight="1" x14ac:dyDescent="0.2">
      <c r="J216" s="61" t="s">
        <v>98</v>
      </c>
      <c r="K216" s="62">
        <v>339</v>
      </c>
      <c r="L216" s="11"/>
    </row>
    <row r="217" spans="10:12" ht="14.25" customHeight="1" x14ac:dyDescent="0.2">
      <c r="J217" s="61" t="s">
        <v>97</v>
      </c>
      <c r="K217" s="62">
        <v>340</v>
      </c>
      <c r="L217" s="11"/>
    </row>
    <row r="218" spans="10:12" ht="14.25" customHeight="1" x14ac:dyDescent="0.2">
      <c r="J218" s="61" t="s">
        <v>95</v>
      </c>
      <c r="K218" s="62">
        <v>343</v>
      </c>
      <c r="L218" s="11"/>
    </row>
    <row r="219" spans="10:12" ht="14.25" customHeight="1" x14ac:dyDescent="0.2">
      <c r="J219" s="61" t="s">
        <v>94</v>
      </c>
      <c r="K219" s="62">
        <v>344</v>
      </c>
      <c r="L219" s="11"/>
    </row>
    <row r="220" spans="10:12" ht="14.25" customHeight="1" x14ac:dyDescent="0.2">
      <c r="J220" s="61" t="s">
        <v>93</v>
      </c>
      <c r="K220" s="62">
        <v>347</v>
      </c>
      <c r="L220" s="11"/>
    </row>
    <row r="221" spans="10:12" ht="14.25" customHeight="1" x14ac:dyDescent="0.2">
      <c r="J221" s="61" t="s">
        <v>92</v>
      </c>
      <c r="K221" s="62">
        <v>349</v>
      </c>
      <c r="L221" s="11"/>
    </row>
    <row r="222" spans="10:12" ht="14.25" customHeight="1" x14ac:dyDescent="0.2">
      <c r="J222" s="61" t="s">
        <v>91</v>
      </c>
      <c r="K222" s="62">
        <v>350</v>
      </c>
      <c r="L222" s="11"/>
    </row>
    <row r="223" spans="10:12" ht="14.25" customHeight="1" x14ac:dyDescent="0.2">
      <c r="J223" s="61" t="s">
        <v>90</v>
      </c>
      <c r="K223" s="62">
        <v>351</v>
      </c>
      <c r="L223" s="11"/>
    </row>
    <row r="224" spans="10:12" ht="14.25" customHeight="1" x14ac:dyDescent="0.2">
      <c r="J224" s="61" t="s">
        <v>89</v>
      </c>
      <c r="K224" s="62">
        <v>352</v>
      </c>
      <c r="L224" s="11"/>
    </row>
    <row r="225" spans="10:12" ht="14.25" customHeight="1" x14ac:dyDescent="0.2">
      <c r="J225" s="61" t="s">
        <v>559</v>
      </c>
      <c r="K225" s="62">
        <v>2706</v>
      </c>
      <c r="L225" s="11"/>
    </row>
    <row r="226" spans="10:12" ht="14.25" customHeight="1" x14ac:dyDescent="0.2">
      <c r="J226" s="61" t="s">
        <v>88</v>
      </c>
      <c r="K226" s="62">
        <v>356</v>
      </c>
      <c r="L226" s="11"/>
    </row>
    <row r="227" spans="10:12" ht="14.25" customHeight="1" x14ac:dyDescent="0.2">
      <c r="J227" s="61" t="s">
        <v>87</v>
      </c>
      <c r="K227" s="62">
        <v>358</v>
      </c>
      <c r="L227" s="11"/>
    </row>
    <row r="228" spans="10:12" ht="14.25" customHeight="1" x14ac:dyDescent="0.2">
      <c r="J228" s="61" t="s">
        <v>86</v>
      </c>
      <c r="K228" s="62">
        <v>359</v>
      </c>
      <c r="L228" s="11"/>
    </row>
    <row r="229" spans="10:12" ht="14.25" customHeight="1" x14ac:dyDescent="0.2">
      <c r="J229" s="61" t="s">
        <v>105</v>
      </c>
      <c r="K229" s="62">
        <v>329</v>
      </c>
      <c r="L229" s="11"/>
    </row>
    <row r="230" spans="10:12" ht="14.25" customHeight="1" x14ac:dyDescent="0.2">
      <c r="J230" s="61" t="s">
        <v>577</v>
      </c>
      <c r="K230" s="62">
        <v>2673</v>
      </c>
      <c r="L230" s="11"/>
    </row>
    <row r="231" spans="10:12" ht="14.25" customHeight="1" x14ac:dyDescent="0.2">
      <c r="J231" s="61" t="s">
        <v>114</v>
      </c>
      <c r="K231" s="62">
        <v>312</v>
      </c>
      <c r="L231" s="11"/>
    </row>
    <row r="232" spans="10:12" ht="14.25" customHeight="1" x14ac:dyDescent="0.2">
      <c r="J232" s="61" t="s">
        <v>85</v>
      </c>
      <c r="K232" s="62">
        <v>362</v>
      </c>
      <c r="L232" s="11"/>
    </row>
    <row r="233" spans="10:12" ht="14.25" customHeight="1" x14ac:dyDescent="0.2">
      <c r="J233" s="61" t="s">
        <v>84</v>
      </c>
      <c r="K233" s="62">
        <v>363</v>
      </c>
      <c r="L233" s="11"/>
    </row>
    <row r="234" spans="10:12" ht="14.25" customHeight="1" x14ac:dyDescent="0.2">
      <c r="J234" s="61" t="s">
        <v>575</v>
      </c>
      <c r="K234" s="62">
        <v>2677</v>
      </c>
      <c r="L234" s="11"/>
    </row>
    <row r="235" spans="10:12" ht="14.25" customHeight="1" x14ac:dyDescent="0.2">
      <c r="J235" s="61" t="s">
        <v>83</v>
      </c>
      <c r="K235" s="62">
        <v>366</v>
      </c>
      <c r="L235" s="11"/>
    </row>
    <row r="236" spans="10:12" ht="14.25" customHeight="1" x14ac:dyDescent="0.2">
      <c r="J236" s="61" t="s">
        <v>515</v>
      </c>
      <c r="K236" s="62">
        <v>2818</v>
      </c>
      <c r="L236" s="11"/>
    </row>
    <row r="237" spans="10:12" ht="14.25" customHeight="1" x14ac:dyDescent="0.2">
      <c r="J237" s="61" t="s">
        <v>540</v>
      </c>
      <c r="K237" s="62">
        <v>2744</v>
      </c>
      <c r="L237" s="11"/>
    </row>
    <row r="238" spans="10:12" ht="14.25" customHeight="1" x14ac:dyDescent="0.2">
      <c r="J238" s="61" t="s">
        <v>82</v>
      </c>
      <c r="K238" s="62">
        <v>369</v>
      </c>
      <c r="L238" s="11"/>
    </row>
    <row r="239" spans="10:12" ht="14.25" customHeight="1" x14ac:dyDescent="0.2">
      <c r="J239" s="61" t="s">
        <v>880</v>
      </c>
      <c r="K239" s="62">
        <v>1585</v>
      </c>
      <c r="L239" s="11"/>
    </row>
    <row r="240" spans="10:12" ht="14.25" customHeight="1" x14ac:dyDescent="0.2">
      <c r="J240" s="61" t="s">
        <v>81</v>
      </c>
      <c r="K240" s="62">
        <v>370</v>
      </c>
      <c r="L240" s="11"/>
    </row>
    <row r="241" spans="10:12" ht="14.25" customHeight="1" x14ac:dyDescent="0.2">
      <c r="J241" s="61" t="s">
        <v>80</v>
      </c>
      <c r="K241" s="62">
        <v>371</v>
      </c>
      <c r="L241" s="11"/>
    </row>
    <row r="242" spans="10:12" ht="14.25" customHeight="1" x14ac:dyDescent="0.2">
      <c r="J242" s="61" t="s">
        <v>79</v>
      </c>
      <c r="K242" s="62">
        <v>372</v>
      </c>
      <c r="L242" s="11"/>
    </row>
    <row r="243" spans="10:12" ht="14.25" customHeight="1" x14ac:dyDescent="0.2">
      <c r="J243" s="61" t="s">
        <v>78</v>
      </c>
      <c r="K243" s="62">
        <v>373</v>
      </c>
      <c r="L243" s="11"/>
    </row>
    <row r="244" spans="10:12" ht="14.25" customHeight="1" x14ac:dyDescent="0.2">
      <c r="J244" s="61" t="s">
        <v>77</v>
      </c>
      <c r="K244" s="62">
        <v>375</v>
      </c>
      <c r="L244" s="11"/>
    </row>
    <row r="245" spans="10:12" ht="14.25" customHeight="1" x14ac:dyDescent="0.2">
      <c r="J245" s="61" t="s">
        <v>738</v>
      </c>
      <c r="K245" s="62">
        <v>2086</v>
      </c>
      <c r="L245" s="11"/>
    </row>
    <row r="246" spans="10:12" ht="14.25" customHeight="1" x14ac:dyDescent="0.2">
      <c r="J246" s="61" t="s">
        <v>406</v>
      </c>
      <c r="K246" s="62">
        <v>3287</v>
      </c>
      <c r="L246" s="11"/>
    </row>
    <row r="247" spans="10:12" ht="14.25" customHeight="1" x14ac:dyDescent="0.2">
      <c r="J247" s="61" t="s">
        <v>737</v>
      </c>
      <c r="K247" s="62">
        <v>2088</v>
      </c>
      <c r="L247" s="11"/>
    </row>
    <row r="248" spans="10:12" ht="14.25" customHeight="1" x14ac:dyDescent="0.2">
      <c r="J248" s="61" t="s">
        <v>736</v>
      </c>
      <c r="K248" s="62">
        <v>2092</v>
      </c>
      <c r="L248" s="11"/>
    </row>
    <row r="249" spans="10:12" ht="14.25" customHeight="1" x14ac:dyDescent="0.2">
      <c r="J249" s="61" t="s">
        <v>562</v>
      </c>
      <c r="K249" s="62">
        <v>2703</v>
      </c>
      <c r="L249" s="11"/>
    </row>
    <row r="250" spans="10:12" ht="14.25" customHeight="1" x14ac:dyDescent="0.2">
      <c r="J250" s="61" t="s">
        <v>733</v>
      </c>
      <c r="K250" s="62">
        <v>2098</v>
      </c>
      <c r="L250" s="11"/>
    </row>
    <row r="251" spans="10:12" ht="14.25" customHeight="1" x14ac:dyDescent="0.2">
      <c r="J251" s="61" t="s">
        <v>735</v>
      </c>
      <c r="K251" s="62">
        <v>2094</v>
      </c>
      <c r="L251" s="11"/>
    </row>
    <row r="252" spans="10:12" ht="14.25" customHeight="1" x14ac:dyDescent="0.2">
      <c r="J252" s="61" t="s">
        <v>734</v>
      </c>
      <c r="K252" s="62">
        <v>2095</v>
      </c>
      <c r="L252" s="11"/>
    </row>
    <row r="253" spans="10:12" ht="14.25" customHeight="1" x14ac:dyDescent="0.2">
      <c r="J253" s="61" t="s">
        <v>367</v>
      </c>
      <c r="K253" s="62">
        <v>4294</v>
      </c>
      <c r="L253" s="11"/>
    </row>
    <row r="254" spans="10:12" ht="14.25" customHeight="1" x14ac:dyDescent="0.2">
      <c r="J254" s="61" t="s">
        <v>76</v>
      </c>
      <c r="K254" s="62">
        <v>378</v>
      </c>
      <c r="L254" s="11"/>
    </row>
    <row r="255" spans="10:12" ht="14.25" customHeight="1" x14ac:dyDescent="0.2">
      <c r="J255" s="61" t="s">
        <v>75</v>
      </c>
      <c r="K255" s="62">
        <v>380</v>
      </c>
      <c r="L255" s="11"/>
    </row>
    <row r="256" spans="10:12" ht="14.25" customHeight="1" x14ac:dyDescent="0.2">
      <c r="J256" s="61" t="s">
        <v>74</v>
      </c>
      <c r="K256" s="62">
        <v>381</v>
      </c>
      <c r="L256" s="11"/>
    </row>
    <row r="257" spans="10:12" ht="14.25" customHeight="1" x14ac:dyDescent="0.2">
      <c r="J257" s="61" t="s">
        <v>72</v>
      </c>
      <c r="K257" s="62">
        <v>384</v>
      </c>
      <c r="L257" s="11"/>
    </row>
    <row r="258" spans="10:12" ht="14.25" customHeight="1" x14ac:dyDescent="0.2">
      <c r="J258" s="61" t="s">
        <v>73</v>
      </c>
      <c r="K258" s="62">
        <v>383</v>
      </c>
      <c r="L258" s="11"/>
    </row>
    <row r="259" spans="10:12" ht="14.25" customHeight="1" x14ac:dyDescent="0.2">
      <c r="J259" s="61" t="s">
        <v>71</v>
      </c>
      <c r="K259" s="62">
        <v>385</v>
      </c>
      <c r="L259" s="11"/>
    </row>
    <row r="260" spans="10:12" ht="14.25" customHeight="1" x14ac:dyDescent="0.2">
      <c r="J260" s="61" t="s">
        <v>47</v>
      </c>
      <c r="K260" s="62">
        <v>439</v>
      </c>
      <c r="L260" s="11"/>
    </row>
    <row r="261" spans="10:12" ht="14.25" customHeight="1" x14ac:dyDescent="0.2">
      <c r="J261" s="61" t="s">
        <v>879</v>
      </c>
      <c r="K261" s="62">
        <v>1586</v>
      </c>
      <c r="L261" s="11"/>
    </row>
    <row r="262" spans="10:12" ht="14.25" customHeight="1" x14ac:dyDescent="0.2">
      <c r="J262" s="61" t="s">
        <v>676</v>
      </c>
      <c r="K262" s="62">
        <v>2332</v>
      </c>
      <c r="L262" s="11"/>
    </row>
    <row r="263" spans="10:12" ht="14.25" customHeight="1" x14ac:dyDescent="0.2">
      <c r="J263" s="61" t="s">
        <v>675</v>
      </c>
      <c r="K263" s="62">
        <v>2333</v>
      </c>
      <c r="L263" s="11"/>
    </row>
    <row r="264" spans="10:12" ht="14.25" customHeight="1" x14ac:dyDescent="0.2">
      <c r="J264" s="61" t="s">
        <v>70</v>
      </c>
      <c r="K264" s="62">
        <v>390</v>
      </c>
      <c r="L264" s="11"/>
    </row>
    <row r="265" spans="10:12" ht="14.25" customHeight="1" x14ac:dyDescent="0.2">
      <c r="J265" s="61" t="s">
        <v>574</v>
      </c>
      <c r="K265" s="62">
        <v>2682</v>
      </c>
      <c r="L265" s="11"/>
    </row>
    <row r="266" spans="10:12" ht="14.25" customHeight="1" x14ac:dyDescent="0.2">
      <c r="J266" s="61" t="s">
        <v>69</v>
      </c>
      <c r="K266" s="62">
        <v>391</v>
      </c>
      <c r="L266" s="11"/>
    </row>
    <row r="267" spans="10:12" ht="14.25" customHeight="1" x14ac:dyDescent="0.2">
      <c r="J267" s="61" t="s">
        <v>68</v>
      </c>
      <c r="K267" s="62">
        <v>394</v>
      </c>
      <c r="L267" s="11"/>
    </row>
    <row r="268" spans="10:12" ht="14.25" customHeight="1" x14ac:dyDescent="0.2">
      <c r="J268" s="61" t="s">
        <v>67</v>
      </c>
      <c r="K268" s="62">
        <v>395</v>
      </c>
      <c r="L268" s="11"/>
    </row>
    <row r="269" spans="10:12" ht="14.25" customHeight="1" x14ac:dyDescent="0.2">
      <c r="J269" s="61" t="s">
        <v>66</v>
      </c>
      <c r="K269" s="62">
        <v>399</v>
      </c>
      <c r="L269" s="11"/>
    </row>
    <row r="270" spans="10:12" ht="14.25" customHeight="1" x14ac:dyDescent="0.2">
      <c r="J270" s="61" t="s">
        <v>64</v>
      </c>
      <c r="K270" s="62">
        <v>407</v>
      </c>
      <c r="L270" s="11"/>
    </row>
    <row r="271" spans="10:12" ht="14.25" customHeight="1" x14ac:dyDescent="0.2">
      <c r="J271" s="61" t="s">
        <v>63</v>
      </c>
      <c r="K271" s="62">
        <v>408</v>
      </c>
      <c r="L271" s="11"/>
    </row>
    <row r="272" spans="10:12" ht="14.25" customHeight="1" x14ac:dyDescent="0.2">
      <c r="J272" s="61" t="s">
        <v>62</v>
      </c>
      <c r="K272" s="62">
        <v>414</v>
      </c>
      <c r="L272" s="11"/>
    </row>
    <row r="273" spans="10:12" ht="14.25" customHeight="1" x14ac:dyDescent="0.2">
      <c r="J273" s="61" t="s">
        <v>878</v>
      </c>
      <c r="K273" s="62">
        <v>1591</v>
      </c>
      <c r="L273" s="11"/>
    </row>
    <row r="274" spans="10:12" ht="14.25" customHeight="1" x14ac:dyDescent="0.2">
      <c r="J274" s="61" t="s">
        <v>877</v>
      </c>
      <c r="K274" s="62">
        <v>1592</v>
      </c>
      <c r="L274" s="11"/>
    </row>
    <row r="275" spans="10:12" ht="14.25" customHeight="1" x14ac:dyDescent="0.2">
      <c r="J275" s="61" t="s">
        <v>514</v>
      </c>
      <c r="K275" s="62">
        <v>2822</v>
      </c>
      <c r="L275" s="11"/>
    </row>
    <row r="276" spans="10:12" ht="14.25" customHeight="1" x14ac:dyDescent="0.2">
      <c r="J276" s="61" t="s">
        <v>573</v>
      </c>
      <c r="K276" s="62">
        <v>2687</v>
      </c>
      <c r="L276" s="11"/>
    </row>
    <row r="277" spans="10:12" ht="14.25" customHeight="1" x14ac:dyDescent="0.2">
      <c r="J277" s="61" t="s">
        <v>61</v>
      </c>
      <c r="K277" s="62">
        <v>415</v>
      </c>
      <c r="L277" s="11"/>
    </row>
    <row r="278" spans="10:12" ht="14.25" customHeight="1" x14ac:dyDescent="0.2">
      <c r="J278" s="61" t="s">
        <v>556</v>
      </c>
      <c r="K278" s="62">
        <v>2714</v>
      </c>
      <c r="L278" s="11"/>
    </row>
    <row r="279" spans="10:12" ht="14.25" customHeight="1" x14ac:dyDescent="0.2">
      <c r="J279" s="61" t="s">
        <v>60</v>
      </c>
      <c r="K279" s="62">
        <v>416</v>
      </c>
      <c r="L279" s="11"/>
    </row>
    <row r="280" spans="10:12" ht="14.25" customHeight="1" x14ac:dyDescent="0.2">
      <c r="J280" s="61" t="s">
        <v>59</v>
      </c>
      <c r="K280" s="62">
        <v>417</v>
      </c>
      <c r="L280" s="11"/>
    </row>
    <row r="281" spans="10:12" ht="14.25" customHeight="1" x14ac:dyDescent="0.2">
      <c r="J281" s="61" t="s">
        <v>58</v>
      </c>
      <c r="K281" s="62">
        <v>418</v>
      </c>
      <c r="L281" s="11"/>
    </row>
    <row r="282" spans="10:12" ht="14.25" customHeight="1" x14ac:dyDescent="0.2">
      <c r="J282" s="61" t="s">
        <v>57</v>
      </c>
      <c r="K282" s="62">
        <v>419</v>
      </c>
      <c r="L282" s="11"/>
    </row>
    <row r="283" spans="10:12" ht="14.25" customHeight="1" x14ac:dyDescent="0.2">
      <c r="J283" s="61" t="s">
        <v>570</v>
      </c>
      <c r="K283" s="62">
        <v>2694</v>
      </c>
      <c r="L283" s="11"/>
    </row>
    <row r="284" spans="10:12" ht="14.25" customHeight="1" x14ac:dyDescent="0.2">
      <c r="J284" s="61" t="s">
        <v>674</v>
      </c>
      <c r="K284" s="62">
        <v>2340</v>
      </c>
      <c r="L284" s="11"/>
    </row>
    <row r="285" spans="10:12" ht="14.25" customHeight="1" x14ac:dyDescent="0.2">
      <c r="J285" s="61" t="s">
        <v>673</v>
      </c>
      <c r="K285" s="62">
        <v>2342</v>
      </c>
      <c r="L285" s="11"/>
    </row>
    <row r="286" spans="10:12" ht="14.25" customHeight="1" x14ac:dyDescent="0.2">
      <c r="J286" s="61" t="s">
        <v>513</v>
      </c>
      <c r="K286" s="62">
        <v>2823</v>
      </c>
      <c r="L286" s="11"/>
    </row>
    <row r="287" spans="10:12" ht="14.25" customHeight="1" x14ac:dyDescent="0.2">
      <c r="J287" s="61" t="s">
        <v>512</v>
      </c>
      <c r="K287" s="62">
        <v>2824</v>
      </c>
      <c r="L287" s="11"/>
    </row>
    <row r="288" spans="10:12" ht="14.25" customHeight="1" x14ac:dyDescent="0.2">
      <c r="J288" s="61" t="s">
        <v>672</v>
      </c>
      <c r="K288" s="62">
        <v>2346</v>
      </c>
      <c r="L288" s="11"/>
    </row>
    <row r="289" spans="10:12" ht="14.25" customHeight="1" x14ac:dyDescent="0.2">
      <c r="J289" s="61" t="s">
        <v>453</v>
      </c>
      <c r="K289" s="62">
        <v>3007</v>
      </c>
      <c r="L289" s="11"/>
    </row>
    <row r="290" spans="10:12" ht="14.25" customHeight="1" x14ac:dyDescent="0.2">
      <c r="J290" s="61" t="s">
        <v>248</v>
      </c>
      <c r="K290" s="62">
        <v>6027</v>
      </c>
      <c r="L290" s="11"/>
    </row>
    <row r="291" spans="10:12" ht="14.25" customHeight="1" x14ac:dyDescent="0.2">
      <c r="J291" s="61" t="s">
        <v>645</v>
      </c>
      <c r="K291" s="62">
        <v>2389</v>
      </c>
      <c r="L291" s="11"/>
    </row>
    <row r="292" spans="10:12" ht="14.25" customHeight="1" x14ac:dyDescent="0.2">
      <c r="J292" s="61" t="s">
        <v>671</v>
      </c>
      <c r="K292" s="62">
        <v>2347</v>
      </c>
      <c r="L292" s="11"/>
    </row>
    <row r="293" spans="10:12" ht="14.25" customHeight="1" x14ac:dyDescent="0.2">
      <c r="J293" s="61" t="s">
        <v>670</v>
      </c>
      <c r="K293" s="62">
        <v>2348</v>
      </c>
      <c r="L293" s="11"/>
    </row>
    <row r="294" spans="10:12" ht="14.25" customHeight="1" x14ac:dyDescent="0.2">
      <c r="J294" s="61" t="s">
        <v>669</v>
      </c>
      <c r="K294" s="62">
        <v>2352</v>
      </c>
      <c r="L294" s="11"/>
    </row>
    <row r="295" spans="10:12" ht="14.25" customHeight="1" x14ac:dyDescent="0.2">
      <c r="J295" s="61" t="s">
        <v>668</v>
      </c>
      <c r="K295" s="62">
        <v>2354</v>
      </c>
      <c r="L295" s="11"/>
    </row>
    <row r="296" spans="10:12" ht="14.25" customHeight="1" x14ac:dyDescent="0.2">
      <c r="J296" s="61" t="s">
        <v>666</v>
      </c>
      <c r="K296" s="62">
        <v>2358</v>
      </c>
      <c r="L296" s="11"/>
    </row>
    <row r="297" spans="10:12" ht="14.25" customHeight="1" x14ac:dyDescent="0.2">
      <c r="J297" s="61" t="s">
        <v>288</v>
      </c>
      <c r="K297" s="62">
        <v>6003</v>
      </c>
      <c r="L297" s="11"/>
    </row>
    <row r="298" spans="10:12" ht="14.25" customHeight="1" x14ac:dyDescent="0.2">
      <c r="J298" s="61" t="s">
        <v>665</v>
      </c>
      <c r="K298" s="62">
        <v>2359</v>
      </c>
      <c r="L298" s="11"/>
    </row>
    <row r="299" spans="10:12" ht="14.25" customHeight="1" x14ac:dyDescent="0.2">
      <c r="J299" s="61" t="s">
        <v>664</v>
      </c>
      <c r="K299" s="62">
        <v>2360</v>
      </c>
      <c r="L299" s="11"/>
    </row>
    <row r="300" spans="10:12" ht="14.25" customHeight="1" x14ac:dyDescent="0.2">
      <c r="J300" s="61" t="s">
        <v>659</v>
      </c>
      <c r="K300" s="62">
        <v>2368</v>
      </c>
      <c r="L300" s="11"/>
    </row>
    <row r="301" spans="10:12" ht="14.25" customHeight="1" x14ac:dyDescent="0.2">
      <c r="J301" s="61" t="s">
        <v>663</v>
      </c>
      <c r="K301" s="62">
        <v>2362</v>
      </c>
      <c r="L301" s="11"/>
    </row>
    <row r="302" spans="10:12" ht="14.25" customHeight="1" x14ac:dyDescent="0.2">
      <c r="J302" s="61" t="s">
        <v>662</v>
      </c>
      <c r="K302" s="62">
        <v>2363</v>
      </c>
      <c r="L302" s="11"/>
    </row>
    <row r="303" spans="10:12" ht="14.25" customHeight="1" x14ac:dyDescent="0.2">
      <c r="J303" s="61" t="s">
        <v>661</v>
      </c>
      <c r="K303" s="62">
        <v>2365</v>
      </c>
      <c r="L303" s="11"/>
    </row>
    <row r="304" spans="10:12" ht="14.25" customHeight="1" x14ac:dyDescent="0.2">
      <c r="J304" s="61" t="s">
        <v>658</v>
      </c>
      <c r="K304" s="62">
        <v>2369</v>
      </c>
      <c r="L304" s="11"/>
    </row>
    <row r="305" spans="10:12" ht="14.25" customHeight="1" x14ac:dyDescent="0.2">
      <c r="J305" s="61" t="s">
        <v>657</v>
      </c>
      <c r="K305" s="62">
        <v>2370</v>
      </c>
      <c r="L305" s="11"/>
    </row>
    <row r="306" spans="10:12" ht="14.25" customHeight="1" x14ac:dyDescent="0.2">
      <c r="J306" s="61" t="s">
        <v>667</v>
      </c>
      <c r="K306" s="62">
        <v>2356</v>
      </c>
      <c r="L306" s="11"/>
    </row>
    <row r="307" spans="10:12" ht="14.25" customHeight="1" x14ac:dyDescent="0.2">
      <c r="J307" s="61" t="s">
        <v>656</v>
      </c>
      <c r="K307" s="62">
        <v>2373</v>
      </c>
      <c r="L307" s="11"/>
    </row>
    <row r="308" spans="10:12" ht="14.25" customHeight="1" x14ac:dyDescent="0.2">
      <c r="J308" s="61" t="s">
        <v>655</v>
      </c>
      <c r="K308" s="62">
        <v>2377</v>
      </c>
      <c r="L308" s="11"/>
    </row>
    <row r="309" spans="10:12" ht="14.25" customHeight="1" x14ac:dyDescent="0.2">
      <c r="J309" s="61" t="s">
        <v>654</v>
      </c>
      <c r="K309" s="62">
        <v>2378</v>
      </c>
      <c r="L309" s="11"/>
    </row>
    <row r="310" spans="10:12" ht="14.25" customHeight="1" x14ac:dyDescent="0.2">
      <c r="J310" s="61" t="s">
        <v>660</v>
      </c>
      <c r="K310" s="62">
        <v>2366</v>
      </c>
      <c r="L310" s="11"/>
    </row>
    <row r="311" spans="10:12" ht="14.25" customHeight="1" x14ac:dyDescent="0.2">
      <c r="J311" s="61" t="s">
        <v>653</v>
      </c>
      <c r="K311" s="62">
        <v>2379</v>
      </c>
      <c r="L311" s="11"/>
    </row>
    <row r="312" spans="10:12" ht="14.25" customHeight="1" x14ac:dyDescent="0.2">
      <c r="J312" s="61" t="s">
        <v>652</v>
      </c>
      <c r="K312" s="62">
        <v>2380</v>
      </c>
      <c r="L312" s="11"/>
    </row>
    <row r="313" spans="10:12" ht="14.25" customHeight="1" x14ac:dyDescent="0.2">
      <c r="J313" s="61" t="s">
        <v>651</v>
      </c>
      <c r="K313" s="62">
        <v>2381</v>
      </c>
      <c r="L313" s="11"/>
    </row>
    <row r="314" spans="10:12" ht="14.25" customHeight="1" x14ac:dyDescent="0.2">
      <c r="J314" s="61" t="s">
        <v>435</v>
      </c>
      <c r="K314" s="62">
        <v>3099</v>
      </c>
      <c r="L314" s="11"/>
    </row>
    <row r="315" spans="10:12" ht="14.25" customHeight="1" x14ac:dyDescent="0.2">
      <c r="J315" s="61" t="s">
        <v>650</v>
      </c>
      <c r="K315" s="62">
        <v>2382</v>
      </c>
      <c r="L315" s="11"/>
    </row>
    <row r="316" spans="10:12" ht="14.25" customHeight="1" x14ac:dyDescent="0.2">
      <c r="J316" s="61" t="s">
        <v>649</v>
      </c>
      <c r="K316" s="62">
        <v>2383</v>
      </c>
      <c r="L316" s="11"/>
    </row>
    <row r="317" spans="10:12" ht="14.25" customHeight="1" x14ac:dyDescent="0.2">
      <c r="J317" s="61" t="s">
        <v>648</v>
      </c>
      <c r="K317" s="62">
        <v>2385</v>
      </c>
      <c r="L317" s="11"/>
    </row>
    <row r="318" spans="10:12" ht="14.25" customHeight="1" x14ac:dyDescent="0.2">
      <c r="J318" s="61" t="s">
        <v>647</v>
      </c>
      <c r="K318" s="62">
        <v>2386</v>
      </c>
      <c r="L318" s="11"/>
    </row>
    <row r="319" spans="10:12" ht="14.25" customHeight="1" x14ac:dyDescent="0.2">
      <c r="J319" s="61" t="s">
        <v>646</v>
      </c>
      <c r="K319" s="62">
        <v>2388</v>
      </c>
      <c r="L319" s="11"/>
    </row>
    <row r="320" spans="10:12" ht="14.25" customHeight="1" x14ac:dyDescent="0.2">
      <c r="J320" s="61" t="s">
        <v>644</v>
      </c>
      <c r="K320" s="62">
        <v>2391</v>
      </c>
      <c r="L320" s="11"/>
    </row>
    <row r="321" spans="10:12" ht="14.25" customHeight="1" x14ac:dyDescent="0.2">
      <c r="J321" s="61" t="s">
        <v>732</v>
      </c>
      <c r="K321" s="62">
        <v>2105</v>
      </c>
      <c r="L321" s="11"/>
    </row>
    <row r="322" spans="10:12" ht="14.25" customHeight="1" x14ac:dyDescent="0.2">
      <c r="J322" s="61" t="s">
        <v>1161</v>
      </c>
      <c r="K322" s="62">
        <v>881</v>
      </c>
      <c r="L322" s="11"/>
    </row>
    <row r="323" spans="10:12" ht="14.25" customHeight="1" x14ac:dyDescent="0.2">
      <c r="J323" s="61" t="s">
        <v>56</v>
      </c>
      <c r="K323" s="62">
        <v>421</v>
      </c>
      <c r="L323" s="11"/>
    </row>
    <row r="324" spans="10:12" ht="14.25" customHeight="1" x14ac:dyDescent="0.2">
      <c r="J324" s="61" t="s">
        <v>876</v>
      </c>
      <c r="K324" s="62">
        <v>1593</v>
      </c>
      <c r="L324" s="11"/>
    </row>
    <row r="325" spans="10:12" ht="14.25" customHeight="1" x14ac:dyDescent="0.2">
      <c r="J325" s="61" t="s">
        <v>134</v>
      </c>
      <c r="K325" s="62">
        <v>272</v>
      </c>
      <c r="L325" s="11"/>
    </row>
    <row r="326" spans="10:12" ht="14.25" customHeight="1" x14ac:dyDescent="0.2">
      <c r="J326" s="61" t="s">
        <v>55</v>
      </c>
      <c r="K326" s="62">
        <v>422</v>
      </c>
      <c r="L326" s="11"/>
    </row>
    <row r="327" spans="10:12" ht="14.25" customHeight="1" x14ac:dyDescent="0.2">
      <c r="J327" s="61" t="s">
        <v>53</v>
      </c>
      <c r="K327" s="62">
        <v>427</v>
      </c>
      <c r="L327" s="11"/>
    </row>
    <row r="328" spans="10:12" ht="14.25" customHeight="1" x14ac:dyDescent="0.2">
      <c r="J328" s="61" t="s">
        <v>54</v>
      </c>
      <c r="K328" s="62">
        <v>423</v>
      </c>
      <c r="L328" s="11"/>
    </row>
    <row r="329" spans="10:12" ht="14.25" customHeight="1" x14ac:dyDescent="0.2">
      <c r="J329" s="61" t="s">
        <v>552</v>
      </c>
      <c r="K329" s="62">
        <v>2718</v>
      </c>
      <c r="L329" s="11"/>
    </row>
    <row r="330" spans="10:12" ht="14.25" customHeight="1" x14ac:dyDescent="0.2">
      <c r="J330" s="61" t="s">
        <v>642</v>
      </c>
      <c r="K330" s="62">
        <v>2410</v>
      </c>
      <c r="L330" s="11"/>
    </row>
    <row r="331" spans="10:12" ht="14.25" customHeight="1" x14ac:dyDescent="0.2">
      <c r="J331" s="61" t="s">
        <v>641</v>
      </c>
      <c r="K331" s="62">
        <v>2412</v>
      </c>
      <c r="L331" s="11"/>
    </row>
    <row r="332" spans="10:12" ht="14.25" customHeight="1" x14ac:dyDescent="0.2">
      <c r="J332" s="61" t="s">
        <v>52</v>
      </c>
      <c r="K332" s="62">
        <v>428</v>
      </c>
      <c r="L332" s="11"/>
    </row>
    <row r="333" spans="10:12" ht="14.25" customHeight="1" x14ac:dyDescent="0.2">
      <c r="J333" s="61" t="s">
        <v>51</v>
      </c>
      <c r="K333" s="62">
        <v>429</v>
      </c>
      <c r="L333" s="11"/>
    </row>
    <row r="334" spans="10:12" ht="14.25" customHeight="1" x14ac:dyDescent="0.2">
      <c r="J334" s="61" t="s">
        <v>643</v>
      </c>
      <c r="K334" s="62">
        <v>2407</v>
      </c>
      <c r="L334" s="11"/>
    </row>
    <row r="335" spans="10:12" ht="14.25" customHeight="1" x14ac:dyDescent="0.2">
      <c r="J335" s="61" t="s">
        <v>731</v>
      </c>
      <c r="K335" s="62">
        <v>2110</v>
      </c>
      <c r="L335" s="11"/>
    </row>
    <row r="336" spans="10:12" ht="14.25" customHeight="1" x14ac:dyDescent="0.2">
      <c r="J336" s="61" t="s">
        <v>50</v>
      </c>
      <c r="K336" s="62">
        <v>431</v>
      </c>
      <c r="L336" s="11"/>
    </row>
    <row r="337" spans="10:12" ht="14.25" customHeight="1" x14ac:dyDescent="0.2">
      <c r="J337" s="61" t="s">
        <v>49</v>
      </c>
      <c r="K337" s="62">
        <v>432</v>
      </c>
      <c r="L337" s="11"/>
    </row>
    <row r="338" spans="10:12" ht="14.25" customHeight="1" x14ac:dyDescent="0.2">
      <c r="J338" s="61" t="s">
        <v>48</v>
      </c>
      <c r="K338" s="62">
        <v>433</v>
      </c>
      <c r="L338" s="11"/>
    </row>
    <row r="339" spans="10:12" ht="14.25" customHeight="1" x14ac:dyDescent="0.2">
      <c r="J339" s="61" t="s">
        <v>360</v>
      </c>
      <c r="K339" s="62">
        <v>4316</v>
      </c>
      <c r="L339" s="11"/>
    </row>
    <row r="340" spans="10:12" ht="14.25" customHeight="1" x14ac:dyDescent="0.2">
      <c r="J340" s="61" t="s">
        <v>464</v>
      </c>
      <c r="K340" s="62">
        <v>2983</v>
      </c>
      <c r="L340" s="11"/>
    </row>
    <row r="341" spans="10:12" ht="14.25" customHeight="1" x14ac:dyDescent="0.2">
      <c r="J341" s="61" t="s">
        <v>984</v>
      </c>
      <c r="K341" s="62">
        <v>1325</v>
      </c>
      <c r="L341" s="11"/>
    </row>
    <row r="342" spans="10:12" ht="14.25" customHeight="1" x14ac:dyDescent="0.2">
      <c r="J342" s="61" t="s">
        <v>531</v>
      </c>
      <c r="K342" s="62">
        <v>2757</v>
      </c>
      <c r="L342" s="11"/>
    </row>
    <row r="343" spans="10:12" ht="14.25" customHeight="1" x14ac:dyDescent="0.2">
      <c r="J343" s="61" t="s">
        <v>615</v>
      </c>
      <c r="K343" s="62">
        <v>2610</v>
      </c>
      <c r="L343" s="11"/>
    </row>
    <row r="344" spans="10:12" ht="14.25" customHeight="1" x14ac:dyDescent="0.2">
      <c r="J344" s="61" t="s">
        <v>46</v>
      </c>
      <c r="K344" s="62">
        <v>441</v>
      </c>
      <c r="L344" s="11"/>
    </row>
    <row r="345" spans="10:12" ht="14.25" customHeight="1" x14ac:dyDescent="0.2">
      <c r="J345" s="61" t="s">
        <v>45</v>
      </c>
      <c r="K345" s="62">
        <v>443</v>
      </c>
      <c r="L345" s="11"/>
    </row>
    <row r="346" spans="10:12" ht="14.25" customHeight="1" x14ac:dyDescent="0.2">
      <c r="J346" s="61" t="s">
        <v>44</v>
      </c>
      <c r="K346" s="62">
        <v>444</v>
      </c>
      <c r="L346" s="11"/>
    </row>
    <row r="347" spans="10:12" ht="14.25" customHeight="1" x14ac:dyDescent="0.2">
      <c r="J347" s="61" t="s">
        <v>572</v>
      </c>
      <c r="K347" s="62">
        <v>2690</v>
      </c>
      <c r="L347" s="11"/>
    </row>
    <row r="348" spans="10:12" ht="14.25" customHeight="1" x14ac:dyDescent="0.2">
      <c r="J348" s="61" t="s">
        <v>536</v>
      </c>
      <c r="K348" s="62">
        <v>2750</v>
      </c>
      <c r="L348" s="11"/>
    </row>
    <row r="349" spans="10:12" ht="14.25" customHeight="1" x14ac:dyDescent="0.2">
      <c r="J349" s="61" t="s">
        <v>614</v>
      </c>
      <c r="K349" s="62">
        <v>2611</v>
      </c>
      <c r="L349" s="11"/>
    </row>
    <row r="350" spans="10:12" ht="14.25" customHeight="1" x14ac:dyDescent="0.2">
      <c r="J350" s="61" t="s">
        <v>43</v>
      </c>
      <c r="K350" s="62">
        <v>445</v>
      </c>
      <c r="L350" s="11"/>
    </row>
    <row r="351" spans="10:12" ht="14.25" customHeight="1" x14ac:dyDescent="0.2">
      <c r="J351" s="61" t="s">
        <v>363</v>
      </c>
      <c r="K351" s="62">
        <v>4308</v>
      </c>
      <c r="L351" s="11"/>
    </row>
    <row r="352" spans="10:12" ht="14.25" customHeight="1" x14ac:dyDescent="0.2">
      <c r="J352" s="61" t="s">
        <v>874</v>
      </c>
      <c r="K352" s="62">
        <v>1598</v>
      </c>
      <c r="L352" s="11"/>
    </row>
    <row r="353" spans="10:12" ht="14.25" customHeight="1" x14ac:dyDescent="0.2">
      <c r="J353" s="61" t="s">
        <v>571</v>
      </c>
      <c r="K353" s="62">
        <v>2692</v>
      </c>
      <c r="L353" s="11"/>
    </row>
    <row r="354" spans="10:12" ht="14.25" customHeight="1" x14ac:dyDescent="0.2">
      <c r="J354" s="61" t="s">
        <v>42</v>
      </c>
      <c r="K354" s="62">
        <v>447</v>
      </c>
      <c r="L354" s="11"/>
    </row>
    <row r="355" spans="10:12" ht="14.25" customHeight="1" x14ac:dyDescent="0.2">
      <c r="J355" s="61" t="s">
        <v>41</v>
      </c>
      <c r="K355" s="62">
        <v>449</v>
      </c>
      <c r="L355" s="11"/>
    </row>
    <row r="356" spans="10:12" ht="14.25" customHeight="1" x14ac:dyDescent="0.2">
      <c r="J356" s="61" t="s">
        <v>40</v>
      </c>
      <c r="K356" s="62">
        <v>455</v>
      </c>
      <c r="L356" s="11"/>
    </row>
    <row r="357" spans="10:12" ht="14.25" customHeight="1" x14ac:dyDescent="0.2">
      <c r="J357" s="61" t="s">
        <v>39</v>
      </c>
      <c r="K357" s="62">
        <v>456</v>
      </c>
      <c r="L357" s="11"/>
    </row>
    <row r="358" spans="10:12" ht="14.25" customHeight="1" x14ac:dyDescent="0.2">
      <c r="J358" s="61" t="s">
        <v>873</v>
      </c>
      <c r="K358" s="62">
        <v>1600</v>
      </c>
      <c r="L358" s="11"/>
    </row>
    <row r="359" spans="10:12" ht="14.25" customHeight="1" x14ac:dyDescent="0.2">
      <c r="J359" s="61" t="s">
        <v>38</v>
      </c>
      <c r="K359" s="62">
        <v>457</v>
      </c>
      <c r="L359" s="11"/>
    </row>
    <row r="360" spans="10:12" ht="14.25" customHeight="1" x14ac:dyDescent="0.2">
      <c r="J360" s="61" t="s">
        <v>390</v>
      </c>
      <c r="K360" s="62">
        <v>3503</v>
      </c>
      <c r="L360" s="11"/>
    </row>
    <row r="361" spans="10:12" ht="14.25" customHeight="1" x14ac:dyDescent="0.2">
      <c r="J361" s="61" t="s">
        <v>37</v>
      </c>
      <c r="K361" s="62">
        <v>459</v>
      </c>
      <c r="L361" s="11"/>
    </row>
    <row r="362" spans="10:12" ht="14.25" customHeight="1" x14ac:dyDescent="0.2">
      <c r="J362" s="61" t="s">
        <v>36</v>
      </c>
      <c r="K362" s="62">
        <v>460</v>
      </c>
      <c r="L362" s="11"/>
    </row>
    <row r="363" spans="10:12" ht="14.25" customHeight="1" x14ac:dyDescent="0.2">
      <c r="J363" s="61" t="s">
        <v>35</v>
      </c>
      <c r="K363" s="62">
        <v>461</v>
      </c>
      <c r="L363" s="11"/>
    </row>
    <row r="364" spans="10:12" ht="14.25" customHeight="1" x14ac:dyDescent="0.2">
      <c r="J364" s="61" t="s">
        <v>34</v>
      </c>
      <c r="K364" s="62">
        <v>463</v>
      </c>
      <c r="L364" s="11"/>
    </row>
    <row r="365" spans="10:12" ht="14.25" customHeight="1" x14ac:dyDescent="0.2">
      <c r="J365" s="61" t="s">
        <v>447</v>
      </c>
      <c r="K365" s="62">
        <v>3042</v>
      </c>
      <c r="L365" s="11"/>
    </row>
    <row r="366" spans="10:12" ht="14.25" customHeight="1" x14ac:dyDescent="0.2">
      <c r="J366" s="61" t="s">
        <v>33</v>
      </c>
      <c r="K366" s="62">
        <v>465</v>
      </c>
      <c r="L366" s="11"/>
    </row>
    <row r="367" spans="10:12" ht="14.25" customHeight="1" x14ac:dyDescent="0.2">
      <c r="J367" s="61" t="s">
        <v>424</v>
      </c>
      <c r="K367" s="62">
        <v>3192</v>
      </c>
      <c r="L367" s="11"/>
    </row>
    <row r="368" spans="10:12" ht="14.25" customHeight="1" x14ac:dyDescent="0.2">
      <c r="J368" s="61" t="s">
        <v>32</v>
      </c>
      <c r="K368" s="62">
        <v>466</v>
      </c>
      <c r="L368" s="11"/>
    </row>
    <row r="369" spans="10:12" ht="14.25" customHeight="1" x14ac:dyDescent="0.2">
      <c r="J369" s="61" t="s">
        <v>31</v>
      </c>
      <c r="K369" s="62">
        <v>467</v>
      </c>
      <c r="L369" s="11"/>
    </row>
    <row r="370" spans="10:12" ht="14.25" customHeight="1" x14ac:dyDescent="0.2">
      <c r="J370" s="61" t="s">
        <v>30</v>
      </c>
      <c r="K370" s="62">
        <v>468</v>
      </c>
      <c r="L370" s="11"/>
    </row>
    <row r="371" spans="10:12" ht="14.25" customHeight="1" x14ac:dyDescent="0.2">
      <c r="J371" s="61" t="s">
        <v>29</v>
      </c>
      <c r="K371" s="62">
        <v>470</v>
      </c>
      <c r="L371" s="11"/>
    </row>
    <row r="372" spans="10:12" ht="14.25" customHeight="1" x14ac:dyDescent="0.2">
      <c r="J372" s="61" t="s">
        <v>1010</v>
      </c>
      <c r="K372" s="62">
        <v>1249</v>
      </c>
      <c r="L372" s="11"/>
    </row>
    <row r="373" spans="10:12" ht="14.25" customHeight="1" x14ac:dyDescent="0.2">
      <c r="J373" s="61" t="s">
        <v>28</v>
      </c>
      <c r="K373" s="62">
        <v>472</v>
      </c>
      <c r="L373" s="11"/>
    </row>
    <row r="374" spans="10:12" ht="14.25" customHeight="1" x14ac:dyDescent="0.2">
      <c r="J374" s="61" t="s">
        <v>27</v>
      </c>
      <c r="K374" s="62">
        <v>473</v>
      </c>
      <c r="L374" s="11"/>
    </row>
    <row r="375" spans="10:12" ht="14.25" customHeight="1" x14ac:dyDescent="0.2">
      <c r="J375" s="61" t="s">
        <v>26</v>
      </c>
      <c r="K375" s="62">
        <v>475</v>
      </c>
      <c r="L375" s="11"/>
    </row>
    <row r="376" spans="10:12" ht="14.25" customHeight="1" x14ac:dyDescent="0.2">
      <c r="J376" s="61" t="s">
        <v>400</v>
      </c>
      <c r="K376" s="62">
        <v>3349</v>
      </c>
      <c r="L376" s="11"/>
    </row>
    <row r="377" spans="10:12" ht="14.25" customHeight="1" x14ac:dyDescent="0.2">
      <c r="J377" s="61" t="s">
        <v>25</v>
      </c>
      <c r="K377" s="62">
        <v>477</v>
      </c>
      <c r="L377" s="11"/>
    </row>
    <row r="378" spans="10:12" ht="14.25" customHeight="1" x14ac:dyDescent="0.2">
      <c r="J378" s="61" t="s">
        <v>24</v>
      </c>
      <c r="K378" s="62">
        <v>478</v>
      </c>
      <c r="L378" s="11"/>
    </row>
    <row r="379" spans="10:12" ht="14.25" customHeight="1" x14ac:dyDescent="0.2">
      <c r="J379" s="61" t="s">
        <v>870</v>
      </c>
      <c r="K379" s="62">
        <v>1616</v>
      </c>
      <c r="L379" s="11"/>
    </row>
    <row r="380" spans="10:12" ht="14.25" customHeight="1" x14ac:dyDescent="0.2">
      <c r="J380" s="61" t="s">
        <v>240</v>
      </c>
      <c r="K380" s="62">
        <v>6029</v>
      </c>
      <c r="L380" s="11"/>
    </row>
    <row r="381" spans="10:12" ht="14.25" customHeight="1" x14ac:dyDescent="0.2">
      <c r="J381" s="61" t="s">
        <v>244</v>
      </c>
      <c r="K381" s="62">
        <v>6028</v>
      </c>
      <c r="L381" s="11"/>
    </row>
    <row r="382" spans="10:12" ht="14.25" customHeight="1" x14ac:dyDescent="0.2">
      <c r="J382" s="61" t="s">
        <v>871</v>
      </c>
      <c r="K382" s="62">
        <v>1615</v>
      </c>
      <c r="L382" s="11"/>
    </row>
    <row r="383" spans="10:12" ht="14.25" customHeight="1" x14ac:dyDescent="0.2">
      <c r="J383" s="61" t="s">
        <v>869</v>
      </c>
      <c r="K383" s="62">
        <v>1618</v>
      </c>
      <c r="L383" s="11"/>
    </row>
    <row r="384" spans="10:12" ht="14.25" customHeight="1" x14ac:dyDescent="0.2">
      <c r="J384" s="61" t="s">
        <v>868</v>
      </c>
      <c r="K384" s="62">
        <v>1621</v>
      </c>
      <c r="L384" s="11"/>
    </row>
    <row r="385" spans="10:12" ht="14.25" customHeight="1" x14ac:dyDescent="0.2">
      <c r="J385" s="61" t="s">
        <v>867</v>
      </c>
      <c r="K385" s="62">
        <v>1623</v>
      </c>
      <c r="L385" s="11"/>
    </row>
    <row r="386" spans="10:12" ht="14.25" customHeight="1" x14ac:dyDescent="0.2">
      <c r="J386" s="61" t="s">
        <v>866</v>
      </c>
      <c r="K386" s="62">
        <v>1626</v>
      </c>
      <c r="L386" s="11"/>
    </row>
    <row r="387" spans="10:12" ht="14.25" customHeight="1" x14ac:dyDescent="0.2">
      <c r="J387" s="61" t="s">
        <v>511</v>
      </c>
      <c r="K387" s="62">
        <v>2831</v>
      </c>
      <c r="L387" s="11"/>
    </row>
    <row r="388" spans="10:12" ht="14.25" customHeight="1" x14ac:dyDescent="0.2">
      <c r="J388" s="61" t="s">
        <v>865</v>
      </c>
      <c r="K388" s="62">
        <v>1629</v>
      </c>
      <c r="L388" s="11"/>
    </row>
    <row r="389" spans="10:12" ht="14.25" customHeight="1" x14ac:dyDescent="0.2">
      <c r="J389" s="61" t="s">
        <v>864</v>
      </c>
      <c r="K389" s="62">
        <v>1633</v>
      </c>
      <c r="L389" s="11"/>
    </row>
    <row r="390" spans="10:12" ht="14.25" customHeight="1" x14ac:dyDescent="0.2">
      <c r="J390" s="61" t="s">
        <v>863</v>
      </c>
      <c r="K390" s="62">
        <v>1635</v>
      </c>
      <c r="L390" s="11"/>
    </row>
    <row r="391" spans="10:12" ht="14.25" customHeight="1" x14ac:dyDescent="0.2">
      <c r="J391" s="61" t="s">
        <v>862</v>
      </c>
      <c r="K391" s="62">
        <v>1637</v>
      </c>
      <c r="L391" s="11"/>
    </row>
    <row r="392" spans="10:12" ht="14.25" customHeight="1" x14ac:dyDescent="0.2">
      <c r="J392" s="61" t="s">
        <v>861</v>
      </c>
      <c r="K392" s="62">
        <v>1638</v>
      </c>
      <c r="L392" s="11"/>
    </row>
    <row r="393" spans="10:12" ht="14.25" customHeight="1" x14ac:dyDescent="0.2">
      <c r="J393" s="61" t="s">
        <v>860</v>
      </c>
      <c r="K393" s="62">
        <v>1639</v>
      </c>
      <c r="L393" s="11"/>
    </row>
    <row r="394" spans="10:12" ht="14.25" customHeight="1" x14ac:dyDescent="0.2">
      <c r="J394" s="61" t="s">
        <v>23</v>
      </c>
      <c r="K394" s="62">
        <v>482</v>
      </c>
      <c r="L394" s="11"/>
    </row>
    <row r="395" spans="10:12" ht="14.25" customHeight="1" x14ac:dyDescent="0.2">
      <c r="J395" s="61" t="s">
        <v>306</v>
      </c>
      <c r="K395" s="62">
        <v>4802</v>
      </c>
      <c r="L395" s="11"/>
    </row>
    <row r="396" spans="10:12" ht="14.25" customHeight="1" x14ac:dyDescent="0.2">
      <c r="J396" s="61" t="s">
        <v>1183</v>
      </c>
      <c r="K396" s="62">
        <v>817</v>
      </c>
      <c r="L396" s="11"/>
    </row>
    <row r="397" spans="10:12" ht="14.25" customHeight="1" x14ac:dyDescent="0.2">
      <c r="J397" s="61" t="s">
        <v>730</v>
      </c>
      <c r="K397" s="62">
        <v>2113</v>
      </c>
      <c r="L397" s="11"/>
    </row>
    <row r="398" spans="10:12" ht="14.25" customHeight="1" x14ac:dyDescent="0.2">
      <c r="J398" s="61" t="s">
        <v>397</v>
      </c>
      <c r="K398" s="62">
        <v>3363</v>
      </c>
      <c r="L398" s="11"/>
    </row>
    <row r="399" spans="10:12" ht="14.25" customHeight="1" x14ac:dyDescent="0.2">
      <c r="J399" s="61" t="s">
        <v>443</v>
      </c>
      <c r="K399" s="62">
        <v>3063</v>
      </c>
      <c r="L399" s="11"/>
    </row>
    <row r="400" spans="10:12" ht="14.25" customHeight="1" x14ac:dyDescent="0.2">
      <c r="J400" s="61" t="s">
        <v>859</v>
      </c>
      <c r="K400" s="62">
        <v>1649</v>
      </c>
      <c r="L400" s="11"/>
    </row>
    <row r="401" spans="10:12" ht="14.25" customHeight="1" x14ac:dyDescent="0.2">
      <c r="J401" s="61" t="s">
        <v>858</v>
      </c>
      <c r="K401" s="62">
        <v>1650</v>
      </c>
      <c r="L401" s="11"/>
    </row>
    <row r="402" spans="10:12" ht="14.25" customHeight="1" x14ac:dyDescent="0.2">
      <c r="J402" s="61" t="s">
        <v>433</v>
      </c>
      <c r="K402" s="62">
        <v>3117</v>
      </c>
      <c r="L402" s="11"/>
    </row>
    <row r="403" spans="10:12" ht="14.25" customHeight="1" x14ac:dyDescent="0.2">
      <c r="J403" s="61" t="s">
        <v>855</v>
      </c>
      <c r="K403" s="62">
        <v>1659</v>
      </c>
      <c r="L403" s="11"/>
    </row>
    <row r="404" spans="10:12" ht="14.25" customHeight="1" x14ac:dyDescent="0.2">
      <c r="J404" s="61" t="s">
        <v>22</v>
      </c>
      <c r="K404" s="62">
        <v>494</v>
      </c>
      <c r="L404" s="11"/>
    </row>
    <row r="405" spans="10:12" ht="14.25" customHeight="1" x14ac:dyDescent="0.2">
      <c r="J405" s="61" t="s">
        <v>563</v>
      </c>
      <c r="K405" s="62">
        <v>2702</v>
      </c>
      <c r="L405" s="11"/>
    </row>
    <row r="406" spans="10:12" ht="14.25" customHeight="1" x14ac:dyDescent="0.2">
      <c r="J406" s="61" t="s">
        <v>21</v>
      </c>
      <c r="K406" s="62">
        <v>497</v>
      </c>
      <c r="L406" s="11"/>
    </row>
    <row r="407" spans="10:12" ht="14.25" customHeight="1" x14ac:dyDescent="0.2">
      <c r="J407" s="61" t="s">
        <v>20</v>
      </c>
      <c r="K407" s="62">
        <v>498</v>
      </c>
      <c r="L407" s="11"/>
    </row>
    <row r="408" spans="10:12" ht="14.25" customHeight="1" x14ac:dyDescent="0.2">
      <c r="J408" s="61" t="s">
        <v>17</v>
      </c>
      <c r="K408" s="62">
        <v>501</v>
      </c>
      <c r="L408" s="11"/>
    </row>
    <row r="409" spans="10:12" ht="14.25" customHeight="1" x14ac:dyDescent="0.2">
      <c r="J409" s="61" t="s">
        <v>19</v>
      </c>
      <c r="K409" s="62">
        <v>499</v>
      </c>
      <c r="L409" s="11"/>
    </row>
    <row r="410" spans="10:12" ht="14.25" customHeight="1" x14ac:dyDescent="0.2">
      <c r="J410" s="61" t="s">
        <v>18</v>
      </c>
      <c r="K410" s="62">
        <v>500</v>
      </c>
      <c r="L410" s="11"/>
    </row>
    <row r="411" spans="10:12" ht="14.25" customHeight="1" x14ac:dyDescent="0.2">
      <c r="J411" s="61" t="s">
        <v>16</v>
      </c>
      <c r="K411" s="62">
        <v>504</v>
      </c>
      <c r="L411" s="11"/>
    </row>
    <row r="412" spans="10:12" ht="14.25" customHeight="1" x14ac:dyDescent="0.2">
      <c r="J412" s="61" t="s">
        <v>15</v>
      </c>
      <c r="K412" s="62">
        <v>508</v>
      </c>
      <c r="L412" s="11"/>
    </row>
    <row r="413" spans="10:12" ht="14.25" customHeight="1" x14ac:dyDescent="0.2">
      <c r="J413" s="61" t="s">
        <v>205</v>
      </c>
      <c r="K413" s="62">
        <v>115</v>
      </c>
      <c r="L413" s="11"/>
    </row>
    <row r="414" spans="10:12" ht="14.25" customHeight="1" x14ac:dyDescent="0.2">
      <c r="J414" s="61" t="s">
        <v>204</v>
      </c>
      <c r="K414" s="62">
        <v>118</v>
      </c>
      <c r="L414" s="11"/>
    </row>
    <row r="415" spans="10:12" ht="14.25" customHeight="1" x14ac:dyDescent="0.2">
      <c r="J415" s="61" t="s">
        <v>14</v>
      </c>
      <c r="K415" s="62">
        <v>514</v>
      </c>
      <c r="L415" s="11"/>
    </row>
    <row r="416" spans="10:12" ht="14.25" customHeight="1" x14ac:dyDescent="0.2">
      <c r="J416" s="61" t="s">
        <v>13</v>
      </c>
      <c r="K416" s="62">
        <v>515</v>
      </c>
      <c r="L416" s="11"/>
    </row>
    <row r="417" spans="10:12" ht="14.25" customHeight="1" x14ac:dyDescent="0.2">
      <c r="J417" s="61" t="s">
        <v>854</v>
      </c>
      <c r="K417" s="62">
        <v>1667</v>
      </c>
      <c r="L417" s="11"/>
    </row>
    <row r="418" spans="10:12" ht="14.25" customHeight="1" x14ac:dyDescent="0.2">
      <c r="J418" s="61" t="s">
        <v>853</v>
      </c>
      <c r="K418" s="62">
        <v>1670</v>
      </c>
      <c r="L418" s="11"/>
    </row>
    <row r="419" spans="10:12" ht="14.25" customHeight="1" x14ac:dyDescent="0.2">
      <c r="J419" s="61" t="s">
        <v>510</v>
      </c>
      <c r="K419" s="62">
        <v>2836</v>
      </c>
      <c r="L419" s="11"/>
    </row>
    <row r="420" spans="10:12" ht="14.25" customHeight="1" x14ac:dyDescent="0.2">
      <c r="J420" s="61" t="s">
        <v>9</v>
      </c>
      <c r="K420" s="62">
        <v>519</v>
      </c>
      <c r="L420" s="11"/>
    </row>
    <row r="421" spans="10:12" ht="14.25" customHeight="1" x14ac:dyDescent="0.2">
      <c r="J421" s="61" t="s">
        <v>8</v>
      </c>
      <c r="K421" s="62">
        <v>520</v>
      </c>
      <c r="L421" s="11"/>
    </row>
    <row r="422" spans="10:12" ht="14.25" customHeight="1" x14ac:dyDescent="0.2">
      <c r="J422" s="61" t="s">
        <v>5</v>
      </c>
      <c r="K422" s="62">
        <v>523</v>
      </c>
      <c r="L422" s="11"/>
    </row>
    <row r="423" spans="10:12" ht="14.25" customHeight="1" x14ac:dyDescent="0.2">
      <c r="J423" s="61" t="s">
        <v>11</v>
      </c>
      <c r="K423" s="62">
        <v>517</v>
      </c>
      <c r="L423" s="11"/>
    </row>
    <row r="424" spans="10:12" ht="14.25" customHeight="1" x14ac:dyDescent="0.2">
      <c r="J424" s="61" t="s">
        <v>7</v>
      </c>
      <c r="K424" s="62">
        <v>521</v>
      </c>
      <c r="L424" s="11"/>
    </row>
    <row r="425" spans="10:12" ht="14.25" customHeight="1" x14ac:dyDescent="0.2">
      <c r="J425" s="61" t="s">
        <v>6</v>
      </c>
      <c r="K425" s="62">
        <v>522</v>
      </c>
      <c r="L425" s="11"/>
    </row>
    <row r="426" spans="10:12" ht="14.25" customHeight="1" x14ac:dyDescent="0.2">
      <c r="J426" s="61" t="s">
        <v>4</v>
      </c>
      <c r="K426" s="62">
        <v>524</v>
      </c>
      <c r="L426" s="11"/>
    </row>
    <row r="427" spans="10:12" ht="14.25" customHeight="1" x14ac:dyDescent="0.2">
      <c r="J427" s="61" t="s">
        <v>3</v>
      </c>
      <c r="K427" s="62">
        <v>525</v>
      </c>
      <c r="L427" s="11"/>
    </row>
    <row r="428" spans="10:12" ht="14.25" customHeight="1" x14ac:dyDescent="0.2">
      <c r="J428" s="61" t="s">
        <v>2</v>
      </c>
      <c r="K428" s="62">
        <v>526</v>
      </c>
      <c r="L428" s="11"/>
    </row>
    <row r="429" spans="10:12" ht="14.25" customHeight="1" x14ac:dyDescent="0.2">
      <c r="J429" s="61" t="s">
        <v>1</v>
      </c>
      <c r="K429" s="62">
        <v>527</v>
      </c>
      <c r="L429" s="11"/>
    </row>
    <row r="430" spans="10:12" ht="14.25" customHeight="1" x14ac:dyDescent="0.2">
      <c r="J430" s="61" t="s">
        <v>10</v>
      </c>
      <c r="K430" s="62">
        <v>518</v>
      </c>
      <c r="L430" s="11"/>
    </row>
    <row r="431" spans="10:12" ht="14.25" customHeight="1" x14ac:dyDescent="0.2">
      <c r="J431" s="61" t="s">
        <v>0</v>
      </c>
      <c r="K431" s="62">
        <v>530</v>
      </c>
      <c r="L431" s="11"/>
    </row>
    <row r="432" spans="10:12" ht="14.25" customHeight="1" x14ac:dyDescent="0.2">
      <c r="J432" s="61" t="s">
        <v>1319</v>
      </c>
      <c r="K432" s="62">
        <v>532</v>
      </c>
      <c r="L432" s="11"/>
    </row>
    <row r="433" spans="10:12" ht="14.25" customHeight="1" x14ac:dyDescent="0.2">
      <c r="J433" s="61" t="s">
        <v>1318</v>
      </c>
      <c r="K433" s="62">
        <v>533</v>
      </c>
      <c r="L433" s="11"/>
    </row>
    <row r="434" spans="10:12" ht="14.25" customHeight="1" x14ac:dyDescent="0.2">
      <c r="J434" s="61" t="s">
        <v>1317</v>
      </c>
      <c r="K434" s="62">
        <v>535</v>
      </c>
      <c r="L434" s="11"/>
    </row>
    <row r="435" spans="10:12" ht="14.25" customHeight="1" x14ac:dyDescent="0.2">
      <c r="J435" s="61" t="s">
        <v>1316</v>
      </c>
      <c r="K435" s="62">
        <v>536</v>
      </c>
      <c r="L435" s="11"/>
    </row>
    <row r="436" spans="10:12" ht="14.25" customHeight="1" x14ac:dyDescent="0.2">
      <c r="J436" s="61" t="s">
        <v>1315</v>
      </c>
      <c r="K436" s="62">
        <v>537</v>
      </c>
      <c r="L436" s="11"/>
    </row>
    <row r="437" spans="10:12" ht="14.25" customHeight="1" x14ac:dyDescent="0.2">
      <c r="J437" s="61" t="s">
        <v>1314</v>
      </c>
      <c r="K437" s="62">
        <v>538</v>
      </c>
      <c r="L437" s="11"/>
    </row>
    <row r="438" spans="10:12" ht="14.25" customHeight="1" x14ac:dyDescent="0.2">
      <c r="J438" s="61" t="s">
        <v>1313</v>
      </c>
      <c r="K438" s="62">
        <v>541</v>
      </c>
      <c r="L438" s="11"/>
    </row>
    <row r="439" spans="10:12" ht="14.25" customHeight="1" x14ac:dyDescent="0.2">
      <c r="J439" s="61" t="s">
        <v>1312</v>
      </c>
      <c r="K439" s="62">
        <v>542</v>
      </c>
      <c r="L439" s="11"/>
    </row>
    <row r="440" spans="10:12" ht="14.25" customHeight="1" x14ac:dyDescent="0.2">
      <c r="J440" s="61" t="s">
        <v>1311</v>
      </c>
      <c r="K440" s="62">
        <v>543</v>
      </c>
      <c r="L440" s="11"/>
    </row>
    <row r="441" spans="10:12" ht="14.25" customHeight="1" x14ac:dyDescent="0.2">
      <c r="J441" s="61" t="s">
        <v>1310</v>
      </c>
      <c r="K441" s="62">
        <v>546</v>
      </c>
      <c r="L441" s="11"/>
    </row>
    <row r="442" spans="10:12" ht="14.25" customHeight="1" x14ac:dyDescent="0.2">
      <c r="J442" s="61" t="s">
        <v>509</v>
      </c>
      <c r="K442" s="62">
        <v>2839</v>
      </c>
      <c r="L442" s="11"/>
    </row>
    <row r="443" spans="10:12" ht="14.25" customHeight="1" x14ac:dyDescent="0.2">
      <c r="J443" s="61" t="s">
        <v>1309</v>
      </c>
      <c r="K443" s="62">
        <v>548</v>
      </c>
      <c r="L443" s="11"/>
    </row>
    <row r="444" spans="10:12" ht="14.25" customHeight="1" x14ac:dyDescent="0.2">
      <c r="J444" s="61" t="s">
        <v>1308</v>
      </c>
      <c r="K444" s="62">
        <v>551</v>
      </c>
      <c r="L444" s="11"/>
    </row>
    <row r="445" spans="10:12" ht="14.25" customHeight="1" x14ac:dyDescent="0.2">
      <c r="J445" s="61" t="s">
        <v>1307</v>
      </c>
      <c r="K445" s="62">
        <v>554</v>
      </c>
      <c r="L445" s="11"/>
    </row>
    <row r="446" spans="10:12" ht="14.25" customHeight="1" x14ac:dyDescent="0.2">
      <c r="J446" s="61" t="s">
        <v>428</v>
      </c>
      <c r="K446" s="62">
        <v>3138</v>
      </c>
      <c r="L446" s="11"/>
    </row>
    <row r="447" spans="10:12" ht="14.25" customHeight="1" x14ac:dyDescent="0.2">
      <c r="J447" s="61" t="s">
        <v>1306</v>
      </c>
      <c r="K447" s="62">
        <v>557</v>
      </c>
      <c r="L447" s="11"/>
    </row>
    <row r="448" spans="10:12" ht="14.25" customHeight="1" x14ac:dyDescent="0.2">
      <c r="J448" s="61" t="s">
        <v>1305</v>
      </c>
      <c r="K448" s="62">
        <v>558</v>
      </c>
      <c r="L448" s="11"/>
    </row>
    <row r="449" spans="10:12" ht="14.25" customHeight="1" x14ac:dyDescent="0.2">
      <c r="J449" s="61" t="s">
        <v>508</v>
      </c>
      <c r="K449" s="62">
        <v>2840</v>
      </c>
      <c r="L449" s="11"/>
    </row>
    <row r="450" spans="10:12" ht="14.25" customHeight="1" x14ac:dyDescent="0.2">
      <c r="J450" s="61" t="s">
        <v>256</v>
      </c>
      <c r="K450" s="62">
        <v>6024</v>
      </c>
      <c r="L450" s="11"/>
    </row>
    <row r="451" spans="10:12" ht="14.25" customHeight="1" x14ac:dyDescent="0.2">
      <c r="J451" s="61" t="s">
        <v>525</v>
      </c>
      <c r="K451" s="62">
        <v>2772</v>
      </c>
      <c r="L451" s="11"/>
    </row>
    <row r="452" spans="10:12" ht="14.25" customHeight="1" x14ac:dyDescent="0.2">
      <c r="J452" s="61" t="s">
        <v>524</v>
      </c>
      <c r="K452" s="62">
        <v>2776</v>
      </c>
      <c r="L452" s="11"/>
    </row>
    <row r="453" spans="10:12" ht="14.25" customHeight="1" x14ac:dyDescent="0.2">
      <c r="J453" s="61" t="s">
        <v>1304</v>
      </c>
      <c r="K453" s="62">
        <v>568</v>
      </c>
      <c r="L453" s="11"/>
    </row>
    <row r="454" spans="10:12" ht="14.25" customHeight="1" x14ac:dyDescent="0.2">
      <c r="J454" s="61" t="s">
        <v>389</v>
      </c>
      <c r="K454" s="62">
        <v>3547</v>
      </c>
      <c r="L454" s="11"/>
    </row>
    <row r="455" spans="10:12" ht="14.25" customHeight="1" x14ac:dyDescent="0.2">
      <c r="J455" s="61" t="s">
        <v>523</v>
      </c>
      <c r="K455" s="62">
        <v>2778</v>
      </c>
      <c r="L455" s="11"/>
    </row>
    <row r="456" spans="10:12" ht="14.25" customHeight="1" x14ac:dyDescent="0.2">
      <c r="J456" s="61" t="s">
        <v>388</v>
      </c>
      <c r="K456" s="62">
        <v>3548</v>
      </c>
      <c r="L456" s="11"/>
    </row>
    <row r="457" spans="10:12" ht="14.25" customHeight="1" x14ac:dyDescent="0.2">
      <c r="J457" s="61" t="s">
        <v>359</v>
      </c>
      <c r="K457" s="62">
        <v>4319</v>
      </c>
      <c r="L457" s="11"/>
    </row>
    <row r="458" spans="10:12" ht="14.25" customHeight="1" x14ac:dyDescent="0.2">
      <c r="J458" s="61" t="s">
        <v>850</v>
      </c>
      <c r="K458" s="62">
        <v>1681</v>
      </c>
      <c r="L458" s="11"/>
    </row>
    <row r="459" spans="10:12" ht="14.25" customHeight="1" x14ac:dyDescent="0.2">
      <c r="J459" s="61" t="s">
        <v>1303</v>
      </c>
      <c r="K459" s="62">
        <v>570</v>
      </c>
      <c r="L459" s="11"/>
    </row>
    <row r="460" spans="10:12" ht="14.25" customHeight="1" x14ac:dyDescent="0.2">
      <c r="J460" s="61" t="s">
        <v>612</v>
      </c>
      <c r="K460" s="62">
        <v>2613</v>
      </c>
      <c r="L460" s="11"/>
    </row>
    <row r="461" spans="10:12" ht="14.25" customHeight="1" x14ac:dyDescent="0.2">
      <c r="J461" s="61" t="s">
        <v>613</v>
      </c>
      <c r="K461" s="62">
        <v>2612</v>
      </c>
      <c r="L461" s="11"/>
    </row>
    <row r="462" spans="10:12" ht="14.25" customHeight="1" x14ac:dyDescent="0.2">
      <c r="J462" s="61" t="s">
        <v>1108</v>
      </c>
      <c r="K462" s="62">
        <v>1002</v>
      </c>
      <c r="L462" s="11"/>
    </row>
    <row r="463" spans="10:12" ht="14.25" customHeight="1" x14ac:dyDescent="0.2">
      <c r="J463" s="61" t="s">
        <v>1302</v>
      </c>
      <c r="K463" s="62">
        <v>572</v>
      </c>
      <c r="L463" s="11"/>
    </row>
    <row r="464" spans="10:12" ht="14.25" customHeight="1" x14ac:dyDescent="0.2">
      <c r="J464" s="61" t="s">
        <v>1297</v>
      </c>
      <c r="K464" s="62">
        <v>577</v>
      </c>
      <c r="L464" s="11"/>
    </row>
    <row r="465" spans="10:12" ht="14.25" customHeight="1" x14ac:dyDescent="0.2">
      <c r="J465" s="61" t="s">
        <v>1301</v>
      </c>
      <c r="K465" s="62">
        <v>573</v>
      </c>
      <c r="L465" s="11"/>
    </row>
    <row r="466" spans="10:12" ht="14.25" customHeight="1" x14ac:dyDescent="0.2">
      <c r="J466" s="61" t="s">
        <v>1300</v>
      </c>
      <c r="K466" s="62">
        <v>574</v>
      </c>
      <c r="L466" s="11"/>
    </row>
    <row r="467" spans="10:12" ht="14.25" customHeight="1" x14ac:dyDescent="0.2">
      <c r="J467" s="61" t="s">
        <v>1295</v>
      </c>
      <c r="K467" s="62">
        <v>579</v>
      </c>
      <c r="L467" s="11"/>
    </row>
    <row r="468" spans="10:12" ht="14.25" customHeight="1" x14ac:dyDescent="0.2">
      <c r="J468" s="61" t="s">
        <v>1299</v>
      </c>
      <c r="K468" s="62">
        <v>575</v>
      </c>
      <c r="L468" s="11"/>
    </row>
    <row r="469" spans="10:12" ht="14.25" customHeight="1" x14ac:dyDescent="0.2">
      <c r="J469" s="61" t="s">
        <v>1298</v>
      </c>
      <c r="K469" s="62">
        <v>576</v>
      </c>
      <c r="L469" s="11"/>
    </row>
    <row r="470" spans="10:12" ht="14.25" customHeight="1" x14ac:dyDescent="0.2">
      <c r="J470" s="61" t="s">
        <v>1296</v>
      </c>
      <c r="K470" s="62">
        <v>578</v>
      </c>
      <c r="L470" s="11"/>
    </row>
    <row r="471" spans="10:12" ht="14.25" customHeight="1" x14ac:dyDescent="0.2">
      <c r="J471" s="61" t="s">
        <v>551</v>
      </c>
      <c r="K471" s="62">
        <v>2720</v>
      </c>
      <c r="L471" s="11"/>
    </row>
    <row r="472" spans="10:12" ht="14.25" customHeight="1" x14ac:dyDescent="0.2">
      <c r="J472" s="61" t="s">
        <v>1294</v>
      </c>
      <c r="K472" s="62">
        <v>583</v>
      </c>
      <c r="L472" s="11"/>
    </row>
    <row r="473" spans="10:12" ht="14.25" customHeight="1" x14ac:dyDescent="0.2">
      <c r="J473" s="61" t="s">
        <v>1293</v>
      </c>
      <c r="K473" s="62">
        <v>584</v>
      </c>
      <c r="L473" s="11"/>
    </row>
    <row r="474" spans="10:12" ht="14.25" customHeight="1" x14ac:dyDescent="0.2">
      <c r="J474" s="61" t="s">
        <v>439</v>
      </c>
      <c r="K474" s="62">
        <v>3088</v>
      </c>
      <c r="L474" s="11"/>
    </row>
    <row r="475" spans="10:12" ht="14.25" customHeight="1" x14ac:dyDescent="0.2">
      <c r="J475" s="61" t="s">
        <v>848</v>
      </c>
      <c r="K475" s="62">
        <v>1683</v>
      </c>
      <c r="L475" s="11"/>
    </row>
    <row r="476" spans="10:12" ht="14.25" customHeight="1" x14ac:dyDescent="0.2">
      <c r="J476" s="61" t="s">
        <v>847</v>
      </c>
      <c r="K476" s="62">
        <v>1685</v>
      </c>
      <c r="L476" s="11"/>
    </row>
    <row r="477" spans="10:12" ht="14.25" customHeight="1" x14ac:dyDescent="0.2">
      <c r="J477" s="61" t="s">
        <v>846</v>
      </c>
      <c r="K477" s="62">
        <v>1686</v>
      </c>
      <c r="L477" s="11"/>
    </row>
    <row r="478" spans="10:12" ht="14.25" customHeight="1" x14ac:dyDescent="0.2">
      <c r="J478" s="61" t="s">
        <v>845</v>
      </c>
      <c r="K478" s="62">
        <v>1688</v>
      </c>
      <c r="L478" s="11"/>
    </row>
    <row r="479" spans="10:12" ht="14.25" customHeight="1" x14ac:dyDescent="0.2">
      <c r="J479" s="61" t="s">
        <v>844</v>
      </c>
      <c r="K479" s="62">
        <v>1691</v>
      </c>
      <c r="L479" s="11"/>
    </row>
    <row r="480" spans="10:12" ht="14.25" customHeight="1" x14ac:dyDescent="0.2">
      <c r="J480" s="61" t="s">
        <v>843</v>
      </c>
      <c r="K480" s="62">
        <v>1692</v>
      </c>
      <c r="L480" s="11"/>
    </row>
    <row r="481" spans="10:12" ht="14.25" customHeight="1" x14ac:dyDescent="0.2">
      <c r="J481" s="61" t="s">
        <v>842</v>
      </c>
      <c r="K481" s="62">
        <v>1695</v>
      </c>
      <c r="L481" s="11"/>
    </row>
    <row r="482" spans="10:12" ht="14.25" customHeight="1" x14ac:dyDescent="0.2">
      <c r="J482" s="61" t="s">
        <v>841</v>
      </c>
      <c r="K482" s="62">
        <v>1696</v>
      </c>
      <c r="L482" s="11"/>
    </row>
    <row r="483" spans="10:12" ht="14.25" customHeight="1" x14ac:dyDescent="0.2">
      <c r="J483" s="61" t="s">
        <v>431</v>
      </c>
      <c r="K483" s="62">
        <v>3124</v>
      </c>
      <c r="L483" s="11"/>
    </row>
    <row r="484" spans="10:12" ht="14.25" customHeight="1" x14ac:dyDescent="0.2">
      <c r="J484" s="61" t="s">
        <v>1292</v>
      </c>
      <c r="K484" s="62">
        <v>587</v>
      </c>
      <c r="L484" s="11"/>
    </row>
    <row r="485" spans="10:12" ht="14.25" customHeight="1" x14ac:dyDescent="0.2">
      <c r="J485" s="61" t="s">
        <v>1291</v>
      </c>
      <c r="K485" s="62">
        <v>588</v>
      </c>
      <c r="L485" s="11"/>
    </row>
    <row r="486" spans="10:12" ht="14.25" customHeight="1" x14ac:dyDescent="0.2">
      <c r="J486" s="61" t="s">
        <v>1290</v>
      </c>
      <c r="K486" s="62">
        <v>589</v>
      </c>
      <c r="L486" s="11"/>
    </row>
    <row r="487" spans="10:12" ht="14.25" customHeight="1" x14ac:dyDescent="0.2">
      <c r="J487" s="61" t="s">
        <v>610</v>
      </c>
      <c r="K487" s="62">
        <v>2615</v>
      </c>
      <c r="L487" s="11"/>
    </row>
    <row r="488" spans="10:12" ht="14.25" customHeight="1" x14ac:dyDescent="0.2">
      <c r="J488" s="61" t="s">
        <v>611</v>
      </c>
      <c r="K488" s="62">
        <v>2614</v>
      </c>
      <c r="L488" s="11"/>
    </row>
    <row r="489" spans="10:12" ht="14.25" customHeight="1" x14ac:dyDescent="0.2">
      <c r="J489" s="61" t="s">
        <v>438</v>
      </c>
      <c r="K489" s="62">
        <v>3090</v>
      </c>
      <c r="L489" s="11"/>
    </row>
    <row r="490" spans="10:12" ht="14.25" customHeight="1" x14ac:dyDescent="0.2">
      <c r="J490" s="61" t="s">
        <v>729</v>
      </c>
      <c r="K490" s="62">
        <v>2126</v>
      </c>
      <c r="L490" s="11"/>
    </row>
    <row r="491" spans="10:12" ht="14.25" customHeight="1" x14ac:dyDescent="0.2">
      <c r="J491" s="61" t="s">
        <v>728</v>
      </c>
      <c r="K491" s="62">
        <v>2130</v>
      </c>
      <c r="L491" s="11"/>
    </row>
    <row r="492" spans="10:12" ht="14.25" customHeight="1" x14ac:dyDescent="0.2">
      <c r="J492" s="61" t="s">
        <v>840</v>
      </c>
      <c r="K492" s="62">
        <v>1702</v>
      </c>
      <c r="L492" s="11"/>
    </row>
    <row r="493" spans="10:12" ht="14.25" customHeight="1" x14ac:dyDescent="0.2">
      <c r="J493" s="61" t="s">
        <v>1289</v>
      </c>
      <c r="K493" s="62">
        <v>598</v>
      </c>
      <c r="L493" s="11"/>
    </row>
    <row r="494" spans="10:12" ht="14.25" customHeight="1" x14ac:dyDescent="0.2">
      <c r="J494" s="61" t="s">
        <v>387</v>
      </c>
      <c r="K494" s="62">
        <v>3563</v>
      </c>
      <c r="L494" s="11"/>
    </row>
    <row r="495" spans="10:12" ht="14.25" customHeight="1" x14ac:dyDescent="0.2">
      <c r="J495" s="61" t="s">
        <v>1287</v>
      </c>
      <c r="K495" s="62">
        <v>601</v>
      </c>
      <c r="L495" s="11"/>
    </row>
    <row r="496" spans="10:12" ht="14.25" customHeight="1" x14ac:dyDescent="0.2">
      <c r="J496" s="61" t="s">
        <v>1286</v>
      </c>
      <c r="K496" s="62">
        <v>602</v>
      </c>
      <c r="L496" s="11"/>
    </row>
    <row r="497" spans="10:12" ht="14.25" customHeight="1" x14ac:dyDescent="0.2">
      <c r="J497" s="61" t="s">
        <v>555</v>
      </c>
      <c r="K497" s="62">
        <v>2715</v>
      </c>
      <c r="L497" s="11"/>
    </row>
    <row r="498" spans="10:12" ht="14.25" customHeight="1" x14ac:dyDescent="0.2">
      <c r="J498" s="61" t="s">
        <v>1285</v>
      </c>
      <c r="K498" s="62">
        <v>605</v>
      </c>
      <c r="L498" s="11"/>
    </row>
    <row r="499" spans="10:12" ht="14.25" customHeight="1" x14ac:dyDescent="0.2">
      <c r="J499" s="61" t="s">
        <v>386</v>
      </c>
      <c r="K499" s="62">
        <v>3566</v>
      </c>
      <c r="L499" s="11"/>
    </row>
    <row r="500" spans="10:12" ht="14.25" customHeight="1" x14ac:dyDescent="0.2">
      <c r="J500" s="61" t="s">
        <v>1284</v>
      </c>
      <c r="K500" s="62">
        <v>607</v>
      </c>
      <c r="L500" s="11"/>
    </row>
    <row r="501" spans="10:12" ht="14.25" customHeight="1" x14ac:dyDescent="0.2">
      <c r="J501" s="61" t="s">
        <v>1283</v>
      </c>
      <c r="K501" s="62">
        <v>608</v>
      </c>
      <c r="L501" s="11"/>
    </row>
    <row r="502" spans="10:12" ht="14.25" customHeight="1" x14ac:dyDescent="0.2">
      <c r="J502" s="61" t="s">
        <v>1282</v>
      </c>
      <c r="K502" s="62">
        <v>609</v>
      </c>
      <c r="L502" s="11"/>
    </row>
    <row r="503" spans="10:12" ht="14.25" customHeight="1" x14ac:dyDescent="0.2">
      <c r="J503" s="61" t="s">
        <v>507</v>
      </c>
      <c r="K503" s="62">
        <v>2844</v>
      </c>
      <c r="L503" s="11"/>
    </row>
    <row r="504" spans="10:12" ht="14.25" customHeight="1" x14ac:dyDescent="0.2">
      <c r="J504" s="61" t="s">
        <v>1281</v>
      </c>
      <c r="K504" s="62">
        <v>610</v>
      </c>
      <c r="L504" s="11"/>
    </row>
    <row r="505" spans="10:12" ht="14.25" customHeight="1" x14ac:dyDescent="0.2">
      <c r="J505" s="61" t="s">
        <v>1280</v>
      </c>
      <c r="K505" s="62">
        <v>611</v>
      </c>
      <c r="L505" s="11"/>
    </row>
    <row r="506" spans="10:12" ht="14.25" customHeight="1" x14ac:dyDescent="0.2">
      <c r="J506" s="61" t="s">
        <v>1279</v>
      </c>
      <c r="K506" s="62">
        <v>612</v>
      </c>
      <c r="L506" s="11"/>
    </row>
    <row r="507" spans="10:12" ht="14.25" customHeight="1" x14ac:dyDescent="0.2">
      <c r="J507" s="61" t="s">
        <v>1278</v>
      </c>
      <c r="K507" s="62">
        <v>613</v>
      </c>
      <c r="L507" s="11"/>
    </row>
    <row r="508" spans="10:12" ht="14.25" customHeight="1" x14ac:dyDescent="0.2">
      <c r="J508" s="61" t="s">
        <v>380</v>
      </c>
      <c r="K508" s="62">
        <v>3775</v>
      </c>
      <c r="L508" s="11"/>
    </row>
    <row r="509" spans="10:12" ht="14.25" customHeight="1" x14ac:dyDescent="0.2">
      <c r="J509" s="61" t="s">
        <v>385</v>
      </c>
      <c r="K509" s="62">
        <v>3573</v>
      </c>
      <c r="L509" s="11"/>
    </row>
    <row r="510" spans="10:12" ht="14.25" customHeight="1" x14ac:dyDescent="0.2">
      <c r="J510" s="61" t="s">
        <v>1277</v>
      </c>
      <c r="K510" s="62">
        <v>614</v>
      </c>
      <c r="L510" s="11"/>
    </row>
    <row r="511" spans="10:12" ht="14.25" customHeight="1" x14ac:dyDescent="0.2">
      <c r="J511" s="61" t="s">
        <v>1276</v>
      </c>
      <c r="K511" s="62">
        <v>615</v>
      </c>
      <c r="L511" s="11"/>
    </row>
    <row r="512" spans="10:12" ht="14.25" customHeight="1" x14ac:dyDescent="0.2">
      <c r="J512" s="61" t="s">
        <v>1275</v>
      </c>
      <c r="K512" s="62">
        <v>617</v>
      </c>
      <c r="L512" s="11"/>
    </row>
    <row r="513" spans="10:12" ht="14.25" customHeight="1" x14ac:dyDescent="0.2">
      <c r="J513" s="61" t="s">
        <v>1274</v>
      </c>
      <c r="K513" s="62">
        <v>618</v>
      </c>
      <c r="L513" s="11"/>
    </row>
    <row r="514" spans="10:12" ht="14.25" customHeight="1" x14ac:dyDescent="0.2">
      <c r="J514" s="61" t="s">
        <v>506</v>
      </c>
      <c r="K514" s="62">
        <v>2845</v>
      </c>
      <c r="L514" s="11"/>
    </row>
    <row r="515" spans="10:12" ht="14.25" customHeight="1" x14ac:dyDescent="0.2">
      <c r="J515" s="61" t="s">
        <v>1273</v>
      </c>
      <c r="K515" s="62">
        <v>619</v>
      </c>
      <c r="L515" s="11"/>
    </row>
    <row r="516" spans="10:12" ht="14.25" customHeight="1" x14ac:dyDescent="0.2">
      <c r="J516" s="61" t="s">
        <v>342</v>
      </c>
      <c r="K516" s="62">
        <v>4380</v>
      </c>
      <c r="L516" s="11"/>
    </row>
    <row r="517" spans="10:12" ht="14.25" customHeight="1" x14ac:dyDescent="0.2">
      <c r="J517" s="61" t="s">
        <v>1272</v>
      </c>
      <c r="K517" s="62">
        <v>622</v>
      </c>
      <c r="L517" s="11"/>
    </row>
    <row r="518" spans="10:12" ht="14.25" customHeight="1" x14ac:dyDescent="0.2">
      <c r="J518" s="61" t="s">
        <v>1271</v>
      </c>
      <c r="K518" s="62">
        <v>625</v>
      </c>
      <c r="L518" s="11"/>
    </row>
    <row r="519" spans="10:12" ht="14.25" customHeight="1" x14ac:dyDescent="0.2">
      <c r="J519" s="61" t="s">
        <v>1270</v>
      </c>
      <c r="K519" s="62">
        <v>629</v>
      </c>
      <c r="L519" s="11"/>
    </row>
    <row r="520" spans="10:12" ht="14.25" customHeight="1" x14ac:dyDescent="0.2">
      <c r="J520" s="61" t="s">
        <v>1269</v>
      </c>
      <c r="K520" s="62">
        <v>630</v>
      </c>
      <c r="L520" s="11"/>
    </row>
    <row r="521" spans="10:12" ht="14.25" customHeight="1" x14ac:dyDescent="0.2">
      <c r="J521" s="61" t="s">
        <v>427</v>
      </c>
      <c r="K521" s="62">
        <v>3151</v>
      </c>
      <c r="L521" s="11"/>
    </row>
    <row r="522" spans="10:12" ht="14.25" customHeight="1" x14ac:dyDescent="0.2">
      <c r="J522" s="61" t="s">
        <v>1268</v>
      </c>
      <c r="K522" s="62">
        <v>632</v>
      </c>
      <c r="L522" s="11"/>
    </row>
    <row r="523" spans="10:12" ht="14.25" customHeight="1" x14ac:dyDescent="0.2">
      <c r="J523" s="61" t="s">
        <v>1267</v>
      </c>
      <c r="K523" s="62">
        <v>633</v>
      </c>
      <c r="L523" s="11"/>
    </row>
    <row r="524" spans="10:12" ht="14.25" customHeight="1" x14ac:dyDescent="0.2">
      <c r="J524" s="61" t="s">
        <v>1266</v>
      </c>
      <c r="K524" s="62">
        <v>634</v>
      </c>
      <c r="L524" s="11"/>
    </row>
    <row r="525" spans="10:12" ht="14.25" customHeight="1" x14ac:dyDescent="0.2">
      <c r="J525" s="61" t="s">
        <v>1265</v>
      </c>
      <c r="K525" s="62">
        <v>637</v>
      </c>
      <c r="L525" s="11"/>
    </row>
    <row r="526" spans="10:12" ht="14.25" customHeight="1" x14ac:dyDescent="0.2">
      <c r="J526" s="61" t="s">
        <v>1264</v>
      </c>
      <c r="K526" s="62">
        <v>638</v>
      </c>
      <c r="L526" s="11"/>
    </row>
    <row r="527" spans="10:12" ht="14.25" customHeight="1" x14ac:dyDescent="0.2">
      <c r="J527" s="61" t="s">
        <v>1263</v>
      </c>
      <c r="K527" s="62">
        <v>639</v>
      </c>
      <c r="L527" s="11"/>
    </row>
    <row r="528" spans="10:12" ht="14.25" customHeight="1" x14ac:dyDescent="0.2">
      <c r="J528" s="61" t="s">
        <v>1262</v>
      </c>
      <c r="K528" s="62">
        <v>641</v>
      </c>
      <c r="L528" s="11"/>
    </row>
    <row r="529" spans="10:12" ht="14.25" customHeight="1" x14ac:dyDescent="0.2">
      <c r="J529" s="61" t="s">
        <v>1261</v>
      </c>
      <c r="K529" s="62">
        <v>646</v>
      </c>
      <c r="L529" s="11"/>
    </row>
    <row r="530" spans="10:12" ht="14.25" customHeight="1" x14ac:dyDescent="0.2">
      <c r="J530" s="61" t="s">
        <v>839</v>
      </c>
      <c r="K530" s="62">
        <v>1716</v>
      </c>
      <c r="L530" s="11"/>
    </row>
    <row r="531" spans="10:12" ht="14.25" customHeight="1" x14ac:dyDescent="0.2">
      <c r="J531" s="61" t="s">
        <v>1260</v>
      </c>
      <c r="K531" s="62">
        <v>649</v>
      </c>
      <c r="L531" s="11"/>
    </row>
    <row r="532" spans="10:12" ht="14.25" customHeight="1" x14ac:dyDescent="0.2">
      <c r="J532" s="61" t="s">
        <v>983</v>
      </c>
      <c r="K532" s="62">
        <v>1326</v>
      </c>
      <c r="L532" s="11"/>
    </row>
    <row r="533" spans="10:12" ht="14.25" customHeight="1" x14ac:dyDescent="0.2">
      <c r="J533" s="61" t="s">
        <v>727</v>
      </c>
      <c r="K533" s="62">
        <v>2133</v>
      </c>
      <c r="L533" s="11"/>
    </row>
    <row r="534" spans="10:12" ht="14.25" customHeight="1" x14ac:dyDescent="0.2">
      <c r="J534" s="61" t="s">
        <v>726</v>
      </c>
      <c r="K534" s="62">
        <v>2137</v>
      </c>
      <c r="L534" s="11"/>
    </row>
    <row r="535" spans="10:12" ht="14.25" customHeight="1" x14ac:dyDescent="0.2">
      <c r="J535" s="61" t="s">
        <v>725</v>
      </c>
      <c r="K535" s="62">
        <v>2138</v>
      </c>
      <c r="L535" s="11"/>
    </row>
    <row r="536" spans="10:12" ht="14.25" customHeight="1" x14ac:dyDescent="0.2">
      <c r="J536" s="61" t="s">
        <v>587</v>
      </c>
      <c r="K536" s="62">
        <v>2643</v>
      </c>
      <c r="L536" s="11"/>
    </row>
    <row r="537" spans="10:12" ht="14.25" customHeight="1" x14ac:dyDescent="0.2">
      <c r="J537" s="61" t="s">
        <v>1259</v>
      </c>
      <c r="K537" s="62">
        <v>652</v>
      </c>
      <c r="L537" s="11"/>
    </row>
    <row r="538" spans="10:12" ht="14.25" customHeight="1" x14ac:dyDescent="0.2">
      <c r="J538" s="61" t="s">
        <v>586</v>
      </c>
      <c r="K538" s="62">
        <v>2644</v>
      </c>
      <c r="L538" s="11"/>
    </row>
    <row r="539" spans="10:12" ht="14.25" customHeight="1" x14ac:dyDescent="0.2">
      <c r="J539" s="61" t="s">
        <v>1258</v>
      </c>
      <c r="K539" s="62">
        <v>654</v>
      </c>
      <c r="L539" s="11"/>
    </row>
    <row r="540" spans="10:12" ht="14.25" customHeight="1" x14ac:dyDescent="0.2">
      <c r="J540" s="61" t="s">
        <v>383</v>
      </c>
      <c r="K540" s="62">
        <v>3688</v>
      </c>
      <c r="L540" s="11"/>
    </row>
    <row r="541" spans="10:12" ht="14.25" customHeight="1" x14ac:dyDescent="0.2">
      <c r="J541" s="61" t="s">
        <v>1257</v>
      </c>
      <c r="K541" s="62">
        <v>655</v>
      </c>
      <c r="L541" s="11"/>
    </row>
    <row r="542" spans="10:12" ht="14.25" customHeight="1" x14ac:dyDescent="0.2">
      <c r="J542" s="61" t="s">
        <v>1256</v>
      </c>
      <c r="K542" s="62">
        <v>656</v>
      </c>
      <c r="L542" s="11"/>
    </row>
    <row r="543" spans="10:12" ht="14.25" customHeight="1" x14ac:dyDescent="0.2">
      <c r="J543" s="61" t="s">
        <v>1255</v>
      </c>
      <c r="K543" s="62">
        <v>661</v>
      </c>
      <c r="L543" s="11"/>
    </row>
    <row r="544" spans="10:12" ht="14.25" customHeight="1" x14ac:dyDescent="0.2">
      <c r="J544" s="61" t="s">
        <v>837</v>
      </c>
      <c r="K544" s="62">
        <v>1746</v>
      </c>
      <c r="L544" s="11"/>
    </row>
    <row r="545" spans="10:12" ht="14.25" customHeight="1" x14ac:dyDescent="0.2">
      <c r="J545" s="61" t="s">
        <v>1254</v>
      </c>
      <c r="K545" s="62">
        <v>675</v>
      </c>
      <c r="L545" s="11"/>
    </row>
    <row r="546" spans="10:12" ht="14.25" customHeight="1" x14ac:dyDescent="0.2">
      <c r="J546" s="61" t="s">
        <v>1253</v>
      </c>
      <c r="K546" s="62">
        <v>677</v>
      </c>
      <c r="L546" s="11"/>
    </row>
    <row r="547" spans="10:12" ht="14.25" customHeight="1" x14ac:dyDescent="0.2">
      <c r="J547" s="61" t="s">
        <v>1252</v>
      </c>
      <c r="K547" s="62">
        <v>679</v>
      </c>
      <c r="L547" s="11"/>
    </row>
    <row r="548" spans="10:12" ht="14.25" customHeight="1" x14ac:dyDescent="0.2">
      <c r="J548" s="61" t="s">
        <v>1251</v>
      </c>
      <c r="K548" s="62">
        <v>680</v>
      </c>
      <c r="L548" s="11"/>
    </row>
    <row r="549" spans="10:12" ht="14.25" customHeight="1" x14ac:dyDescent="0.2">
      <c r="J549" s="61" t="s">
        <v>1250</v>
      </c>
      <c r="K549" s="62">
        <v>681</v>
      </c>
      <c r="L549" s="11"/>
    </row>
    <row r="550" spans="10:12" ht="14.25" customHeight="1" x14ac:dyDescent="0.2">
      <c r="J550" s="61" t="s">
        <v>889</v>
      </c>
      <c r="K550" s="62">
        <v>1562</v>
      </c>
      <c r="L550" s="11"/>
    </row>
    <row r="551" spans="10:12" ht="14.25" customHeight="1" x14ac:dyDescent="0.2">
      <c r="J551" s="61" t="s">
        <v>888</v>
      </c>
      <c r="K551" s="62">
        <v>1564</v>
      </c>
      <c r="L551" s="11"/>
    </row>
    <row r="552" spans="10:12" ht="14.25" customHeight="1" x14ac:dyDescent="0.2">
      <c r="J552" s="61" t="s">
        <v>294</v>
      </c>
      <c r="K552" s="62">
        <v>5663</v>
      </c>
      <c r="L552" s="11"/>
    </row>
    <row r="553" spans="10:12" ht="14.25" customHeight="1" x14ac:dyDescent="0.2">
      <c r="J553" s="61" t="s">
        <v>1249</v>
      </c>
      <c r="K553" s="62">
        <v>684</v>
      </c>
      <c r="L553" s="11"/>
    </row>
    <row r="554" spans="10:12" ht="14.25" customHeight="1" x14ac:dyDescent="0.2">
      <c r="J554" s="61" t="s">
        <v>1248</v>
      </c>
      <c r="K554" s="62">
        <v>685</v>
      </c>
      <c r="L554" s="11"/>
    </row>
    <row r="555" spans="10:12" ht="14.25" customHeight="1" x14ac:dyDescent="0.2">
      <c r="J555" s="61" t="s">
        <v>1247</v>
      </c>
      <c r="K555" s="62">
        <v>688</v>
      </c>
      <c r="L555" s="11"/>
    </row>
    <row r="556" spans="10:12" ht="14.25" customHeight="1" x14ac:dyDescent="0.2">
      <c r="J556" s="61" t="s">
        <v>1180</v>
      </c>
      <c r="K556" s="62">
        <v>821</v>
      </c>
      <c r="L556" s="11"/>
    </row>
    <row r="557" spans="10:12" ht="14.25" customHeight="1" x14ac:dyDescent="0.2">
      <c r="J557" s="61" t="s">
        <v>12</v>
      </c>
      <c r="K557" s="62">
        <v>516</v>
      </c>
      <c r="L557" s="11"/>
    </row>
    <row r="558" spans="10:12" ht="14.25" customHeight="1" x14ac:dyDescent="0.2">
      <c r="J558" s="61" t="s">
        <v>1246</v>
      </c>
      <c r="K558" s="62">
        <v>690</v>
      </c>
      <c r="L558" s="11"/>
    </row>
    <row r="559" spans="10:12" ht="14.25" customHeight="1" x14ac:dyDescent="0.2">
      <c r="J559" s="61" t="s">
        <v>914</v>
      </c>
      <c r="K559" s="62">
        <v>1461</v>
      </c>
      <c r="L559" s="11"/>
    </row>
    <row r="560" spans="10:12" ht="14.25" customHeight="1" x14ac:dyDescent="0.2">
      <c r="J560" s="61" t="s">
        <v>724</v>
      </c>
      <c r="K560" s="62">
        <v>2146</v>
      </c>
      <c r="L560" s="11"/>
    </row>
    <row r="561" spans="10:12" ht="14.25" customHeight="1" x14ac:dyDescent="0.2">
      <c r="J561" s="61" t="s">
        <v>836</v>
      </c>
      <c r="K561" s="62">
        <v>1754</v>
      </c>
      <c r="L561" s="11"/>
    </row>
    <row r="562" spans="10:12" ht="14.25" customHeight="1" x14ac:dyDescent="0.2">
      <c r="J562" s="61" t="s">
        <v>835</v>
      </c>
      <c r="K562" s="62">
        <v>1756</v>
      </c>
      <c r="L562" s="11"/>
    </row>
    <row r="563" spans="10:12" ht="14.25" customHeight="1" x14ac:dyDescent="0.2">
      <c r="J563" s="61" t="s">
        <v>834</v>
      </c>
      <c r="K563" s="62">
        <v>1761</v>
      </c>
      <c r="L563" s="11"/>
    </row>
    <row r="564" spans="10:12" ht="14.25" customHeight="1" x14ac:dyDescent="0.2">
      <c r="J564" s="61" t="s">
        <v>833</v>
      </c>
      <c r="K564" s="62">
        <v>1763</v>
      </c>
      <c r="L564" s="11"/>
    </row>
    <row r="565" spans="10:12" ht="14.25" customHeight="1" x14ac:dyDescent="0.2">
      <c r="J565" s="61" t="s">
        <v>504</v>
      </c>
      <c r="K565" s="62">
        <v>2855</v>
      </c>
      <c r="L565" s="11"/>
    </row>
    <row r="566" spans="10:12" ht="14.25" customHeight="1" x14ac:dyDescent="0.2">
      <c r="J566" s="61" t="s">
        <v>1245</v>
      </c>
      <c r="K566" s="62">
        <v>694</v>
      </c>
      <c r="L566" s="11"/>
    </row>
    <row r="567" spans="10:12" ht="14.25" customHeight="1" x14ac:dyDescent="0.2">
      <c r="J567" s="61" t="s">
        <v>1244</v>
      </c>
      <c r="K567" s="62">
        <v>695</v>
      </c>
      <c r="L567" s="11"/>
    </row>
    <row r="568" spans="10:12" ht="14.25" customHeight="1" x14ac:dyDescent="0.2">
      <c r="J568" s="61" t="s">
        <v>1243</v>
      </c>
      <c r="K568" s="62">
        <v>697</v>
      </c>
      <c r="L568" s="11"/>
    </row>
    <row r="569" spans="10:12" ht="14.25" customHeight="1" x14ac:dyDescent="0.2">
      <c r="J569" s="61" t="s">
        <v>1242</v>
      </c>
      <c r="K569" s="62">
        <v>698</v>
      </c>
      <c r="L569" s="11"/>
    </row>
    <row r="570" spans="10:12" ht="14.25" customHeight="1" x14ac:dyDescent="0.2">
      <c r="J570" s="61" t="s">
        <v>1241</v>
      </c>
      <c r="K570" s="62">
        <v>699</v>
      </c>
      <c r="L570" s="11"/>
    </row>
    <row r="571" spans="10:12" ht="14.25" customHeight="1" x14ac:dyDescent="0.2">
      <c r="J571" s="61" t="s">
        <v>1240</v>
      </c>
      <c r="K571" s="62">
        <v>700</v>
      </c>
      <c r="L571" s="11"/>
    </row>
    <row r="572" spans="10:12" ht="14.25" customHeight="1" x14ac:dyDescent="0.2">
      <c r="J572" s="61" t="s">
        <v>1239</v>
      </c>
      <c r="K572" s="62">
        <v>701</v>
      </c>
      <c r="L572" s="11"/>
    </row>
    <row r="573" spans="10:12" ht="14.25" customHeight="1" x14ac:dyDescent="0.2">
      <c r="J573" s="61" t="s">
        <v>1238</v>
      </c>
      <c r="K573" s="62">
        <v>702</v>
      </c>
      <c r="L573" s="11"/>
    </row>
    <row r="574" spans="10:12" ht="14.25" customHeight="1" x14ac:dyDescent="0.2">
      <c r="J574" s="61" t="s">
        <v>1237</v>
      </c>
      <c r="K574" s="62">
        <v>703</v>
      </c>
      <c r="L574" s="11"/>
    </row>
    <row r="575" spans="10:12" ht="14.25" customHeight="1" x14ac:dyDescent="0.2">
      <c r="J575" s="61" t="s">
        <v>503</v>
      </c>
      <c r="K575" s="62">
        <v>2856</v>
      </c>
      <c r="L575" s="11"/>
    </row>
    <row r="576" spans="10:12" ht="14.25" customHeight="1" x14ac:dyDescent="0.2">
      <c r="J576" s="61" t="s">
        <v>407</v>
      </c>
      <c r="K576" s="62">
        <v>3274</v>
      </c>
      <c r="L576" s="11"/>
    </row>
    <row r="577" spans="10:12" ht="14.25" customHeight="1" x14ac:dyDescent="0.2">
      <c r="J577" s="61" t="s">
        <v>832</v>
      </c>
      <c r="K577" s="62">
        <v>1764</v>
      </c>
      <c r="L577" s="11"/>
    </row>
    <row r="578" spans="10:12" ht="14.25" customHeight="1" x14ac:dyDescent="0.2">
      <c r="J578" s="61" t="s">
        <v>831</v>
      </c>
      <c r="K578" s="62">
        <v>1766</v>
      </c>
      <c r="L578" s="11"/>
    </row>
    <row r="579" spans="10:12" ht="14.25" customHeight="1" x14ac:dyDescent="0.2">
      <c r="J579" s="61" t="s">
        <v>409</v>
      </c>
      <c r="K579" s="62">
        <v>3272</v>
      </c>
      <c r="L579" s="11"/>
    </row>
    <row r="580" spans="10:12" ht="14.25" customHeight="1" x14ac:dyDescent="0.2">
      <c r="J580" s="61" t="s">
        <v>408</v>
      </c>
      <c r="K580" s="62">
        <v>3273</v>
      </c>
      <c r="L580" s="11"/>
    </row>
    <row r="581" spans="10:12" ht="14.25" customHeight="1" x14ac:dyDescent="0.2">
      <c r="J581" s="61" t="s">
        <v>576</v>
      </c>
      <c r="K581" s="62">
        <v>2674</v>
      </c>
      <c r="L581" s="11"/>
    </row>
    <row r="582" spans="10:12" ht="14.25" customHeight="1" x14ac:dyDescent="0.2">
      <c r="J582" s="61" t="s">
        <v>569</v>
      </c>
      <c r="K582" s="62">
        <v>2695</v>
      </c>
      <c r="L582" s="11"/>
    </row>
    <row r="583" spans="10:12" ht="14.25" customHeight="1" x14ac:dyDescent="0.2">
      <c r="J583" s="61" t="s">
        <v>345</v>
      </c>
      <c r="K583" s="62">
        <v>4377</v>
      </c>
      <c r="L583" s="11"/>
    </row>
    <row r="584" spans="10:12" ht="14.25" customHeight="1" x14ac:dyDescent="0.2">
      <c r="J584" s="61" t="s">
        <v>1236</v>
      </c>
      <c r="K584" s="62">
        <v>706</v>
      </c>
      <c r="L584" s="11"/>
    </row>
    <row r="585" spans="10:12" ht="14.25" customHeight="1" x14ac:dyDescent="0.2">
      <c r="J585" s="61" t="s">
        <v>640</v>
      </c>
      <c r="K585" s="62">
        <v>2416</v>
      </c>
      <c r="L585" s="11"/>
    </row>
    <row r="586" spans="10:12" ht="14.25" customHeight="1" x14ac:dyDescent="0.2">
      <c r="J586" s="61" t="s">
        <v>544</v>
      </c>
      <c r="K586" s="62">
        <v>2740</v>
      </c>
      <c r="L586" s="11"/>
    </row>
    <row r="587" spans="10:12" ht="14.25" customHeight="1" x14ac:dyDescent="0.2">
      <c r="J587" s="61" t="s">
        <v>609</v>
      </c>
      <c r="K587" s="62">
        <v>2616</v>
      </c>
      <c r="L587" s="11"/>
    </row>
    <row r="588" spans="10:12" ht="14.25" customHeight="1" x14ac:dyDescent="0.2">
      <c r="J588" s="61" t="s">
        <v>1235</v>
      </c>
      <c r="K588" s="62">
        <v>707</v>
      </c>
      <c r="L588" s="11"/>
    </row>
    <row r="589" spans="10:12" ht="14.25" customHeight="1" x14ac:dyDescent="0.2">
      <c r="J589" s="61" t="s">
        <v>1234</v>
      </c>
      <c r="K589" s="62">
        <v>708</v>
      </c>
      <c r="L589" s="11"/>
    </row>
    <row r="590" spans="10:12" ht="14.25" customHeight="1" x14ac:dyDescent="0.2">
      <c r="J590" s="61" t="s">
        <v>1233</v>
      </c>
      <c r="K590" s="62">
        <v>711</v>
      </c>
      <c r="L590" s="11"/>
    </row>
    <row r="591" spans="10:12" ht="14.25" customHeight="1" x14ac:dyDescent="0.2">
      <c r="J591" s="61" t="s">
        <v>1232</v>
      </c>
      <c r="K591" s="62">
        <v>715</v>
      </c>
      <c r="L591" s="11"/>
    </row>
    <row r="592" spans="10:12" ht="14.25" customHeight="1" x14ac:dyDescent="0.2">
      <c r="J592" s="61" t="s">
        <v>1025</v>
      </c>
      <c r="K592" s="62">
        <v>1209</v>
      </c>
      <c r="L592" s="11"/>
    </row>
    <row r="593" spans="10:12" ht="14.25" customHeight="1" x14ac:dyDescent="0.2">
      <c r="J593" s="61" t="s">
        <v>1023</v>
      </c>
      <c r="K593" s="62">
        <v>1214</v>
      </c>
      <c r="L593" s="11"/>
    </row>
    <row r="594" spans="10:12" ht="14.25" customHeight="1" x14ac:dyDescent="0.2">
      <c r="J594" s="61" t="s">
        <v>827</v>
      </c>
      <c r="K594" s="62">
        <v>1777</v>
      </c>
      <c r="L594" s="11"/>
    </row>
    <row r="595" spans="10:12" ht="14.25" customHeight="1" x14ac:dyDescent="0.2">
      <c r="J595" s="61" t="s">
        <v>828</v>
      </c>
      <c r="K595" s="62">
        <v>1776</v>
      </c>
      <c r="L595" s="11"/>
    </row>
    <row r="596" spans="10:12" ht="14.25" customHeight="1" x14ac:dyDescent="0.2">
      <c r="J596" s="61" t="s">
        <v>1231</v>
      </c>
      <c r="K596" s="62">
        <v>719</v>
      </c>
      <c r="L596" s="11"/>
    </row>
    <row r="597" spans="10:12" ht="14.25" customHeight="1" x14ac:dyDescent="0.2">
      <c r="J597" s="61" t="s">
        <v>1230</v>
      </c>
      <c r="K597" s="62">
        <v>720</v>
      </c>
      <c r="L597" s="11"/>
    </row>
    <row r="598" spans="10:12" ht="14.25" customHeight="1" x14ac:dyDescent="0.2">
      <c r="J598" s="61" t="s">
        <v>1229</v>
      </c>
      <c r="K598" s="62">
        <v>722</v>
      </c>
      <c r="L598" s="11"/>
    </row>
    <row r="599" spans="10:12" ht="14.25" customHeight="1" x14ac:dyDescent="0.2">
      <c r="J599" s="61" t="s">
        <v>1228</v>
      </c>
      <c r="K599" s="62">
        <v>725</v>
      </c>
      <c r="L599" s="11"/>
    </row>
    <row r="600" spans="10:12" ht="14.25" customHeight="1" x14ac:dyDescent="0.2">
      <c r="J600" s="61" t="s">
        <v>1227</v>
      </c>
      <c r="K600" s="62">
        <v>726</v>
      </c>
      <c r="L600" s="11"/>
    </row>
    <row r="601" spans="10:12" ht="14.25" customHeight="1" x14ac:dyDescent="0.2">
      <c r="J601" s="61" t="s">
        <v>1226</v>
      </c>
      <c r="K601" s="62">
        <v>729</v>
      </c>
      <c r="L601" s="11"/>
    </row>
    <row r="602" spans="10:12" ht="14.25" customHeight="1" x14ac:dyDescent="0.2">
      <c r="J602" s="61" t="s">
        <v>1225</v>
      </c>
      <c r="K602" s="62">
        <v>730</v>
      </c>
      <c r="L602" s="11"/>
    </row>
    <row r="603" spans="10:12" ht="14.25" customHeight="1" x14ac:dyDescent="0.2">
      <c r="J603" s="61" t="s">
        <v>1224</v>
      </c>
      <c r="K603" s="62">
        <v>733</v>
      </c>
      <c r="L603" s="11"/>
    </row>
    <row r="604" spans="10:12" ht="14.25" customHeight="1" x14ac:dyDescent="0.2">
      <c r="J604" s="61" t="s">
        <v>1223</v>
      </c>
      <c r="K604" s="62">
        <v>736</v>
      </c>
      <c r="L604" s="11"/>
    </row>
    <row r="605" spans="10:12" ht="14.25" customHeight="1" x14ac:dyDescent="0.2">
      <c r="J605" s="61" t="s">
        <v>1222</v>
      </c>
      <c r="K605" s="62">
        <v>738</v>
      </c>
      <c r="L605" s="11"/>
    </row>
    <row r="606" spans="10:12" ht="14.25" customHeight="1" x14ac:dyDescent="0.2">
      <c r="J606" s="61" t="s">
        <v>1221</v>
      </c>
      <c r="K606" s="62">
        <v>739</v>
      </c>
      <c r="L606" s="11"/>
    </row>
    <row r="607" spans="10:12" ht="14.25" customHeight="1" x14ac:dyDescent="0.2">
      <c r="J607" s="61" t="s">
        <v>467</v>
      </c>
      <c r="K607" s="62">
        <v>2975</v>
      </c>
      <c r="L607" s="11"/>
    </row>
    <row r="608" spans="10:12" ht="14.25" customHeight="1" x14ac:dyDescent="0.2">
      <c r="J608" s="61" t="s">
        <v>682</v>
      </c>
      <c r="K608" s="62">
        <v>2302</v>
      </c>
      <c r="L608" s="11"/>
    </row>
    <row r="609" spans="10:12" ht="14.25" customHeight="1" x14ac:dyDescent="0.2">
      <c r="J609" s="61" t="s">
        <v>684</v>
      </c>
      <c r="K609" s="62">
        <v>2295</v>
      </c>
      <c r="L609" s="11"/>
    </row>
    <row r="610" spans="10:12" ht="14.25" customHeight="1" x14ac:dyDescent="0.2">
      <c r="J610" s="61" t="s">
        <v>683</v>
      </c>
      <c r="K610" s="62">
        <v>2299</v>
      </c>
      <c r="L610" s="11"/>
    </row>
    <row r="611" spans="10:12" ht="14.25" customHeight="1" x14ac:dyDescent="0.2">
      <c r="J611" s="61" t="s">
        <v>1220</v>
      </c>
      <c r="K611" s="62">
        <v>740</v>
      </c>
      <c r="L611" s="11"/>
    </row>
    <row r="612" spans="10:12" ht="14.25" customHeight="1" x14ac:dyDescent="0.2">
      <c r="J612" s="61" t="s">
        <v>1219</v>
      </c>
      <c r="K612" s="62">
        <v>741</v>
      </c>
      <c r="L612" s="11"/>
    </row>
    <row r="613" spans="10:12" ht="14.25" customHeight="1" x14ac:dyDescent="0.2">
      <c r="J613" s="61" t="s">
        <v>851</v>
      </c>
      <c r="K613" s="62">
        <v>1677</v>
      </c>
      <c r="L613" s="11"/>
    </row>
    <row r="614" spans="10:12" ht="14.25" customHeight="1" x14ac:dyDescent="0.2">
      <c r="J614" s="61" t="s">
        <v>410</v>
      </c>
      <c r="K614" s="62">
        <v>3269</v>
      </c>
      <c r="L614" s="11"/>
    </row>
    <row r="615" spans="10:12" ht="14.25" customHeight="1" x14ac:dyDescent="0.2">
      <c r="J615" s="61" t="s">
        <v>1218</v>
      </c>
      <c r="K615" s="62">
        <v>743</v>
      </c>
      <c r="L615" s="11"/>
    </row>
    <row r="616" spans="10:12" ht="14.25" customHeight="1" x14ac:dyDescent="0.2">
      <c r="J616" s="61" t="s">
        <v>1217</v>
      </c>
      <c r="K616" s="62">
        <v>744</v>
      </c>
      <c r="L616" s="11"/>
    </row>
    <row r="617" spans="10:12" ht="14.25" customHeight="1" x14ac:dyDescent="0.2">
      <c r="J617" s="61" t="s">
        <v>1215</v>
      </c>
      <c r="K617" s="62">
        <v>746</v>
      </c>
      <c r="L617" s="11"/>
    </row>
    <row r="618" spans="10:12" ht="14.25" customHeight="1" x14ac:dyDescent="0.2">
      <c r="J618" s="61" t="s">
        <v>721</v>
      </c>
      <c r="K618" s="62">
        <v>2164</v>
      </c>
      <c r="L618" s="11"/>
    </row>
    <row r="619" spans="10:12" ht="14.25" customHeight="1" x14ac:dyDescent="0.2">
      <c r="J619" s="61" t="s">
        <v>1216</v>
      </c>
      <c r="K619" s="62">
        <v>745</v>
      </c>
      <c r="L619" s="11"/>
    </row>
    <row r="620" spans="10:12" ht="14.25" customHeight="1" x14ac:dyDescent="0.2">
      <c r="J620" s="61" t="s">
        <v>1288</v>
      </c>
      <c r="K620" s="62">
        <v>599</v>
      </c>
      <c r="L620" s="11"/>
    </row>
    <row r="621" spans="10:12" ht="14.25" customHeight="1" x14ac:dyDescent="0.2">
      <c r="J621" s="61" t="s">
        <v>502</v>
      </c>
      <c r="K621" s="62">
        <v>2861</v>
      </c>
      <c r="L621" s="11"/>
    </row>
    <row r="622" spans="10:12" ht="14.25" customHeight="1" x14ac:dyDescent="0.2">
      <c r="J622" s="61" t="s">
        <v>1214</v>
      </c>
      <c r="K622" s="62">
        <v>749</v>
      </c>
      <c r="L622" s="11"/>
    </row>
    <row r="623" spans="10:12" ht="14.25" customHeight="1" x14ac:dyDescent="0.2">
      <c r="J623" s="61" t="s">
        <v>1213</v>
      </c>
      <c r="K623" s="62">
        <v>753</v>
      </c>
      <c r="L623" s="11"/>
    </row>
    <row r="624" spans="10:12" ht="14.25" customHeight="1" x14ac:dyDescent="0.2">
      <c r="J624" s="61" t="s">
        <v>1212</v>
      </c>
      <c r="K624" s="62">
        <v>754</v>
      </c>
      <c r="L624" s="11"/>
    </row>
    <row r="625" spans="10:12" ht="14.25" customHeight="1" x14ac:dyDescent="0.2">
      <c r="J625" s="61" t="s">
        <v>426</v>
      </c>
      <c r="K625" s="62">
        <v>3168</v>
      </c>
      <c r="L625" s="11"/>
    </row>
    <row r="626" spans="10:12" ht="14.25" customHeight="1" x14ac:dyDescent="0.2">
      <c r="J626" s="61" t="s">
        <v>1211</v>
      </c>
      <c r="K626" s="62">
        <v>755</v>
      </c>
      <c r="L626" s="11"/>
    </row>
    <row r="627" spans="10:12" ht="14.25" customHeight="1" x14ac:dyDescent="0.2">
      <c r="J627" s="61" t="s">
        <v>607</v>
      </c>
      <c r="K627" s="62">
        <v>2618</v>
      </c>
      <c r="L627" s="11"/>
    </row>
    <row r="628" spans="10:12" ht="14.25" customHeight="1" x14ac:dyDescent="0.2">
      <c r="J628" s="61" t="s">
        <v>608</v>
      </c>
      <c r="K628" s="62">
        <v>2617</v>
      </c>
      <c r="L628" s="11"/>
    </row>
    <row r="629" spans="10:12" ht="14.25" customHeight="1" x14ac:dyDescent="0.2">
      <c r="J629" s="61" t="s">
        <v>499</v>
      </c>
      <c r="K629" s="62">
        <v>2864</v>
      </c>
      <c r="L629" s="11"/>
    </row>
    <row r="630" spans="10:12" ht="14.25" customHeight="1" x14ac:dyDescent="0.2">
      <c r="J630" s="61" t="s">
        <v>498</v>
      </c>
      <c r="K630" s="62">
        <v>2865</v>
      </c>
      <c r="L630" s="11"/>
    </row>
    <row r="631" spans="10:12" ht="14.25" customHeight="1" x14ac:dyDescent="0.2">
      <c r="J631" s="61" t="s">
        <v>501</v>
      </c>
      <c r="K631" s="62">
        <v>2862</v>
      </c>
      <c r="L631" s="11"/>
    </row>
    <row r="632" spans="10:12" ht="14.25" customHeight="1" x14ac:dyDescent="0.2">
      <c r="J632" s="61" t="s">
        <v>500</v>
      </c>
      <c r="K632" s="62">
        <v>2863</v>
      </c>
      <c r="L632" s="11"/>
    </row>
    <row r="633" spans="10:12" ht="14.25" customHeight="1" x14ac:dyDescent="0.2">
      <c r="J633" s="61" t="s">
        <v>1210</v>
      </c>
      <c r="K633" s="62">
        <v>757</v>
      </c>
      <c r="L633" s="11"/>
    </row>
    <row r="634" spans="10:12" ht="14.25" customHeight="1" x14ac:dyDescent="0.2">
      <c r="J634" s="61" t="s">
        <v>1209</v>
      </c>
      <c r="K634" s="62">
        <v>758</v>
      </c>
      <c r="L634" s="11"/>
    </row>
    <row r="635" spans="10:12" ht="14.25" customHeight="1" x14ac:dyDescent="0.2">
      <c r="J635" s="61" t="s">
        <v>537</v>
      </c>
      <c r="K635" s="62">
        <v>2748</v>
      </c>
      <c r="L635" s="11"/>
    </row>
    <row r="636" spans="10:12" ht="14.25" customHeight="1" x14ac:dyDescent="0.2">
      <c r="J636" s="61" t="s">
        <v>1208</v>
      </c>
      <c r="K636" s="62">
        <v>765</v>
      </c>
      <c r="L636" s="11"/>
    </row>
    <row r="637" spans="10:12" ht="14.25" customHeight="1" x14ac:dyDescent="0.2">
      <c r="J637" s="61" t="s">
        <v>366</v>
      </c>
      <c r="K637" s="62">
        <v>4297</v>
      </c>
      <c r="L637" s="11"/>
    </row>
    <row r="638" spans="10:12" ht="14.25" customHeight="1" x14ac:dyDescent="0.2">
      <c r="J638" s="61" t="s">
        <v>1207</v>
      </c>
      <c r="K638" s="62">
        <v>768</v>
      </c>
      <c r="L638" s="11"/>
    </row>
    <row r="639" spans="10:12" ht="14.25" customHeight="1" x14ac:dyDescent="0.2">
      <c r="J639" s="61" t="s">
        <v>1206</v>
      </c>
      <c r="K639" s="62">
        <v>769</v>
      </c>
      <c r="L639" s="11"/>
    </row>
    <row r="640" spans="10:12" ht="14.25" customHeight="1" x14ac:dyDescent="0.2">
      <c r="J640" s="61" t="s">
        <v>1205</v>
      </c>
      <c r="K640" s="62">
        <v>770</v>
      </c>
      <c r="L640" s="11"/>
    </row>
    <row r="641" spans="10:12" ht="14.25" customHeight="1" x14ac:dyDescent="0.2">
      <c r="J641" s="61" t="s">
        <v>1204</v>
      </c>
      <c r="K641" s="62">
        <v>773</v>
      </c>
      <c r="L641" s="11"/>
    </row>
    <row r="642" spans="10:12" ht="14.25" customHeight="1" x14ac:dyDescent="0.2">
      <c r="J642" s="61" t="s">
        <v>723</v>
      </c>
      <c r="K642" s="62">
        <v>2161</v>
      </c>
      <c r="L642" s="11"/>
    </row>
    <row r="643" spans="10:12" ht="14.25" customHeight="1" x14ac:dyDescent="0.2">
      <c r="J643" s="61" t="s">
        <v>722</v>
      </c>
      <c r="K643" s="62">
        <v>2163</v>
      </c>
      <c r="L643" s="11"/>
    </row>
    <row r="644" spans="10:12" ht="14.25" customHeight="1" x14ac:dyDescent="0.2">
      <c r="J644" s="61" t="s">
        <v>826</v>
      </c>
      <c r="K644" s="62">
        <v>1782</v>
      </c>
      <c r="L644" s="11"/>
    </row>
    <row r="645" spans="10:12" ht="14.25" customHeight="1" x14ac:dyDescent="0.2">
      <c r="J645" s="61" t="s">
        <v>708</v>
      </c>
      <c r="K645" s="62">
        <v>2208</v>
      </c>
      <c r="L645" s="11"/>
    </row>
    <row r="646" spans="10:12" ht="14.25" customHeight="1" x14ac:dyDescent="0.2">
      <c r="J646" s="61" t="s">
        <v>65</v>
      </c>
      <c r="K646" s="62">
        <v>403</v>
      </c>
      <c r="L646" s="11"/>
    </row>
    <row r="647" spans="10:12" ht="14.25" customHeight="1" x14ac:dyDescent="0.2">
      <c r="J647" s="61" t="s">
        <v>825</v>
      </c>
      <c r="K647" s="62">
        <v>1786</v>
      </c>
      <c r="L647" s="11"/>
    </row>
    <row r="648" spans="10:12" ht="14.25" customHeight="1" x14ac:dyDescent="0.2">
      <c r="J648" s="61" t="s">
        <v>312</v>
      </c>
      <c r="K648" s="62">
        <v>4440</v>
      </c>
      <c r="L648" s="11"/>
    </row>
    <row r="649" spans="10:12" ht="14.25" customHeight="1" x14ac:dyDescent="0.2">
      <c r="J649" s="61" t="s">
        <v>452</v>
      </c>
      <c r="K649" s="62">
        <v>3013</v>
      </c>
      <c r="L649" s="11"/>
    </row>
    <row r="650" spans="10:12" ht="14.25" customHeight="1" x14ac:dyDescent="0.2">
      <c r="J650" s="61" t="s">
        <v>303</v>
      </c>
      <c r="K650" s="62">
        <v>5184</v>
      </c>
      <c r="L650" s="11"/>
    </row>
    <row r="651" spans="10:12" ht="14.25" customHeight="1" x14ac:dyDescent="0.2">
      <c r="J651" s="61" t="s">
        <v>497</v>
      </c>
      <c r="K651" s="62">
        <v>2868</v>
      </c>
      <c r="L651" s="11"/>
    </row>
    <row r="652" spans="10:12" ht="14.25" customHeight="1" x14ac:dyDescent="0.2">
      <c r="J652" s="61" t="s">
        <v>1203</v>
      </c>
      <c r="K652" s="62">
        <v>776</v>
      </c>
      <c r="L652" s="11"/>
    </row>
    <row r="653" spans="10:12" ht="14.25" customHeight="1" x14ac:dyDescent="0.2">
      <c r="J653" s="61" t="s">
        <v>1202</v>
      </c>
      <c r="K653" s="62">
        <v>783</v>
      </c>
      <c r="L653" s="11"/>
    </row>
    <row r="654" spans="10:12" ht="14.25" customHeight="1" x14ac:dyDescent="0.2">
      <c r="J654" s="61" t="s">
        <v>1201</v>
      </c>
      <c r="K654" s="62">
        <v>786</v>
      </c>
      <c r="L654" s="11"/>
    </row>
    <row r="655" spans="10:12" ht="14.25" customHeight="1" x14ac:dyDescent="0.2">
      <c r="J655" s="61" t="s">
        <v>1200</v>
      </c>
      <c r="K655" s="62">
        <v>787</v>
      </c>
      <c r="L655" s="11"/>
    </row>
    <row r="656" spans="10:12" ht="14.25" customHeight="1" x14ac:dyDescent="0.2">
      <c r="J656" s="61" t="s">
        <v>1199</v>
      </c>
      <c r="K656" s="62">
        <v>788</v>
      </c>
      <c r="L656" s="11"/>
    </row>
    <row r="657" spans="10:12" ht="14.25" customHeight="1" x14ac:dyDescent="0.2">
      <c r="J657" s="61" t="s">
        <v>217</v>
      </c>
      <c r="K657" s="62">
        <v>51</v>
      </c>
      <c r="L657" s="11"/>
    </row>
    <row r="658" spans="10:12" ht="14.25" customHeight="1" x14ac:dyDescent="0.2">
      <c r="J658" s="61" t="s">
        <v>1198</v>
      </c>
      <c r="K658" s="62">
        <v>794</v>
      </c>
      <c r="L658" s="11"/>
    </row>
    <row r="659" spans="10:12" ht="14.25" customHeight="1" x14ac:dyDescent="0.2">
      <c r="J659" s="61" t="s">
        <v>1197</v>
      </c>
      <c r="K659" s="62">
        <v>795</v>
      </c>
      <c r="L659" s="11"/>
    </row>
    <row r="660" spans="10:12" ht="14.25" customHeight="1" x14ac:dyDescent="0.2">
      <c r="J660" s="61" t="s">
        <v>1196</v>
      </c>
      <c r="K660" s="62">
        <v>796</v>
      </c>
      <c r="L660" s="11"/>
    </row>
    <row r="661" spans="10:12" ht="14.25" customHeight="1" x14ac:dyDescent="0.2">
      <c r="J661" s="61" t="s">
        <v>1195</v>
      </c>
      <c r="K661" s="62">
        <v>797</v>
      </c>
      <c r="L661" s="11"/>
    </row>
    <row r="662" spans="10:12" ht="14.25" customHeight="1" x14ac:dyDescent="0.2">
      <c r="J662" s="61" t="s">
        <v>585</v>
      </c>
      <c r="K662" s="62">
        <v>2645</v>
      </c>
      <c r="L662" s="11"/>
    </row>
    <row r="663" spans="10:12" ht="14.25" customHeight="1" x14ac:dyDescent="0.2">
      <c r="J663" s="61" t="s">
        <v>1194</v>
      </c>
      <c r="K663" s="62">
        <v>798</v>
      </c>
      <c r="L663" s="11"/>
    </row>
    <row r="664" spans="10:12" ht="14.25" customHeight="1" x14ac:dyDescent="0.2">
      <c r="J664" s="61" t="s">
        <v>584</v>
      </c>
      <c r="K664" s="62">
        <v>2646</v>
      </c>
      <c r="L664" s="11"/>
    </row>
    <row r="665" spans="10:12" ht="14.25" customHeight="1" x14ac:dyDescent="0.2">
      <c r="J665" s="61" t="s">
        <v>405</v>
      </c>
      <c r="K665" s="62">
        <v>3292</v>
      </c>
      <c r="L665" s="11"/>
    </row>
    <row r="666" spans="10:12" ht="14.25" customHeight="1" x14ac:dyDescent="0.2">
      <c r="J666" s="61" t="s">
        <v>720</v>
      </c>
      <c r="K666" s="62">
        <v>2167</v>
      </c>
      <c r="L666" s="11"/>
    </row>
    <row r="667" spans="10:12" ht="14.25" customHeight="1" x14ac:dyDescent="0.2">
      <c r="J667" s="61" t="s">
        <v>719</v>
      </c>
      <c r="K667" s="62">
        <v>2168</v>
      </c>
      <c r="L667" s="11"/>
    </row>
    <row r="668" spans="10:12" ht="14.25" customHeight="1" x14ac:dyDescent="0.2">
      <c r="J668" s="61" t="s">
        <v>718</v>
      </c>
      <c r="K668" s="62">
        <v>2170</v>
      </c>
      <c r="L668" s="11"/>
    </row>
    <row r="669" spans="10:12" ht="14.25" customHeight="1" x14ac:dyDescent="0.2">
      <c r="J669" s="61" t="s">
        <v>496</v>
      </c>
      <c r="K669" s="62">
        <v>2871</v>
      </c>
      <c r="L669" s="11"/>
    </row>
    <row r="670" spans="10:12" ht="14.25" customHeight="1" x14ac:dyDescent="0.2">
      <c r="J670" s="61" t="s">
        <v>716</v>
      </c>
      <c r="K670" s="62">
        <v>2172</v>
      </c>
      <c r="L670" s="11"/>
    </row>
    <row r="671" spans="10:12" ht="14.25" customHeight="1" x14ac:dyDescent="0.2">
      <c r="J671" s="61" t="s">
        <v>717</v>
      </c>
      <c r="K671" s="62">
        <v>2171</v>
      </c>
      <c r="L671" s="11"/>
    </row>
    <row r="672" spans="10:12" ht="14.25" customHeight="1" x14ac:dyDescent="0.2">
      <c r="J672" s="61" t="s">
        <v>715</v>
      </c>
      <c r="K672" s="62">
        <v>2180</v>
      </c>
      <c r="L672" s="11"/>
    </row>
    <row r="673" spans="10:12" ht="14.25" customHeight="1" x14ac:dyDescent="0.2">
      <c r="J673" s="61" t="s">
        <v>1193</v>
      </c>
      <c r="K673" s="62">
        <v>800</v>
      </c>
      <c r="L673" s="11"/>
    </row>
    <row r="674" spans="10:12" ht="14.25" customHeight="1" x14ac:dyDescent="0.2">
      <c r="J674" s="61" t="s">
        <v>1192</v>
      </c>
      <c r="K674" s="62">
        <v>801</v>
      </c>
      <c r="L674" s="11"/>
    </row>
    <row r="675" spans="10:12" ht="14.25" customHeight="1" x14ac:dyDescent="0.2">
      <c r="J675" s="61" t="s">
        <v>1191</v>
      </c>
      <c r="K675" s="62">
        <v>802</v>
      </c>
      <c r="L675" s="11"/>
    </row>
    <row r="676" spans="10:12" ht="14.25" customHeight="1" x14ac:dyDescent="0.2">
      <c r="J676" s="61" t="s">
        <v>714</v>
      </c>
      <c r="K676" s="62">
        <v>2182</v>
      </c>
      <c r="L676" s="11"/>
    </row>
    <row r="677" spans="10:12" ht="14.25" customHeight="1" x14ac:dyDescent="0.2">
      <c r="J677" s="61" t="s">
        <v>339</v>
      </c>
      <c r="K677" s="62">
        <v>4382</v>
      </c>
      <c r="L677" s="11"/>
    </row>
    <row r="678" spans="10:12" ht="14.25" customHeight="1" x14ac:dyDescent="0.2">
      <c r="J678" s="61" t="s">
        <v>1190</v>
      </c>
      <c r="K678" s="62">
        <v>807</v>
      </c>
      <c r="L678" s="11"/>
    </row>
    <row r="679" spans="10:12" ht="14.25" customHeight="1" x14ac:dyDescent="0.2">
      <c r="J679" s="61" t="s">
        <v>495</v>
      </c>
      <c r="K679" s="62">
        <v>2872</v>
      </c>
      <c r="L679" s="11"/>
    </row>
    <row r="680" spans="10:12" ht="14.25" customHeight="1" x14ac:dyDescent="0.2">
      <c r="J680" s="61" t="s">
        <v>425</v>
      </c>
      <c r="K680" s="62">
        <v>3177</v>
      </c>
      <c r="L680" s="11"/>
    </row>
    <row r="681" spans="10:12" ht="14.25" customHeight="1" x14ac:dyDescent="0.2">
      <c r="J681" s="61" t="s">
        <v>1189</v>
      </c>
      <c r="K681" s="62">
        <v>808</v>
      </c>
      <c r="L681" s="11"/>
    </row>
    <row r="682" spans="10:12" ht="14.25" customHeight="1" x14ac:dyDescent="0.2">
      <c r="J682" s="61" t="s">
        <v>1188</v>
      </c>
      <c r="K682" s="62">
        <v>809</v>
      </c>
      <c r="L682" s="11"/>
    </row>
    <row r="683" spans="10:12" ht="14.25" customHeight="1" x14ac:dyDescent="0.2">
      <c r="J683" s="61" t="s">
        <v>1187</v>
      </c>
      <c r="K683" s="62">
        <v>810</v>
      </c>
      <c r="L683" s="11"/>
    </row>
    <row r="684" spans="10:12" ht="14.25" customHeight="1" x14ac:dyDescent="0.2">
      <c r="J684" s="61" t="s">
        <v>1186</v>
      </c>
      <c r="K684" s="62">
        <v>811</v>
      </c>
      <c r="L684" s="11"/>
    </row>
    <row r="685" spans="10:12" ht="14.25" customHeight="1" x14ac:dyDescent="0.2">
      <c r="J685" s="61" t="s">
        <v>1185</v>
      </c>
      <c r="K685" s="62">
        <v>812</v>
      </c>
      <c r="L685" s="11"/>
    </row>
    <row r="686" spans="10:12" ht="14.25" customHeight="1" x14ac:dyDescent="0.2">
      <c r="J686" s="61" t="s">
        <v>1184</v>
      </c>
      <c r="K686" s="62">
        <v>813</v>
      </c>
      <c r="L686" s="11"/>
    </row>
    <row r="687" spans="10:12" ht="14.25" customHeight="1" x14ac:dyDescent="0.2">
      <c r="J687" s="61" t="s">
        <v>1182</v>
      </c>
      <c r="K687" s="62">
        <v>818</v>
      </c>
      <c r="L687" s="11"/>
    </row>
    <row r="688" spans="10:12" ht="14.25" customHeight="1" x14ac:dyDescent="0.2">
      <c r="J688" s="61" t="s">
        <v>1181</v>
      </c>
      <c r="K688" s="62">
        <v>819</v>
      </c>
      <c r="L688" s="11"/>
    </row>
    <row r="689" spans="10:12" ht="14.25" customHeight="1" x14ac:dyDescent="0.2">
      <c r="J689" s="61" t="s">
        <v>381</v>
      </c>
      <c r="K689" s="62">
        <v>3727</v>
      </c>
      <c r="L689" s="11"/>
    </row>
    <row r="690" spans="10:12" ht="14.25" customHeight="1" x14ac:dyDescent="0.2">
      <c r="J690" s="61" t="s">
        <v>1179</v>
      </c>
      <c r="K690" s="62">
        <v>825</v>
      </c>
      <c r="L690" s="11"/>
    </row>
    <row r="691" spans="10:12" ht="14.25" customHeight="1" x14ac:dyDescent="0.2">
      <c r="J691" s="61" t="s">
        <v>1178</v>
      </c>
      <c r="K691" s="62">
        <v>826</v>
      </c>
      <c r="L691" s="11"/>
    </row>
    <row r="692" spans="10:12" ht="14.25" customHeight="1" x14ac:dyDescent="0.2">
      <c r="J692" s="61" t="s">
        <v>1177</v>
      </c>
      <c r="K692" s="62">
        <v>830</v>
      </c>
      <c r="L692" s="11"/>
    </row>
    <row r="693" spans="10:12" ht="14.25" customHeight="1" x14ac:dyDescent="0.2">
      <c r="J693" s="61" t="s">
        <v>1176</v>
      </c>
      <c r="K693" s="62">
        <v>831</v>
      </c>
      <c r="L693" s="11"/>
    </row>
    <row r="694" spans="10:12" ht="14.25" customHeight="1" x14ac:dyDescent="0.2">
      <c r="J694" s="61" t="s">
        <v>270</v>
      </c>
      <c r="K694" s="62">
        <v>6017</v>
      </c>
      <c r="L694" s="11"/>
    </row>
    <row r="695" spans="10:12" ht="14.25" customHeight="1" x14ac:dyDescent="0.2">
      <c r="J695" s="61" t="s">
        <v>535</v>
      </c>
      <c r="K695" s="62">
        <v>2751</v>
      </c>
      <c r="L695" s="11"/>
    </row>
    <row r="696" spans="10:12" ht="14.25" customHeight="1" x14ac:dyDescent="0.2">
      <c r="J696" s="61" t="s">
        <v>713</v>
      </c>
      <c r="K696" s="62">
        <v>2183</v>
      </c>
      <c r="L696" s="11"/>
    </row>
    <row r="697" spans="10:12" ht="14.25" customHeight="1" x14ac:dyDescent="0.2">
      <c r="J697" s="61" t="s">
        <v>273</v>
      </c>
      <c r="K697" s="62">
        <v>6016</v>
      </c>
      <c r="L697" s="11"/>
    </row>
    <row r="698" spans="10:12" ht="14.25" customHeight="1" x14ac:dyDescent="0.2">
      <c r="J698" s="61" t="s">
        <v>494</v>
      </c>
      <c r="K698" s="62">
        <v>2874</v>
      </c>
      <c r="L698" s="11"/>
    </row>
    <row r="699" spans="10:12" ht="14.25" customHeight="1" x14ac:dyDescent="0.2">
      <c r="J699" s="61" t="s">
        <v>712</v>
      </c>
      <c r="K699" s="62">
        <v>2190</v>
      </c>
      <c r="L699" s="11"/>
    </row>
    <row r="700" spans="10:12" ht="14.25" customHeight="1" x14ac:dyDescent="0.2">
      <c r="J700" s="61" t="s">
        <v>711</v>
      </c>
      <c r="K700" s="62">
        <v>2194</v>
      </c>
      <c r="L700" s="11"/>
    </row>
    <row r="701" spans="10:12" ht="14.25" customHeight="1" x14ac:dyDescent="0.2">
      <c r="J701" s="61" t="s">
        <v>1175</v>
      </c>
      <c r="K701" s="62">
        <v>839</v>
      </c>
      <c r="L701" s="11"/>
    </row>
    <row r="702" spans="10:12" ht="14.25" customHeight="1" x14ac:dyDescent="0.2">
      <c r="J702" s="61" t="s">
        <v>1174</v>
      </c>
      <c r="K702" s="62">
        <v>840</v>
      </c>
      <c r="L702" s="11"/>
    </row>
    <row r="703" spans="10:12" ht="14.25" customHeight="1" x14ac:dyDescent="0.2">
      <c r="J703" s="61" t="s">
        <v>1173</v>
      </c>
      <c r="K703" s="62">
        <v>844</v>
      </c>
      <c r="L703" s="11"/>
    </row>
    <row r="704" spans="10:12" ht="14.25" customHeight="1" x14ac:dyDescent="0.2">
      <c r="J704" s="61" t="s">
        <v>1172</v>
      </c>
      <c r="K704" s="62">
        <v>846</v>
      </c>
      <c r="L704" s="11"/>
    </row>
    <row r="705" spans="10:12" ht="14.25" customHeight="1" x14ac:dyDescent="0.2">
      <c r="J705" s="61" t="s">
        <v>1171</v>
      </c>
      <c r="K705" s="62">
        <v>849</v>
      </c>
      <c r="L705" s="11"/>
    </row>
    <row r="706" spans="10:12" ht="14.25" customHeight="1" x14ac:dyDescent="0.2">
      <c r="J706" s="61" t="s">
        <v>1170</v>
      </c>
      <c r="K706" s="62">
        <v>855</v>
      </c>
      <c r="L706" s="11"/>
    </row>
    <row r="707" spans="10:12" ht="14.25" customHeight="1" x14ac:dyDescent="0.2">
      <c r="J707" s="61" t="s">
        <v>1169</v>
      </c>
      <c r="K707" s="62">
        <v>856</v>
      </c>
      <c r="L707" s="11"/>
    </row>
    <row r="708" spans="10:12" ht="14.25" customHeight="1" x14ac:dyDescent="0.2">
      <c r="J708" s="61" t="s">
        <v>1168</v>
      </c>
      <c r="K708" s="62">
        <v>863</v>
      </c>
      <c r="L708" s="11"/>
    </row>
    <row r="709" spans="10:12" ht="14.25" customHeight="1" x14ac:dyDescent="0.2">
      <c r="J709" s="61" t="s">
        <v>1167</v>
      </c>
      <c r="K709" s="62">
        <v>864</v>
      </c>
      <c r="L709" s="11"/>
    </row>
    <row r="710" spans="10:12" ht="14.25" customHeight="1" x14ac:dyDescent="0.2">
      <c r="J710" s="61" t="s">
        <v>710</v>
      </c>
      <c r="K710" s="62">
        <v>2201</v>
      </c>
      <c r="L710" s="11"/>
    </row>
    <row r="711" spans="10:12" ht="14.25" customHeight="1" x14ac:dyDescent="0.2">
      <c r="J711" s="61" t="s">
        <v>1166</v>
      </c>
      <c r="K711" s="62">
        <v>867</v>
      </c>
      <c r="L711" s="11"/>
    </row>
    <row r="712" spans="10:12" ht="14.25" customHeight="1" x14ac:dyDescent="0.2">
      <c r="J712" s="61" t="s">
        <v>1165</v>
      </c>
      <c r="K712" s="62">
        <v>873</v>
      </c>
      <c r="L712" s="11"/>
    </row>
    <row r="713" spans="10:12" ht="14.25" customHeight="1" x14ac:dyDescent="0.2">
      <c r="J713" s="61" t="s">
        <v>493</v>
      </c>
      <c r="K713" s="62">
        <v>2880</v>
      </c>
      <c r="L713" s="11"/>
    </row>
    <row r="714" spans="10:12" ht="14.25" customHeight="1" x14ac:dyDescent="0.2">
      <c r="J714" s="61" t="s">
        <v>822</v>
      </c>
      <c r="K714" s="62">
        <v>1794</v>
      </c>
      <c r="L714" s="11"/>
    </row>
    <row r="715" spans="10:12" ht="14.25" customHeight="1" x14ac:dyDescent="0.2">
      <c r="J715" s="61" t="s">
        <v>817</v>
      </c>
      <c r="K715" s="62">
        <v>1805</v>
      </c>
      <c r="L715" s="11"/>
    </row>
    <row r="716" spans="10:12" ht="14.25" customHeight="1" x14ac:dyDescent="0.2">
      <c r="J716" s="61" t="s">
        <v>1164</v>
      </c>
      <c r="K716" s="62">
        <v>875</v>
      </c>
      <c r="L716" s="11"/>
    </row>
    <row r="717" spans="10:12" ht="14.25" customHeight="1" x14ac:dyDescent="0.2">
      <c r="J717" s="61" t="s">
        <v>1163</v>
      </c>
      <c r="K717" s="62">
        <v>876</v>
      </c>
      <c r="L717" s="11"/>
    </row>
    <row r="718" spans="10:12" ht="14.25" customHeight="1" x14ac:dyDescent="0.2">
      <c r="J718" s="61" t="s">
        <v>1162</v>
      </c>
      <c r="K718" s="62">
        <v>879</v>
      </c>
      <c r="L718" s="11"/>
    </row>
    <row r="719" spans="10:12" ht="14.25" customHeight="1" x14ac:dyDescent="0.2">
      <c r="J719" s="61" t="s">
        <v>1160</v>
      </c>
      <c r="K719" s="62">
        <v>882</v>
      </c>
      <c r="L719" s="11"/>
    </row>
    <row r="720" spans="10:12" ht="14.25" customHeight="1" x14ac:dyDescent="0.2">
      <c r="J720" s="61" t="s">
        <v>709</v>
      </c>
      <c r="K720" s="62">
        <v>2207</v>
      </c>
      <c r="L720" s="11"/>
    </row>
    <row r="721" spans="10:12" ht="14.25" customHeight="1" x14ac:dyDescent="0.2">
      <c r="J721" s="61" t="s">
        <v>707</v>
      </c>
      <c r="K721" s="62">
        <v>2209</v>
      </c>
      <c r="L721" s="11"/>
    </row>
    <row r="722" spans="10:12" ht="14.25" customHeight="1" x14ac:dyDescent="0.2">
      <c r="J722" s="61" t="s">
        <v>1159</v>
      </c>
      <c r="K722" s="62">
        <v>884</v>
      </c>
      <c r="L722" s="11"/>
    </row>
    <row r="723" spans="10:12" ht="14.25" customHeight="1" x14ac:dyDescent="0.2">
      <c r="J723" s="61" t="s">
        <v>1156</v>
      </c>
      <c r="K723" s="62">
        <v>887</v>
      </c>
      <c r="L723" s="11"/>
    </row>
    <row r="724" spans="10:12" ht="14.25" customHeight="1" x14ac:dyDescent="0.2">
      <c r="J724" s="61" t="s">
        <v>1157</v>
      </c>
      <c r="K724" s="62">
        <v>886</v>
      </c>
      <c r="L724" s="11"/>
    </row>
    <row r="725" spans="10:12" ht="14.25" customHeight="1" x14ac:dyDescent="0.2">
      <c r="J725" s="61" t="s">
        <v>1155</v>
      </c>
      <c r="K725" s="62">
        <v>888</v>
      </c>
      <c r="L725" s="11"/>
    </row>
    <row r="726" spans="10:12" ht="14.25" customHeight="1" x14ac:dyDescent="0.2">
      <c r="J726" s="61" t="s">
        <v>1154</v>
      </c>
      <c r="K726" s="62">
        <v>889</v>
      </c>
      <c r="L726" s="11"/>
    </row>
    <row r="727" spans="10:12" ht="14.25" customHeight="1" x14ac:dyDescent="0.2">
      <c r="J727" s="61" t="s">
        <v>1153</v>
      </c>
      <c r="K727" s="62">
        <v>890</v>
      </c>
      <c r="L727" s="11"/>
    </row>
    <row r="728" spans="10:12" ht="14.25" customHeight="1" x14ac:dyDescent="0.2">
      <c r="J728" s="61" t="s">
        <v>549</v>
      </c>
      <c r="K728" s="62">
        <v>2723</v>
      </c>
      <c r="L728" s="11"/>
    </row>
    <row r="729" spans="10:12" ht="14.25" customHeight="1" x14ac:dyDescent="0.2">
      <c r="J729" s="61" t="s">
        <v>1158</v>
      </c>
      <c r="K729" s="62">
        <v>885</v>
      </c>
      <c r="L729" s="11"/>
    </row>
    <row r="730" spans="10:12" ht="14.25" customHeight="1" x14ac:dyDescent="0.2">
      <c r="J730" s="61" t="s">
        <v>1152</v>
      </c>
      <c r="K730" s="62">
        <v>891</v>
      </c>
      <c r="L730" s="11"/>
    </row>
    <row r="731" spans="10:12" ht="14.25" customHeight="1" x14ac:dyDescent="0.2">
      <c r="J731" s="61" t="s">
        <v>1151</v>
      </c>
      <c r="K731" s="62">
        <v>893</v>
      </c>
      <c r="L731" s="11"/>
    </row>
    <row r="732" spans="10:12" ht="14.25" customHeight="1" x14ac:dyDescent="0.2">
      <c r="J732" s="61" t="s">
        <v>706</v>
      </c>
      <c r="K732" s="62">
        <v>2211</v>
      </c>
      <c r="L732" s="11"/>
    </row>
    <row r="733" spans="10:12" ht="14.25" customHeight="1" x14ac:dyDescent="0.2">
      <c r="J733" s="61" t="s">
        <v>705</v>
      </c>
      <c r="K733" s="62">
        <v>2213</v>
      </c>
      <c r="L733" s="11"/>
    </row>
    <row r="734" spans="10:12" ht="14.25" customHeight="1" x14ac:dyDescent="0.2">
      <c r="J734" s="61" t="s">
        <v>1150</v>
      </c>
      <c r="K734" s="62">
        <v>900</v>
      </c>
      <c r="L734" s="11"/>
    </row>
    <row r="735" spans="10:12" ht="14.25" customHeight="1" x14ac:dyDescent="0.2">
      <c r="J735" s="61" t="s">
        <v>1149</v>
      </c>
      <c r="K735" s="62">
        <v>901</v>
      </c>
      <c r="L735" s="11"/>
    </row>
    <row r="736" spans="10:12" ht="14.25" customHeight="1" x14ac:dyDescent="0.2">
      <c r="J736" s="61" t="s">
        <v>815</v>
      </c>
      <c r="K736" s="62">
        <v>1812</v>
      </c>
      <c r="L736" s="11"/>
    </row>
    <row r="737" spans="10:12" ht="14.25" customHeight="1" x14ac:dyDescent="0.2">
      <c r="J737" s="61" t="s">
        <v>814</v>
      </c>
      <c r="K737" s="62">
        <v>1813</v>
      </c>
      <c r="L737" s="11"/>
    </row>
    <row r="738" spans="10:12" ht="14.25" customHeight="1" x14ac:dyDescent="0.2">
      <c r="J738" s="61" t="s">
        <v>1148</v>
      </c>
      <c r="K738" s="62">
        <v>905</v>
      </c>
      <c r="L738" s="11"/>
    </row>
    <row r="739" spans="10:12" ht="14.25" customHeight="1" x14ac:dyDescent="0.2">
      <c r="J739" s="61" t="s">
        <v>451</v>
      </c>
      <c r="K739" s="62">
        <v>3029</v>
      </c>
      <c r="L739" s="11"/>
    </row>
    <row r="740" spans="10:12" ht="14.25" customHeight="1" x14ac:dyDescent="0.2">
      <c r="J740" s="61" t="s">
        <v>354</v>
      </c>
      <c r="K740" s="62">
        <v>4351</v>
      </c>
      <c r="L740" s="11"/>
    </row>
    <row r="741" spans="10:12" ht="14.25" customHeight="1" x14ac:dyDescent="0.2">
      <c r="J741" s="61" t="s">
        <v>1147</v>
      </c>
      <c r="K741" s="62">
        <v>907</v>
      </c>
      <c r="L741" s="11"/>
    </row>
    <row r="742" spans="10:12" ht="14.25" customHeight="1" x14ac:dyDescent="0.2">
      <c r="J742" s="61" t="s">
        <v>704</v>
      </c>
      <c r="K742" s="62">
        <v>2218</v>
      </c>
      <c r="L742" s="11"/>
    </row>
    <row r="743" spans="10:12" ht="14.25" customHeight="1" x14ac:dyDescent="0.2">
      <c r="J743" s="61" t="s">
        <v>1146</v>
      </c>
      <c r="K743" s="62">
        <v>909</v>
      </c>
      <c r="L743" s="11"/>
    </row>
    <row r="744" spans="10:12" ht="14.25" customHeight="1" x14ac:dyDescent="0.2">
      <c r="J744" s="61" t="s">
        <v>813</v>
      </c>
      <c r="K744" s="62">
        <v>1816</v>
      </c>
      <c r="L744" s="11"/>
    </row>
    <row r="745" spans="10:12" ht="14.25" customHeight="1" x14ac:dyDescent="0.2">
      <c r="J745" s="61" t="s">
        <v>450</v>
      </c>
      <c r="K745" s="62">
        <v>3031</v>
      </c>
      <c r="L745" s="11"/>
    </row>
    <row r="746" spans="10:12" ht="14.25" customHeight="1" x14ac:dyDescent="0.2">
      <c r="J746" s="61" t="s">
        <v>1145</v>
      </c>
      <c r="K746" s="62">
        <v>914</v>
      </c>
      <c r="L746" s="11"/>
    </row>
    <row r="747" spans="10:12" ht="14.25" customHeight="1" x14ac:dyDescent="0.2">
      <c r="J747" s="61" t="s">
        <v>1144</v>
      </c>
      <c r="K747" s="62">
        <v>917</v>
      </c>
      <c r="L747" s="11"/>
    </row>
    <row r="748" spans="10:12" ht="14.25" customHeight="1" x14ac:dyDescent="0.2">
      <c r="J748" s="61" t="s">
        <v>982</v>
      </c>
      <c r="K748" s="62">
        <v>1327</v>
      </c>
      <c r="L748" s="11"/>
    </row>
    <row r="749" spans="10:12" ht="14.25" customHeight="1" x14ac:dyDescent="0.2">
      <c r="J749" s="61" t="s">
        <v>1143</v>
      </c>
      <c r="K749" s="62">
        <v>924</v>
      </c>
      <c r="L749" s="11"/>
    </row>
    <row r="750" spans="10:12" ht="14.25" customHeight="1" x14ac:dyDescent="0.2">
      <c r="J750" s="61" t="s">
        <v>812</v>
      </c>
      <c r="K750" s="62">
        <v>1820</v>
      </c>
      <c r="L750" s="11"/>
    </row>
    <row r="751" spans="10:12" ht="14.25" customHeight="1" x14ac:dyDescent="0.2">
      <c r="J751" s="61" t="s">
        <v>1142</v>
      </c>
      <c r="K751" s="62">
        <v>931</v>
      </c>
      <c r="L751" s="11"/>
    </row>
    <row r="752" spans="10:12" ht="14.25" customHeight="1" x14ac:dyDescent="0.2">
      <c r="J752" s="61" t="s">
        <v>1141</v>
      </c>
      <c r="K752" s="62">
        <v>932</v>
      </c>
      <c r="L752" s="11"/>
    </row>
    <row r="753" spans="10:12" ht="14.25" customHeight="1" x14ac:dyDescent="0.2">
      <c r="J753" s="61" t="s">
        <v>849</v>
      </c>
      <c r="K753" s="62">
        <v>1682</v>
      </c>
      <c r="L753" s="11"/>
    </row>
    <row r="754" spans="10:12" ht="14.25" customHeight="1" x14ac:dyDescent="0.2">
      <c r="J754" s="61" t="s">
        <v>782</v>
      </c>
      <c r="K754" s="62">
        <v>1936</v>
      </c>
      <c r="L754" s="11"/>
    </row>
    <row r="755" spans="10:12" ht="14.25" customHeight="1" x14ac:dyDescent="0.2">
      <c r="J755" s="61" t="s">
        <v>875</v>
      </c>
      <c r="K755" s="62">
        <v>1596</v>
      </c>
      <c r="L755" s="11"/>
    </row>
    <row r="756" spans="10:12" ht="14.25" customHeight="1" x14ac:dyDescent="0.2">
      <c r="J756" s="61" t="s">
        <v>492</v>
      </c>
      <c r="K756" s="62">
        <v>2915</v>
      </c>
      <c r="L756" s="11"/>
    </row>
    <row r="757" spans="10:12" ht="14.25" customHeight="1" x14ac:dyDescent="0.2">
      <c r="J757" s="61" t="s">
        <v>568</v>
      </c>
      <c r="K757" s="62">
        <v>2697</v>
      </c>
      <c r="L757" s="11"/>
    </row>
    <row r="758" spans="10:12" ht="14.25" customHeight="1" x14ac:dyDescent="0.2">
      <c r="J758" s="61" t="s">
        <v>639</v>
      </c>
      <c r="K758" s="62">
        <v>2461</v>
      </c>
      <c r="L758" s="11"/>
    </row>
    <row r="759" spans="10:12" ht="14.25" customHeight="1" x14ac:dyDescent="0.2">
      <c r="J759" s="61" t="s">
        <v>638</v>
      </c>
      <c r="K759" s="62">
        <v>2464</v>
      </c>
      <c r="L759" s="11"/>
    </row>
    <row r="760" spans="10:12" ht="14.25" customHeight="1" x14ac:dyDescent="0.2">
      <c r="J760" s="61" t="s">
        <v>637</v>
      </c>
      <c r="K760" s="62">
        <v>2471</v>
      </c>
      <c r="L760" s="11"/>
    </row>
    <row r="761" spans="10:12" ht="14.25" customHeight="1" x14ac:dyDescent="0.2">
      <c r="J761" s="61" t="s">
        <v>1140</v>
      </c>
      <c r="K761" s="62">
        <v>944</v>
      </c>
      <c r="L761" s="11"/>
    </row>
    <row r="762" spans="10:12" ht="14.25" customHeight="1" x14ac:dyDescent="0.2">
      <c r="J762" s="61" t="s">
        <v>1139</v>
      </c>
      <c r="K762" s="62">
        <v>945</v>
      </c>
      <c r="L762" s="11"/>
    </row>
    <row r="763" spans="10:12" ht="14.25" customHeight="1" x14ac:dyDescent="0.2">
      <c r="J763" s="61" t="s">
        <v>1138</v>
      </c>
      <c r="K763" s="62">
        <v>946</v>
      </c>
      <c r="L763" s="11"/>
    </row>
    <row r="764" spans="10:12" ht="14.25" customHeight="1" x14ac:dyDescent="0.2">
      <c r="J764" s="61" t="s">
        <v>1137</v>
      </c>
      <c r="K764" s="62">
        <v>947</v>
      </c>
      <c r="L764" s="11"/>
    </row>
    <row r="765" spans="10:12" ht="14.25" customHeight="1" x14ac:dyDescent="0.2">
      <c r="J765" s="61" t="s">
        <v>491</v>
      </c>
      <c r="K765" s="62">
        <v>2917</v>
      </c>
      <c r="L765" s="11"/>
    </row>
    <row r="766" spans="10:12" ht="14.25" customHeight="1" x14ac:dyDescent="0.2">
      <c r="J766" s="61" t="s">
        <v>449</v>
      </c>
      <c r="K766" s="62">
        <v>3033</v>
      </c>
      <c r="L766" s="11"/>
    </row>
    <row r="767" spans="10:12" ht="14.25" customHeight="1" x14ac:dyDescent="0.2">
      <c r="J767" s="61" t="s">
        <v>448</v>
      </c>
      <c r="K767" s="62">
        <v>3034</v>
      </c>
      <c r="L767" s="11"/>
    </row>
    <row r="768" spans="10:12" ht="14.25" customHeight="1" x14ac:dyDescent="0.2">
      <c r="J768" s="61" t="s">
        <v>703</v>
      </c>
      <c r="K768" s="62">
        <v>2222</v>
      </c>
      <c r="L768" s="11"/>
    </row>
    <row r="769" spans="10:12" ht="14.25" customHeight="1" x14ac:dyDescent="0.2">
      <c r="J769" s="61" t="s">
        <v>702</v>
      </c>
      <c r="K769" s="62">
        <v>2223</v>
      </c>
      <c r="L769" s="11"/>
    </row>
    <row r="770" spans="10:12" ht="14.25" customHeight="1" x14ac:dyDescent="0.2">
      <c r="J770" s="61" t="s">
        <v>701</v>
      </c>
      <c r="K770" s="62">
        <v>2224</v>
      </c>
      <c r="L770" s="11"/>
    </row>
    <row r="771" spans="10:12" ht="14.25" customHeight="1" x14ac:dyDescent="0.2">
      <c r="J771" s="61" t="s">
        <v>490</v>
      </c>
      <c r="K771" s="62">
        <v>2918</v>
      </c>
      <c r="L771" s="11"/>
    </row>
    <row r="772" spans="10:12" ht="14.25" customHeight="1" x14ac:dyDescent="0.2">
      <c r="J772" s="61" t="s">
        <v>636</v>
      </c>
      <c r="K772" s="62">
        <v>2485</v>
      </c>
      <c r="L772" s="11"/>
    </row>
    <row r="773" spans="10:12" ht="14.25" customHeight="1" x14ac:dyDescent="0.2">
      <c r="J773" s="61" t="s">
        <v>635</v>
      </c>
      <c r="K773" s="62">
        <v>2486</v>
      </c>
      <c r="L773" s="11"/>
    </row>
    <row r="774" spans="10:12" ht="14.25" customHeight="1" x14ac:dyDescent="0.2">
      <c r="J774" s="61" t="s">
        <v>351</v>
      </c>
      <c r="K774" s="62">
        <v>4366</v>
      </c>
      <c r="L774" s="11"/>
    </row>
    <row r="775" spans="10:12" ht="14.25" customHeight="1" x14ac:dyDescent="0.2">
      <c r="J775" s="61" t="s">
        <v>404</v>
      </c>
      <c r="K775" s="62">
        <v>3302</v>
      </c>
      <c r="L775" s="11"/>
    </row>
    <row r="776" spans="10:12" ht="14.25" customHeight="1" x14ac:dyDescent="0.2">
      <c r="J776" s="61" t="s">
        <v>634</v>
      </c>
      <c r="K776" s="62">
        <v>2492</v>
      </c>
      <c r="L776" s="11"/>
    </row>
    <row r="777" spans="10:12" ht="14.25" customHeight="1" x14ac:dyDescent="0.2">
      <c r="J777" s="61" t="s">
        <v>633</v>
      </c>
      <c r="K777" s="62">
        <v>2494</v>
      </c>
      <c r="L777" s="11"/>
    </row>
    <row r="778" spans="10:12" ht="14.25" customHeight="1" x14ac:dyDescent="0.2">
      <c r="J778" s="61" t="s">
        <v>1107</v>
      </c>
      <c r="K778" s="62">
        <v>1004</v>
      </c>
      <c r="L778" s="11"/>
    </row>
    <row r="779" spans="10:12" ht="14.25" customHeight="1" x14ac:dyDescent="0.2">
      <c r="J779" s="61" t="s">
        <v>1106</v>
      </c>
      <c r="K779" s="62">
        <v>1005</v>
      </c>
      <c r="L779" s="11"/>
    </row>
    <row r="780" spans="10:12" ht="14.25" customHeight="1" x14ac:dyDescent="0.2">
      <c r="J780" s="61" t="s">
        <v>1105</v>
      </c>
      <c r="K780" s="62">
        <v>1008</v>
      </c>
      <c r="L780" s="11"/>
    </row>
    <row r="781" spans="10:12" ht="14.25" customHeight="1" x14ac:dyDescent="0.2">
      <c r="J781" s="61" t="s">
        <v>1103</v>
      </c>
      <c r="K781" s="62">
        <v>1012</v>
      </c>
      <c r="L781" s="11"/>
    </row>
    <row r="782" spans="10:12" ht="14.25" customHeight="1" x14ac:dyDescent="0.2">
      <c r="J782" s="61" t="s">
        <v>1104</v>
      </c>
      <c r="K782" s="62">
        <v>1009</v>
      </c>
      <c r="L782" s="11"/>
    </row>
    <row r="783" spans="10:12" ht="14.25" customHeight="1" x14ac:dyDescent="0.2">
      <c r="J783" s="61" t="s">
        <v>1136</v>
      </c>
      <c r="K783" s="62">
        <v>955</v>
      </c>
      <c r="L783" s="11"/>
    </row>
    <row r="784" spans="10:12" ht="14.25" customHeight="1" x14ac:dyDescent="0.2">
      <c r="J784" s="61" t="s">
        <v>1135</v>
      </c>
      <c r="K784" s="62">
        <v>956</v>
      </c>
      <c r="L784" s="11"/>
    </row>
    <row r="785" spans="10:12" ht="14.25" customHeight="1" x14ac:dyDescent="0.2">
      <c r="J785" s="61" t="s">
        <v>811</v>
      </c>
      <c r="K785" s="62">
        <v>1842</v>
      </c>
      <c r="L785" s="11"/>
    </row>
    <row r="786" spans="10:12" ht="14.25" customHeight="1" x14ac:dyDescent="0.2">
      <c r="J786" s="61" t="s">
        <v>981</v>
      </c>
      <c r="K786" s="62">
        <v>1329</v>
      </c>
      <c r="L786" s="11"/>
    </row>
    <row r="787" spans="10:12" ht="14.25" customHeight="1" x14ac:dyDescent="0.2">
      <c r="J787" s="61" t="s">
        <v>810</v>
      </c>
      <c r="K787" s="62">
        <v>1847</v>
      </c>
      <c r="L787" s="11"/>
    </row>
    <row r="788" spans="10:12" ht="14.25" customHeight="1" x14ac:dyDescent="0.2">
      <c r="J788" s="61" t="s">
        <v>1134</v>
      </c>
      <c r="K788" s="62">
        <v>959</v>
      </c>
      <c r="L788" s="11"/>
    </row>
    <row r="789" spans="10:12" ht="14.25" customHeight="1" x14ac:dyDescent="0.2">
      <c r="J789" s="61" t="s">
        <v>1133</v>
      </c>
      <c r="K789" s="62">
        <v>960</v>
      </c>
      <c r="L789" s="11"/>
    </row>
    <row r="790" spans="10:12" ht="14.25" customHeight="1" x14ac:dyDescent="0.2">
      <c r="J790" s="61" t="s">
        <v>1132</v>
      </c>
      <c r="K790" s="62">
        <v>961</v>
      </c>
      <c r="L790" s="11"/>
    </row>
    <row r="791" spans="10:12" ht="14.25" customHeight="1" x14ac:dyDescent="0.2">
      <c r="J791" s="61" t="s">
        <v>1131</v>
      </c>
      <c r="K791" s="62">
        <v>962</v>
      </c>
      <c r="L791" s="11"/>
    </row>
    <row r="792" spans="10:12" ht="14.25" customHeight="1" x14ac:dyDescent="0.2">
      <c r="J792" s="61" t="s">
        <v>259</v>
      </c>
      <c r="K792" s="62">
        <v>6023</v>
      </c>
      <c r="L792" s="11"/>
    </row>
    <row r="793" spans="10:12" ht="14.25" customHeight="1" x14ac:dyDescent="0.2">
      <c r="J793" s="61" t="s">
        <v>421</v>
      </c>
      <c r="K793" s="62">
        <v>3203</v>
      </c>
      <c r="L793" s="11"/>
    </row>
    <row r="794" spans="10:12" ht="14.25" customHeight="1" x14ac:dyDescent="0.2">
      <c r="J794" s="61" t="s">
        <v>530</v>
      </c>
      <c r="K794" s="62">
        <v>2759</v>
      </c>
      <c r="L794" s="11"/>
    </row>
    <row r="795" spans="10:12" ht="14.25" customHeight="1" x14ac:dyDescent="0.2">
      <c r="J795" s="61" t="s">
        <v>422</v>
      </c>
      <c r="K795" s="62">
        <v>3202</v>
      </c>
      <c r="L795" s="11"/>
    </row>
    <row r="796" spans="10:12" ht="14.25" customHeight="1" x14ac:dyDescent="0.2">
      <c r="J796" s="61" t="s">
        <v>423</v>
      </c>
      <c r="K796" s="62">
        <v>3201</v>
      </c>
      <c r="L796" s="11"/>
    </row>
    <row r="797" spans="10:12" ht="14.25" customHeight="1" x14ac:dyDescent="0.2">
      <c r="J797" s="61" t="s">
        <v>432</v>
      </c>
      <c r="K797" s="62">
        <v>3122</v>
      </c>
      <c r="L797" s="11"/>
    </row>
    <row r="798" spans="10:12" ht="14.25" customHeight="1" x14ac:dyDescent="0.2">
      <c r="J798" s="61" t="s">
        <v>444</v>
      </c>
      <c r="K798" s="62">
        <v>3047</v>
      </c>
      <c r="L798" s="11"/>
    </row>
    <row r="799" spans="10:12" ht="14.25" customHeight="1" x14ac:dyDescent="0.2">
      <c r="J799" s="61" t="s">
        <v>1130</v>
      </c>
      <c r="K799" s="62">
        <v>964</v>
      </c>
      <c r="L799" s="11"/>
    </row>
    <row r="800" spans="10:12" ht="14.25" customHeight="1" x14ac:dyDescent="0.2">
      <c r="J800" s="61" t="s">
        <v>384</v>
      </c>
      <c r="K800" s="62">
        <v>3635</v>
      </c>
      <c r="L800" s="11"/>
    </row>
    <row r="801" spans="10:12" ht="14.25" customHeight="1" x14ac:dyDescent="0.2">
      <c r="J801" s="61" t="s">
        <v>1129</v>
      </c>
      <c r="K801" s="62">
        <v>965</v>
      </c>
      <c r="L801" s="11"/>
    </row>
    <row r="802" spans="10:12" ht="14.25" customHeight="1" x14ac:dyDescent="0.2">
      <c r="J802" s="61" t="s">
        <v>505</v>
      </c>
      <c r="K802" s="62">
        <v>2852</v>
      </c>
      <c r="L802" s="11"/>
    </row>
    <row r="803" spans="10:12" ht="14.25" customHeight="1" x14ac:dyDescent="0.2">
      <c r="J803" s="61" t="s">
        <v>1128</v>
      </c>
      <c r="K803" s="62">
        <v>968</v>
      </c>
      <c r="L803" s="11"/>
    </row>
    <row r="804" spans="10:12" ht="14.25" customHeight="1" x14ac:dyDescent="0.2">
      <c r="J804" s="61" t="s">
        <v>1127</v>
      </c>
      <c r="K804" s="62">
        <v>969</v>
      </c>
      <c r="L804" s="11"/>
    </row>
    <row r="805" spans="10:12" ht="14.25" customHeight="1" x14ac:dyDescent="0.2">
      <c r="J805" s="61" t="s">
        <v>1126</v>
      </c>
      <c r="K805" s="62">
        <v>970</v>
      </c>
      <c r="L805" s="11"/>
    </row>
    <row r="806" spans="10:12" ht="14.25" customHeight="1" x14ac:dyDescent="0.2">
      <c r="J806" s="61" t="s">
        <v>268</v>
      </c>
      <c r="K806" s="62">
        <v>6018</v>
      </c>
      <c r="L806" s="11"/>
    </row>
    <row r="807" spans="10:12" ht="14.25" customHeight="1" x14ac:dyDescent="0.2">
      <c r="J807" s="61" t="s">
        <v>489</v>
      </c>
      <c r="K807" s="62">
        <v>2920</v>
      </c>
      <c r="L807" s="11"/>
    </row>
    <row r="808" spans="10:12" ht="14.25" customHeight="1" x14ac:dyDescent="0.2">
      <c r="J808" s="61" t="s">
        <v>420</v>
      </c>
      <c r="K808" s="62">
        <v>3204</v>
      </c>
      <c r="L808" s="11"/>
    </row>
    <row r="809" spans="10:12" ht="14.25" customHeight="1" x14ac:dyDescent="0.2">
      <c r="J809" s="61" t="s">
        <v>368</v>
      </c>
      <c r="K809" s="62">
        <v>4292</v>
      </c>
      <c r="L809" s="11"/>
    </row>
    <row r="810" spans="10:12" ht="14.25" customHeight="1" x14ac:dyDescent="0.2">
      <c r="J810" s="61" t="s">
        <v>1125</v>
      </c>
      <c r="K810" s="62">
        <v>971</v>
      </c>
      <c r="L810" s="11"/>
    </row>
    <row r="811" spans="10:12" ht="14.25" customHeight="1" x14ac:dyDescent="0.2">
      <c r="J811" s="61" t="s">
        <v>605</v>
      </c>
      <c r="K811" s="62">
        <v>2620</v>
      </c>
      <c r="L811" s="11"/>
    </row>
    <row r="812" spans="10:12" ht="14.25" customHeight="1" x14ac:dyDescent="0.2">
      <c r="J812" s="61" t="s">
        <v>606</v>
      </c>
      <c r="K812" s="62">
        <v>2619</v>
      </c>
      <c r="L812" s="11"/>
    </row>
    <row r="813" spans="10:12" ht="14.25" customHeight="1" x14ac:dyDescent="0.2">
      <c r="J813" s="61" t="s">
        <v>315</v>
      </c>
      <c r="K813" s="62">
        <v>4435</v>
      </c>
      <c r="L813" s="11"/>
    </row>
    <row r="814" spans="10:12" ht="14.25" customHeight="1" x14ac:dyDescent="0.2">
      <c r="J814" s="61" t="s">
        <v>300</v>
      </c>
      <c r="K814" s="62">
        <v>5276</v>
      </c>
      <c r="L814" s="11"/>
    </row>
    <row r="815" spans="10:12" ht="14.25" customHeight="1" x14ac:dyDescent="0.2">
      <c r="J815" s="61" t="s">
        <v>430</v>
      </c>
      <c r="K815" s="62">
        <v>3129</v>
      </c>
      <c r="L815" s="11"/>
    </row>
    <row r="816" spans="10:12" ht="14.25" customHeight="1" x14ac:dyDescent="0.2">
      <c r="J816" s="61" t="s">
        <v>488</v>
      </c>
      <c r="K816" s="62">
        <v>2922</v>
      </c>
      <c r="L816" s="11"/>
    </row>
    <row r="817" spans="10:12" ht="14.25" customHeight="1" x14ac:dyDescent="0.2">
      <c r="J817" s="61" t="s">
        <v>700</v>
      </c>
      <c r="K817" s="62">
        <v>2226</v>
      </c>
      <c r="L817" s="11"/>
    </row>
    <row r="818" spans="10:12" ht="14.25" customHeight="1" x14ac:dyDescent="0.2">
      <c r="J818" s="61" t="s">
        <v>699</v>
      </c>
      <c r="K818" s="62">
        <v>2230</v>
      </c>
      <c r="L818" s="11"/>
    </row>
    <row r="819" spans="10:12" ht="14.25" customHeight="1" x14ac:dyDescent="0.2">
      <c r="J819" s="61" t="s">
        <v>336</v>
      </c>
      <c r="K819" s="62">
        <v>4388</v>
      </c>
      <c r="L819" s="11"/>
    </row>
    <row r="820" spans="10:12" ht="14.25" customHeight="1" x14ac:dyDescent="0.2">
      <c r="J820" s="61" t="s">
        <v>824</v>
      </c>
      <c r="K820" s="62">
        <v>1791</v>
      </c>
      <c r="L820" s="11"/>
    </row>
    <row r="821" spans="10:12" ht="14.25" customHeight="1" x14ac:dyDescent="0.2">
      <c r="J821" s="61" t="s">
        <v>823</v>
      </c>
      <c r="K821" s="62">
        <v>1793</v>
      </c>
      <c r="L821" s="11"/>
    </row>
    <row r="822" spans="10:12" ht="14.25" customHeight="1" x14ac:dyDescent="0.2">
      <c r="J822" s="61" t="s">
        <v>818</v>
      </c>
      <c r="K822" s="62">
        <v>1804</v>
      </c>
      <c r="L822" s="11"/>
    </row>
    <row r="823" spans="10:12" ht="14.25" customHeight="1" x14ac:dyDescent="0.2">
      <c r="J823" s="61" t="s">
        <v>821</v>
      </c>
      <c r="K823" s="62">
        <v>1795</v>
      </c>
      <c r="L823" s="11"/>
    </row>
    <row r="824" spans="10:12" ht="14.25" customHeight="1" x14ac:dyDescent="0.2">
      <c r="J824" s="61" t="s">
        <v>816</v>
      </c>
      <c r="K824" s="62">
        <v>1807</v>
      </c>
      <c r="L824" s="11"/>
    </row>
    <row r="825" spans="10:12" ht="14.25" customHeight="1" x14ac:dyDescent="0.2">
      <c r="J825" s="61" t="s">
        <v>487</v>
      </c>
      <c r="K825" s="62">
        <v>2923</v>
      </c>
      <c r="L825" s="11"/>
    </row>
    <row r="826" spans="10:12" ht="14.25" customHeight="1" x14ac:dyDescent="0.2">
      <c r="J826" s="61" t="s">
        <v>809</v>
      </c>
      <c r="K826" s="62">
        <v>1858</v>
      </c>
      <c r="L826" s="11"/>
    </row>
    <row r="827" spans="10:12" ht="14.25" customHeight="1" x14ac:dyDescent="0.2">
      <c r="J827" s="61" t="s">
        <v>808</v>
      </c>
      <c r="K827" s="62">
        <v>1865</v>
      </c>
      <c r="L827" s="11"/>
    </row>
    <row r="828" spans="10:12" ht="14.25" customHeight="1" x14ac:dyDescent="0.2">
      <c r="J828" s="61" t="s">
        <v>807</v>
      </c>
      <c r="K828" s="62">
        <v>1867</v>
      </c>
      <c r="L828" s="11"/>
    </row>
    <row r="829" spans="10:12" ht="14.25" customHeight="1" x14ac:dyDescent="0.2">
      <c r="J829" s="61" t="s">
        <v>806</v>
      </c>
      <c r="K829" s="62">
        <v>1868</v>
      </c>
      <c r="L829" s="11"/>
    </row>
    <row r="830" spans="10:12" ht="14.25" customHeight="1" x14ac:dyDescent="0.2">
      <c r="J830" s="61" t="s">
        <v>1124</v>
      </c>
      <c r="K830" s="62">
        <v>973</v>
      </c>
      <c r="L830" s="11"/>
    </row>
    <row r="831" spans="10:12" ht="14.25" customHeight="1" x14ac:dyDescent="0.2">
      <c r="J831" s="61" t="s">
        <v>1123</v>
      </c>
      <c r="K831" s="62">
        <v>974</v>
      </c>
      <c r="L831" s="11"/>
    </row>
    <row r="832" spans="10:12" ht="14.25" customHeight="1" x14ac:dyDescent="0.2">
      <c r="J832" s="61" t="s">
        <v>1122</v>
      </c>
      <c r="K832" s="62">
        <v>975</v>
      </c>
      <c r="L832" s="11"/>
    </row>
    <row r="833" spans="10:12" ht="14.25" customHeight="1" x14ac:dyDescent="0.2">
      <c r="J833" s="61" t="s">
        <v>1121</v>
      </c>
      <c r="K833" s="62">
        <v>976</v>
      </c>
      <c r="L833" s="11"/>
    </row>
    <row r="834" spans="10:12" ht="14.25" customHeight="1" x14ac:dyDescent="0.2">
      <c r="J834" s="61" t="s">
        <v>374</v>
      </c>
      <c r="K834" s="62">
        <v>4216</v>
      </c>
      <c r="L834" s="11"/>
    </row>
    <row r="835" spans="10:12" ht="14.25" customHeight="1" x14ac:dyDescent="0.2">
      <c r="J835" s="61" t="s">
        <v>677</v>
      </c>
      <c r="K835" s="62">
        <v>2330</v>
      </c>
      <c r="L835" s="11"/>
    </row>
    <row r="836" spans="10:12" ht="14.25" customHeight="1" x14ac:dyDescent="0.2">
      <c r="J836" s="61" t="s">
        <v>805</v>
      </c>
      <c r="K836" s="62">
        <v>1871</v>
      </c>
      <c r="L836" s="11"/>
    </row>
    <row r="837" spans="10:12" ht="14.25" customHeight="1" x14ac:dyDescent="0.2">
      <c r="J837" s="61" t="s">
        <v>698</v>
      </c>
      <c r="K837" s="62">
        <v>2237</v>
      </c>
      <c r="L837" s="11"/>
    </row>
    <row r="838" spans="10:12" ht="14.25" customHeight="1" x14ac:dyDescent="0.2">
      <c r="J838" s="61" t="s">
        <v>804</v>
      </c>
      <c r="K838" s="62">
        <v>1872</v>
      </c>
      <c r="L838" s="11"/>
    </row>
    <row r="839" spans="10:12" ht="14.25" customHeight="1" x14ac:dyDescent="0.2">
      <c r="J839" s="61" t="s">
        <v>550</v>
      </c>
      <c r="K839" s="62">
        <v>2721</v>
      </c>
      <c r="L839" s="11"/>
    </row>
    <row r="840" spans="10:12" ht="14.25" customHeight="1" x14ac:dyDescent="0.2">
      <c r="J840" s="61" t="s">
        <v>1120</v>
      </c>
      <c r="K840" s="62">
        <v>980</v>
      </c>
      <c r="L840" s="11"/>
    </row>
    <row r="841" spans="10:12" ht="14.25" customHeight="1" x14ac:dyDescent="0.2">
      <c r="J841" s="61" t="s">
        <v>1119</v>
      </c>
      <c r="K841" s="62">
        <v>981</v>
      </c>
      <c r="L841" s="11"/>
    </row>
    <row r="842" spans="10:12" ht="14.25" customHeight="1" x14ac:dyDescent="0.2">
      <c r="J842" s="61" t="s">
        <v>1118</v>
      </c>
      <c r="K842" s="62">
        <v>982</v>
      </c>
      <c r="L842" s="11"/>
    </row>
    <row r="843" spans="10:12" ht="14.25" customHeight="1" x14ac:dyDescent="0.2">
      <c r="J843" s="61" t="s">
        <v>1117</v>
      </c>
      <c r="K843" s="62">
        <v>983</v>
      </c>
      <c r="L843" s="11"/>
    </row>
    <row r="844" spans="10:12" ht="14.25" customHeight="1" x14ac:dyDescent="0.2">
      <c r="J844" s="61" t="s">
        <v>1113</v>
      </c>
      <c r="K844" s="62">
        <v>989</v>
      </c>
      <c r="L844" s="11"/>
    </row>
    <row r="845" spans="10:12" ht="14.25" customHeight="1" x14ac:dyDescent="0.2">
      <c r="J845" s="61" t="s">
        <v>1116</v>
      </c>
      <c r="K845" s="62">
        <v>986</v>
      </c>
      <c r="L845" s="11"/>
    </row>
    <row r="846" spans="10:12" ht="14.25" customHeight="1" x14ac:dyDescent="0.2">
      <c r="J846" s="61" t="s">
        <v>1115</v>
      </c>
      <c r="K846" s="62">
        <v>987</v>
      </c>
      <c r="L846" s="11"/>
    </row>
    <row r="847" spans="10:12" ht="14.25" customHeight="1" x14ac:dyDescent="0.2">
      <c r="J847" s="61" t="s">
        <v>1114</v>
      </c>
      <c r="K847" s="62">
        <v>988</v>
      </c>
      <c r="L847" s="11"/>
    </row>
    <row r="848" spans="10:12" ht="14.25" customHeight="1" x14ac:dyDescent="0.2">
      <c r="J848" s="61" t="s">
        <v>1112</v>
      </c>
      <c r="K848" s="62">
        <v>990</v>
      </c>
      <c r="L848" s="11"/>
    </row>
    <row r="849" spans="10:12" ht="14.25" customHeight="1" x14ac:dyDescent="0.2">
      <c r="J849" s="61" t="s">
        <v>396</v>
      </c>
      <c r="K849" s="62">
        <v>3364</v>
      </c>
      <c r="L849" s="11"/>
    </row>
    <row r="850" spans="10:12" ht="14.25" customHeight="1" x14ac:dyDescent="0.2">
      <c r="J850" s="61" t="s">
        <v>265</v>
      </c>
      <c r="K850" s="62">
        <v>6019</v>
      </c>
      <c r="L850" s="11"/>
    </row>
    <row r="851" spans="10:12" ht="14.25" customHeight="1" x14ac:dyDescent="0.2">
      <c r="J851" s="61" t="s">
        <v>800</v>
      </c>
      <c r="K851" s="62">
        <v>1888</v>
      </c>
      <c r="L851" s="11"/>
    </row>
    <row r="852" spans="10:12" ht="14.25" customHeight="1" x14ac:dyDescent="0.2">
      <c r="J852" s="61" t="s">
        <v>793</v>
      </c>
      <c r="K852" s="62">
        <v>1898</v>
      </c>
      <c r="L852" s="11"/>
    </row>
    <row r="853" spans="10:12" ht="14.25" customHeight="1" x14ac:dyDescent="0.2">
      <c r="J853" s="61" t="s">
        <v>486</v>
      </c>
      <c r="K853" s="62">
        <v>2924</v>
      </c>
      <c r="L853" s="11"/>
    </row>
    <row r="854" spans="10:12" ht="14.25" customHeight="1" x14ac:dyDescent="0.2">
      <c r="J854" s="61" t="s">
        <v>485</v>
      </c>
      <c r="K854" s="62">
        <v>2925</v>
      </c>
      <c r="L854" s="11"/>
    </row>
    <row r="855" spans="10:12" ht="14.25" customHeight="1" x14ac:dyDescent="0.2">
      <c r="J855" s="61" t="s">
        <v>803</v>
      </c>
      <c r="K855" s="62">
        <v>1879</v>
      </c>
      <c r="L855" s="11"/>
    </row>
    <row r="856" spans="10:12" ht="14.25" customHeight="1" x14ac:dyDescent="0.2">
      <c r="J856" s="61" t="s">
        <v>802</v>
      </c>
      <c r="K856" s="62">
        <v>1884</v>
      </c>
      <c r="L856" s="11"/>
    </row>
    <row r="857" spans="10:12" ht="14.25" customHeight="1" x14ac:dyDescent="0.2">
      <c r="J857" s="61" t="s">
        <v>801</v>
      </c>
      <c r="K857" s="62">
        <v>1887</v>
      </c>
      <c r="L857" s="11"/>
    </row>
    <row r="858" spans="10:12" ht="14.25" customHeight="1" x14ac:dyDescent="0.2">
      <c r="J858" s="61" t="s">
        <v>333</v>
      </c>
      <c r="K858" s="62">
        <v>4390</v>
      </c>
      <c r="L858" s="11"/>
    </row>
    <row r="859" spans="10:12" ht="14.25" customHeight="1" x14ac:dyDescent="0.2">
      <c r="J859" s="61" t="s">
        <v>419</v>
      </c>
      <c r="K859" s="62">
        <v>3205</v>
      </c>
      <c r="L859" s="11"/>
    </row>
    <row r="860" spans="10:12" ht="14.25" customHeight="1" x14ac:dyDescent="0.2">
      <c r="J860" s="61" t="s">
        <v>1111</v>
      </c>
      <c r="K860" s="62">
        <v>994</v>
      </c>
      <c r="L860" s="11"/>
    </row>
    <row r="861" spans="10:12" ht="14.25" customHeight="1" x14ac:dyDescent="0.2">
      <c r="J861" s="61" t="s">
        <v>1110</v>
      </c>
      <c r="K861" s="62">
        <v>995</v>
      </c>
      <c r="L861" s="11"/>
    </row>
    <row r="862" spans="10:12" ht="14.25" customHeight="1" x14ac:dyDescent="0.2">
      <c r="J862" s="61" t="s">
        <v>371</v>
      </c>
      <c r="K862" s="62">
        <v>4286</v>
      </c>
      <c r="L862" s="11"/>
    </row>
    <row r="863" spans="10:12" ht="14.25" customHeight="1" x14ac:dyDescent="0.2">
      <c r="J863" s="61" t="s">
        <v>484</v>
      </c>
      <c r="K863" s="62">
        <v>2929</v>
      </c>
      <c r="L863" s="11"/>
    </row>
    <row r="864" spans="10:12" ht="14.25" customHeight="1" x14ac:dyDescent="0.2">
      <c r="J864" s="61" t="s">
        <v>1109</v>
      </c>
      <c r="K864" s="62">
        <v>999</v>
      </c>
      <c r="L864" s="11"/>
    </row>
    <row r="865" spans="10:12" ht="14.25" customHeight="1" x14ac:dyDescent="0.2">
      <c r="J865" s="61" t="s">
        <v>1102</v>
      </c>
      <c r="K865" s="62">
        <v>1014</v>
      </c>
      <c r="L865" s="11"/>
    </row>
    <row r="866" spans="10:12" ht="14.25" customHeight="1" x14ac:dyDescent="0.2">
      <c r="J866" s="61" t="s">
        <v>1101</v>
      </c>
      <c r="K866" s="62">
        <v>1015</v>
      </c>
      <c r="L866" s="11"/>
    </row>
    <row r="867" spans="10:12" ht="14.25" customHeight="1" x14ac:dyDescent="0.2">
      <c r="J867" s="61" t="s">
        <v>798</v>
      </c>
      <c r="K867" s="62">
        <v>1890</v>
      </c>
      <c r="L867" s="11"/>
    </row>
    <row r="868" spans="10:12" ht="14.25" customHeight="1" x14ac:dyDescent="0.2">
      <c r="J868" s="61" t="s">
        <v>796</v>
      </c>
      <c r="K868" s="62">
        <v>1892</v>
      </c>
      <c r="L868" s="11"/>
    </row>
    <row r="869" spans="10:12" ht="14.25" customHeight="1" x14ac:dyDescent="0.2">
      <c r="J869" s="61" t="s">
        <v>373</v>
      </c>
      <c r="K869" s="62">
        <v>4236</v>
      </c>
      <c r="L869" s="11"/>
    </row>
    <row r="870" spans="10:12" ht="14.25" customHeight="1" x14ac:dyDescent="0.2">
      <c r="J870" s="61" t="s">
        <v>483</v>
      </c>
      <c r="K870" s="62">
        <v>2930</v>
      </c>
      <c r="L870" s="11"/>
    </row>
    <row r="871" spans="10:12" ht="14.25" customHeight="1" x14ac:dyDescent="0.2">
      <c r="J871" s="61" t="s">
        <v>797</v>
      </c>
      <c r="K871" s="62">
        <v>1891</v>
      </c>
      <c r="L871" s="11"/>
    </row>
    <row r="872" spans="10:12" ht="14.25" customHeight="1" x14ac:dyDescent="0.2">
      <c r="J872" s="61" t="s">
        <v>795</v>
      </c>
      <c r="K872" s="62">
        <v>1894</v>
      </c>
      <c r="L872" s="11"/>
    </row>
    <row r="873" spans="10:12" ht="14.25" customHeight="1" x14ac:dyDescent="0.2">
      <c r="J873" s="61" t="s">
        <v>794</v>
      </c>
      <c r="K873" s="62">
        <v>1897</v>
      </c>
      <c r="L873" s="11"/>
    </row>
    <row r="874" spans="10:12" ht="14.25" customHeight="1" x14ac:dyDescent="0.2">
      <c r="J874" s="61" t="s">
        <v>799</v>
      </c>
      <c r="K874" s="62">
        <v>1889</v>
      </c>
      <c r="L874" s="11"/>
    </row>
    <row r="875" spans="10:12" ht="14.25" customHeight="1" x14ac:dyDescent="0.2">
      <c r="J875" s="61" t="s">
        <v>330</v>
      </c>
      <c r="K875" s="62">
        <v>4391</v>
      </c>
      <c r="L875" s="11"/>
    </row>
    <row r="876" spans="10:12" ht="14.25" customHeight="1" x14ac:dyDescent="0.2">
      <c r="J876" s="61" t="s">
        <v>1100</v>
      </c>
      <c r="K876" s="62">
        <v>1020</v>
      </c>
      <c r="L876" s="11"/>
    </row>
    <row r="877" spans="10:12" ht="14.25" customHeight="1" x14ac:dyDescent="0.2">
      <c r="J877" s="61" t="s">
        <v>1099</v>
      </c>
      <c r="K877" s="62">
        <v>1021</v>
      </c>
      <c r="L877" s="11"/>
    </row>
    <row r="878" spans="10:12" ht="14.25" customHeight="1" x14ac:dyDescent="0.2">
      <c r="J878" s="61" t="s">
        <v>1098</v>
      </c>
      <c r="K878" s="62">
        <v>1022</v>
      </c>
      <c r="L878" s="11"/>
    </row>
    <row r="879" spans="10:12" ht="14.25" customHeight="1" x14ac:dyDescent="0.2">
      <c r="J879" s="61" t="s">
        <v>455</v>
      </c>
      <c r="K879" s="62">
        <v>3001</v>
      </c>
      <c r="L879" s="11"/>
    </row>
    <row r="880" spans="10:12" ht="14.25" customHeight="1" x14ac:dyDescent="0.2">
      <c r="J880" s="61" t="s">
        <v>482</v>
      </c>
      <c r="K880" s="62">
        <v>2933</v>
      </c>
      <c r="L880" s="11"/>
    </row>
    <row r="881" spans="10:12" ht="14.25" customHeight="1" x14ac:dyDescent="0.2">
      <c r="J881" s="61" t="s">
        <v>697</v>
      </c>
      <c r="K881" s="62">
        <v>2241</v>
      </c>
      <c r="L881" s="11"/>
    </row>
    <row r="882" spans="10:12" ht="14.25" customHeight="1" x14ac:dyDescent="0.2">
      <c r="J882" s="61" t="s">
        <v>1097</v>
      </c>
      <c r="K882" s="62">
        <v>1037</v>
      </c>
      <c r="L882" s="11"/>
    </row>
    <row r="883" spans="10:12" ht="14.25" customHeight="1" x14ac:dyDescent="0.2">
      <c r="J883" s="61" t="s">
        <v>1096</v>
      </c>
      <c r="K883" s="62">
        <v>1043</v>
      </c>
      <c r="L883" s="11"/>
    </row>
    <row r="884" spans="10:12" ht="14.25" customHeight="1" x14ac:dyDescent="0.2">
      <c r="J884" s="61" t="s">
        <v>1095</v>
      </c>
      <c r="K884" s="62">
        <v>1046</v>
      </c>
      <c r="L884" s="11"/>
    </row>
    <row r="885" spans="10:12" ht="14.25" customHeight="1" x14ac:dyDescent="0.2">
      <c r="J885" s="61" t="s">
        <v>1094</v>
      </c>
      <c r="K885" s="62">
        <v>1049</v>
      </c>
      <c r="L885" s="11"/>
    </row>
    <row r="886" spans="10:12" ht="14.25" customHeight="1" x14ac:dyDescent="0.2">
      <c r="J886" s="61" t="s">
        <v>1093</v>
      </c>
      <c r="K886" s="62">
        <v>1050</v>
      </c>
      <c r="L886" s="11"/>
    </row>
    <row r="887" spans="10:12" ht="14.25" customHeight="1" x14ac:dyDescent="0.2">
      <c r="J887" s="61" t="s">
        <v>1092</v>
      </c>
      <c r="K887" s="62">
        <v>1051</v>
      </c>
      <c r="L887" s="11"/>
    </row>
    <row r="888" spans="10:12" ht="14.25" customHeight="1" x14ac:dyDescent="0.2">
      <c r="J888" s="61" t="s">
        <v>696</v>
      </c>
      <c r="K888" s="62">
        <v>2243</v>
      </c>
      <c r="L888" s="11"/>
    </row>
    <row r="889" spans="10:12" ht="14.25" customHeight="1" x14ac:dyDescent="0.2">
      <c r="J889" s="61" t="s">
        <v>1090</v>
      </c>
      <c r="K889" s="62">
        <v>1054</v>
      </c>
      <c r="L889" s="11"/>
    </row>
    <row r="890" spans="10:12" ht="14.25" customHeight="1" x14ac:dyDescent="0.2">
      <c r="J890" s="61" t="s">
        <v>1089</v>
      </c>
      <c r="K890" s="62">
        <v>1056</v>
      </c>
      <c r="L890" s="11"/>
    </row>
    <row r="891" spans="10:12" ht="14.25" customHeight="1" x14ac:dyDescent="0.2">
      <c r="J891" s="61" t="s">
        <v>1088</v>
      </c>
      <c r="K891" s="62">
        <v>1058</v>
      </c>
      <c r="L891" s="11"/>
    </row>
    <row r="892" spans="10:12" ht="14.25" customHeight="1" x14ac:dyDescent="0.2">
      <c r="J892" s="61" t="s">
        <v>1087</v>
      </c>
      <c r="K892" s="62">
        <v>1059</v>
      </c>
      <c r="L892" s="11"/>
    </row>
    <row r="893" spans="10:12" ht="14.25" customHeight="1" x14ac:dyDescent="0.2">
      <c r="J893" s="61" t="s">
        <v>327</v>
      </c>
      <c r="K893" s="62">
        <v>4392</v>
      </c>
      <c r="L893" s="11"/>
    </row>
    <row r="894" spans="10:12" ht="14.25" customHeight="1" x14ac:dyDescent="0.2">
      <c r="J894" s="61" t="s">
        <v>1086</v>
      </c>
      <c r="K894" s="62">
        <v>1060</v>
      </c>
      <c r="L894" s="11"/>
    </row>
    <row r="895" spans="10:12" ht="14.25" customHeight="1" x14ac:dyDescent="0.2">
      <c r="J895" s="61" t="s">
        <v>603</v>
      </c>
      <c r="K895" s="62">
        <v>2622</v>
      </c>
      <c r="L895" s="11"/>
    </row>
    <row r="896" spans="10:12" ht="14.25" customHeight="1" x14ac:dyDescent="0.2">
      <c r="J896" s="61" t="s">
        <v>604</v>
      </c>
      <c r="K896" s="62">
        <v>2621</v>
      </c>
      <c r="L896" s="11"/>
    </row>
    <row r="897" spans="10:12" ht="14.25" customHeight="1" x14ac:dyDescent="0.2">
      <c r="J897" s="61" t="s">
        <v>1085</v>
      </c>
      <c r="K897" s="62">
        <v>1063</v>
      </c>
      <c r="L897" s="11"/>
    </row>
    <row r="898" spans="10:12" ht="14.25" customHeight="1" x14ac:dyDescent="0.2">
      <c r="J898" s="61" t="s">
        <v>534</v>
      </c>
      <c r="K898" s="62">
        <v>2752</v>
      </c>
      <c r="L898" s="11"/>
    </row>
    <row r="899" spans="10:12" ht="14.25" customHeight="1" x14ac:dyDescent="0.2">
      <c r="J899" s="61" t="s">
        <v>602</v>
      </c>
      <c r="K899" s="62">
        <v>2623</v>
      </c>
      <c r="L899" s="11"/>
    </row>
    <row r="900" spans="10:12" ht="14.25" customHeight="1" x14ac:dyDescent="0.2">
      <c r="J900" s="61" t="s">
        <v>1084</v>
      </c>
      <c r="K900" s="62">
        <v>1064</v>
      </c>
      <c r="L900" s="11"/>
    </row>
    <row r="901" spans="10:12" ht="14.25" customHeight="1" x14ac:dyDescent="0.2">
      <c r="J901" s="61" t="s">
        <v>236</v>
      </c>
      <c r="K901" s="62">
        <v>6030</v>
      </c>
      <c r="L901" s="11"/>
    </row>
    <row r="902" spans="10:12" ht="14.25" customHeight="1" x14ac:dyDescent="0.2">
      <c r="J902" s="61" t="s">
        <v>481</v>
      </c>
      <c r="K902" s="62">
        <v>2936</v>
      </c>
      <c r="L902" s="11"/>
    </row>
    <row r="903" spans="10:12" ht="14.25" customHeight="1" x14ac:dyDescent="0.2">
      <c r="J903" s="61" t="s">
        <v>601</v>
      </c>
      <c r="K903" s="62">
        <v>2624</v>
      </c>
      <c r="L903" s="11"/>
    </row>
    <row r="904" spans="10:12" ht="14.25" customHeight="1" x14ac:dyDescent="0.2">
      <c r="J904" s="61" t="s">
        <v>1083</v>
      </c>
      <c r="K904" s="62">
        <v>1065</v>
      </c>
      <c r="L904" s="11"/>
    </row>
    <row r="905" spans="10:12" ht="14.25" customHeight="1" x14ac:dyDescent="0.2">
      <c r="J905" s="61" t="s">
        <v>678</v>
      </c>
      <c r="K905" s="62">
        <v>2324</v>
      </c>
      <c r="L905" s="11"/>
    </row>
    <row r="906" spans="10:12" ht="14.25" customHeight="1" x14ac:dyDescent="0.2">
      <c r="J906" s="61" t="s">
        <v>567</v>
      </c>
      <c r="K906" s="62">
        <v>2698</v>
      </c>
      <c r="L906" s="11"/>
    </row>
    <row r="907" spans="10:12" ht="14.25" customHeight="1" x14ac:dyDescent="0.2">
      <c r="J907" s="61" t="s">
        <v>791</v>
      </c>
      <c r="K907" s="62">
        <v>1914</v>
      </c>
      <c r="L907" s="11"/>
    </row>
    <row r="908" spans="10:12" ht="14.25" customHeight="1" x14ac:dyDescent="0.2">
      <c r="J908" s="61" t="s">
        <v>829</v>
      </c>
      <c r="K908" s="62">
        <v>1772</v>
      </c>
      <c r="L908" s="11"/>
    </row>
    <row r="909" spans="10:12" ht="14.25" customHeight="1" x14ac:dyDescent="0.2">
      <c r="J909" s="61" t="s">
        <v>480</v>
      </c>
      <c r="K909" s="62">
        <v>2937</v>
      </c>
      <c r="L909" s="11"/>
    </row>
    <row r="910" spans="10:12" ht="14.25" customHeight="1" x14ac:dyDescent="0.2">
      <c r="J910" s="61" t="s">
        <v>418</v>
      </c>
      <c r="K910" s="62">
        <v>3214</v>
      </c>
      <c r="L910" s="11"/>
    </row>
    <row r="911" spans="10:12" ht="14.25" customHeight="1" x14ac:dyDescent="0.2">
      <c r="J911" s="61" t="s">
        <v>1082</v>
      </c>
      <c r="K911" s="62">
        <v>1066</v>
      </c>
      <c r="L911" s="11"/>
    </row>
    <row r="912" spans="10:12" ht="14.25" customHeight="1" x14ac:dyDescent="0.2">
      <c r="J912" s="61" t="s">
        <v>262</v>
      </c>
      <c r="K912" s="62">
        <v>6021</v>
      </c>
      <c r="L912" s="11"/>
    </row>
    <row r="913" spans="10:12" ht="14.25" customHeight="1" x14ac:dyDescent="0.2">
      <c r="J913" s="61" t="s">
        <v>695</v>
      </c>
      <c r="K913" s="62">
        <v>2244</v>
      </c>
      <c r="L913" s="11"/>
    </row>
    <row r="914" spans="10:12" ht="14.25" customHeight="1" x14ac:dyDescent="0.2">
      <c r="J914" s="61" t="s">
        <v>790</v>
      </c>
      <c r="K914" s="62">
        <v>1919</v>
      </c>
      <c r="L914" s="11"/>
    </row>
    <row r="915" spans="10:12" ht="14.25" customHeight="1" x14ac:dyDescent="0.2">
      <c r="J915" s="61" t="s">
        <v>1081</v>
      </c>
      <c r="K915" s="62">
        <v>1069</v>
      </c>
      <c r="L915" s="11"/>
    </row>
    <row r="916" spans="10:12" ht="14.25" customHeight="1" x14ac:dyDescent="0.2">
      <c r="J916" s="61" t="s">
        <v>1080</v>
      </c>
      <c r="K916" s="62">
        <v>1075</v>
      </c>
      <c r="L916" s="11"/>
    </row>
    <row r="917" spans="10:12" ht="14.25" customHeight="1" x14ac:dyDescent="0.2">
      <c r="J917" s="61" t="s">
        <v>362</v>
      </c>
      <c r="K917" s="62">
        <v>4311</v>
      </c>
      <c r="L917" s="11"/>
    </row>
    <row r="918" spans="10:12" ht="14.25" customHeight="1" x14ac:dyDescent="0.2">
      <c r="J918" s="61" t="s">
        <v>1079</v>
      </c>
      <c r="K918" s="62">
        <v>1077</v>
      </c>
      <c r="L918" s="11"/>
    </row>
    <row r="919" spans="10:12" ht="14.25" customHeight="1" x14ac:dyDescent="0.2">
      <c r="J919" s="61" t="s">
        <v>599</v>
      </c>
      <c r="K919" s="62">
        <v>2626</v>
      </c>
      <c r="L919" s="11"/>
    </row>
    <row r="920" spans="10:12" ht="14.25" customHeight="1" x14ac:dyDescent="0.2">
      <c r="J920" s="61" t="s">
        <v>600</v>
      </c>
      <c r="K920" s="62">
        <v>2625</v>
      </c>
      <c r="L920" s="11"/>
    </row>
    <row r="921" spans="10:12" ht="14.25" customHeight="1" x14ac:dyDescent="0.2">
      <c r="J921" s="61" t="s">
        <v>1078</v>
      </c>
      <c r="K921" s="62">
        <v>1078</v>
      </c>
      <c r="L921" s="11"/>
    </row>
    <row r="922" spans="10:12" ht="14.25" customHeight="1" x14ac:dyDescent="0.2">
      <c r="J922" s="61" t="s">
        <v>597</v>
      </c>
      <c r="K922" s="62">
        <v>2628</v>
      </c>
      <c r="L922" s="11"/>
    </row>
    <row r="923" spans="10:12" ht="14.25" customHeight="1" x14ac:dyDescent="0.2">
      <c r="J923" s="61" t="s">
        <v>598</v>
      </c>
      <c r="K923" s="62">
        <v>2627</v>
      </c>
      <c r="L923" s="11"/>
    </row>
    <row r="924" spans="10:12" ht="14.25" customHeight="1" x14ac:dyDescent="0.2">
      <c r="J924" s="61" t="s">
        <v>479</v>
      </c>
      <c r="K924" s="62">
        <v>2939</v>
      </c>
      <c r="L924" s="11"/>
    </row>
    <row r="925" spans="10:12" ht="14.25" customHeight="1" x14ac:dyDescent="0.2">
      <c r="J925" s="61" t="s">
        <v>478</v>
      </c>
      <c r="K925" s="62">
        <v>2942</v>
      </c>
      <c r="L925" s="11"/>
    </row>
    <row r="926" spans="10:12" ht="14.25" customHeight="1" x14ac:dyDescent="0.2">
      <c r="J926" s="61" t="s">
        <v>789</v>
      </c>
      <c r="K926" s="62">
        <v>1926</v>
      </c>
      <c r="L926" s="11"/>
    </row>
    <row r="927" spans="10:12" ht="14.25" customHeight="1" x14ac:dyDescent="0.2">
      <c r="J927" s="61" t="s">
        <v>477</v>
      </c>
      <c r="K927" s="62">
        <v>2943</v>
      </c>
      <c r="L927" s="11"/>
    </row>
    <row r="928" spans="10:12" ht="14.25" customHeight="1" x14ac:dyDescent="0.2">
      <c r="J928" s="61" t="s">
        <v>788</v>
      </c>
      <c r="K928" s="62">
        <v>1927</v>
      </c>
      <c r="L928" s="11"/>
    </row>
    <row r="929" spans="10:12" ht="14.25" customHeight="1" x14ac:dyDescent="0.2">
      <c r="J929" s="61" t="s">
        <v>787</v>
      </c>
      <c r="K929" s="62">
        <v>1928</v>
      </c>
      <c r="L929" s="11"/>
    </row>
    <row r="930" spans="10:12" ht="14.25" customHeight="1" x14ac:dyDescent="0.2">
      <c r="J930" s="61" t="s">
        <v>285</v>
      </c>
      <c r="K930" s="62">
        <v>6008</v>
      </c>
      <c r="L930" s="11"/>
    </row>
    <row r="931" spans="10:12" ht="14.25" customHeight="1" x14ac:dyDescent="0.2">
      <c r="J931" s="61" t="s">
        <v>786</v>
      </c>
      <c r="K931" s="62">
        <v>1930</v>
      </c>
      <c r="L931" s="11"/>
    </row>
    <row r="932" spans="10:12" ht="14.25" customHeight="1" x14ac:dyDescent="0.2">
      <c r="J932" s="61" t="s">
        <v>785</v>
      </c>
      <c r="K932" s="62">
        <v>1931</v>
      </c>
      <c r="L932" s="11"/>
    </row>
    <row r="933" spans="10:12" ht="14.25" customHeight="1" x14ac:dyDescent="0.2">
      <c r="J933" s="61" t="s">
        <v>784</v>
      </c>
      <c r="K933" s="62">
        <v>1932</v>
      </c>
      <c r="L933" s="11"/>
    </row>
    <row r="934" spans="10:12" ht="14.25" customHeight="1" x14ac:dyDescent="0.2">
      <c r="J934" s="61" t="s">
        <v>632</v>
      </c>
      <c r="K934" s="62">
        <v>2525</v>
      </c>
      <c r="L934" s="11"/>
    </row>
    <row r="935" spans="10:12" ht="14.25" customHeight="1" x14ac:dyDescent="0.2">
      <c r="J935" s="61" t="s">
        <v>1077</v>
      </c>
      <c r="K935" s="62">
        <v>1081</v>
      </c>
      <c r="L935" s="11"/>
    </row>
    <row r="936" spans="10:12" ht="14.25" customHeight="1" x14ac:dyDescent="0.2">
      <c r="J936" s="61" t="s">
        <v>1076</v>
      </c>
      <c r="K936" s="62">
        <v>1083</v>
      </c>
      <c r="L936" s="11"/>
    </row>
    <row r="937" spans="10:12" ht="14.25" customHeight="1" x14ac:dyDescent="0.2">
      <c r="J937" s="61" t="s">
        <v>1075</v>
      </c>
      <c r="K937" s="62">
        <v>1086</v>
      </c>
      <c r="L937" s="11"/>
    </row>
    <row r="938" spans="10:12" ht="14.25" customHeight="1" x14ac:dyDescent="0.2">
      <c r="J938" s="61" t="s">
        <v>1074</v>
      </c>
      <c r="K938" s="62">
        <v>1088</v>
      </c>
      <c r="L938" s="11"/>
    </row>
    <row r="939" spans="10:12" ht="14.25" customHeight="1" x14ac:dyDescent="0.2">
      <c r="J939" s="61" t="s">
        <v>1073</v>
      </c>
      <c r="K939" s="62">
        <v>1089</v>
      </c>
      <c r="L939" s="11"/>
    </row>
    <row r="940" spans="10:12" ht="14.25" customHeight="1" x14ac:dyDescent="0.2">
      <c r="J940" s="61" t="s">
        <v>1072</v>
      </c>
      <c r="K940" s="62">
        <v>1094</v>
      </c>
      <c r="L940" s="11"/>
    </row>
    <row r="941" spans="10:12" ht="14.25" customHeight="1" x14ac:dyDescent="0.2">
      <c r="J941" s="61" t="s">
        <v>1071</v>
      </c>
      <c r="K941" s="62">
        <v>1095</v>
      </c>
      <c r="L941" s="11"/>
    </row>
    <row r="942" spans="10:12" ht="14.25" customHeight="1" x14ac:dyDescent="0.2">
      <c r="J942" s="61" t="s">
        <v>1070</v>
      </c>
      <c r="K942" s="62">
        <v>1096</v>
      </c>
      <c r="L942" s="11"/>
    </row>
    <row r="943" spans="10:12" ht="14.25" customHeight="1" x14ac:dyDescent="0.2">
      <c r="J943" s="61" t="s">
        <v>1069</v>
      </c>
      <c r="K943" s="62">
        <v>1097</v>
      </c>
      <c r="L943" s="11"/>
    </row>
    <row r="944" spans="10:12" ht="14.25" customHeight="1" x14ac:dyDescent="0.2">
      <c r="J944" s="61" t="s">
        <v>546</v>
      </c>
      <c r="K944" s="62">
        <v>2735</v>
      </c>
      <c r="L944" s="11"/>
    </row>
    <row r="945" spans="10:12" ht="14.25" customHeight="1" x14ac:dyDescent="0.2">
      <c r="J945" s="61" t="s">
        <v>1068</v>
      </c>
      <c r="K945" s="62">
        <v>1105</v>
      </c>
      <c r="L945" s="11"/>
    </row>
    <row r="946" spans="10:12" ht="14.25" customHeight="1" x14ac:dyDescent="0.2">
      <c r="J946" s="61" t="s">
        <v>417</v>
      </c>
      <c r="K946" s="62">
        <v>3217</v>
      </c>
      <c r="L946" s="11"/>
    </row>
    <row r="947" spans="10:12" ht="14.25" customHeight="1" x14ac:dyDescent="0.2">
      <c r="J947" s="61" t="s">
        <v>1067</v>
      </c>
      <c r="K947" s="62">
        <v>1106</v>
      </c>
      <c r="L947" s="11"/>
    </row>
    <row r="948" spans="10:12" ht="14.25" customHeight="1" x14ac:dyDescent="0.2">
      <c r="J948" s="61" t="s">
        <v>476</v>
      </c>
      <c r="K948" s="62">
        <v>2944</v>
      </c>
      <c r="L948" s="11"/>
    </row>
    <row r="949" spans="10:12" ht="14.25" customHeight="1" x14ac:dyDescent="0.2">
      <c r="J949" s="61" t="s">
        <v>820</v>
      </c>
      <c r="K949" s="62">
        <v>1800</v>
      </c>
      <c r="L949" s="11"/>
    </row>
    <row r="950" spans="10:12" ht="14.25" customHeight="1" x14ac:dyDescent="0.2">
      <c r="J950" s="61" t="s">
        <v>819</v>
      </c>
      <c r="K950" s="62">
        <v>1801</v>
      </c>
      <c r="L950" s="11"/>
    </row>
    <row r="951" spans="10:12" ht="14.25" customHeight="1" x14ac:dyDescent="0.2">
      <c r="J951" s="61" t="s">
        <v>783</v>
      </c>
      <c r="K951" s="62">
        <v>1934</v>
      </c>
      <c r="L951" s="11"/>
    </row>
    <row r="952" spans="10:12" ht="14.25" customHeight="1" x14ac:dyDescent="0.2">
      <c r="J952" s="61" t="s">
        <v>541</v>
      </c>
      <c r="K952" s="62">
        <v>2743</v>
      </c>
      <c r="L952" s="11"/>
    </row>
    <row r="953" spans="10:12" ht="14.25" customHeight="1" x14ac:dyDescent="0.2">
      <c r="J953" s="61" t="s">
        <v>475</v>
      </c>
      <c r="K953" s="62">
        <v>2946</v>
      </c>
      <c r="L953" s="11"/>
    </row>
    <row r="954" spans="10:12" ht="14.25" customHeight="1" x14ac:dyDescent="0.2">
      <c r="J954" s="61" t="s">
        <v>1066</v>
      </c>
      <c r="K954" s="62">
        <v>1107</v>
      </c>
      <c r="L954" s="11"/>
    </row>
    <row r="955" spans="10:12" ht="14.25" customHeight="1" x14ac:dyDescent="0.2">
      <c r="J955" s="61" t="s">
        <v>1065</v>
      </c>
      <c r="K955" s="62">
        <v>1109</v>
      </c>
      <c r="L955" s="11"/>
    </row>
    <row r="956" spans="10:12" ht="14.25" customHeight="1" x14ac:dyDescent="0.2">
      <c r="J956" s="61" t="s">
        <v>852</v>
      </c>
      <c r="K956" s="62">
        <v>1674</v>
      </c>
      <c r="L956" s="11"/>
    </row>
    <row r="957" spans="10:12" ht="14.25" customHeight="1" x14ac:dyDescent="0.2">
      <c r="J957" s="61" t="s">
        <v>781</v>
      </c>
      <c r="K957" s="62">
        <v>1939</v>
      </c>
      <c r="L957" s="11"/>
    </row>
    <row r="958" spans="10:12" ht="14.25" customHeight="1" x14ac:dyDescent="0.2">
      <c r="J958" s="61" t="s">
        <v>780</v>
      </c>
      <c r="K958" s="62">
        <v>1940</v>
      </c>
      <c r="L958" s="11"/>
    </row>
    <row r="959" spans="10:12" ht="14.25" customHeight="1" x14ac:dyDescent="0.2">
      <c r="J959" s="61" t="s">
        <v>779</v>
      </c>
      <c r="K959" s="62">
        <v>1941</v>
      </c>
      <c r="L959" s="11"/>
    </row>
    <row r="960" spans="10:12" ht="14.25" customHeight="1" x14ac:dyDescent="0.2">
      <c r="J960" s="61" t="s">
        <v>778</v>
      </c>
      <c r="K960" s="62">
        <v>1942</v>
      </c>
      <c r="L960" s="11"/>
    </row>
    <row r="961" spans="10:12" ht="14.25" customHeight="1" x14ac:dyDescent="0.2">
      <c r="J961" s="61" t="s">
        <v>1064</v>
      </c>
      <c r="K961" s="62">
        <v>1111</v>
      </c>
      <c r="L961" s="11"/>
    </row>
    <row r="962" spans="10:12" ht="14.25" customHeight="1" x14ac:dyDescent="0.2">
      <c r="J962" s="61" t="s">
        <v>416</v>
      </c>
      <c r="K962" s="62">
        <v>3218</v>
      </c>
      <c r="L962" s="11"/>
    </row>
    <row r="963" spans="10:12" ht="14.25" customHeight="1" x14ac:dyDescent="0.2">
      <c r="J963" s="61" t="s">
        <v>1063</v>
      </c>
      <c r="K963" s="62">
        <v>1113</v>
      </c>
      <c r="L963" s="11"/>
    </row>
    <row r="964" spans="10:12" ht="14.25" customHeight="1" x14ac:dyDescent="0.2">
      <c r="J964" s="61" t="s">
        <v>1062</v>
      </c>
      <c r="K964" s="62">
        <v>1114</v>
      </c>
      <c r="L964" s="11"/>
    </row>
    <row r="965" spans="10:12" ht="14.25" customHeight="1" x14ac:dyDescent="0.2">
      <c r="J965" s="61" t="s">
        <v>692</v>
      </c>
      <c r="K965" s="62">
        <v>2257</v>
      </c>
      <c r="L965" s="11"/>
    </row>
    <row r="966" spans="10:12" ht="14.25" customHeight="1" x14ac:dyDescent="0.2">
      <c r="J966" s="61" t="s">
        <v>694</v>
      </c>
      <c r="K966" s="62">
        <v>2254</v>
      </c>
      <c r="L966" s="11"/>
    </row>
    <row r="967" spans="10:12" ht="14.25" customHeight="1" x14ac:dyDescent="0.2">
      <c r="J967" s="61" t="s">
        <v>474</v>
      </c>
      <c r="K967" s="62">
        <v>2947</v>
      </c>
      <c r="L967" s="11"/>
    </row>
    <row r="968" spans="10:12" ht="14.25" customHeight="1" x14ac:dyDescent="0.2">
      <c r="J968" s="61" t="s">
        <v>297</v>
      </c>
      <c r="K968" s="62">
        <v>5448</v>
      </c>
      <c r="L968" s="11"/>
    </row>
    <row r="969" spans="10:12" ht="14.25" customHeight="1" x14ac:dyDescent="0.2">
      <c r="J969" s="61" t="s">
        <v>370</v>
      </c>
      <c r="K969" s="62">
        <v>4287</v>
      </c>
      <c r="L969" s="11"/>
    </row>
    <row r="970" spans="10:12" ht="14.25" customHeight="1" x14ac:dyDescent="0.2">
      <c r="J970" s="61" t="s">
        <v>1061</v>
      </c>
      <c r="K970" s="62">
        <v>1118</v>
      </c>
      <c r="L970" s="11"/>
    </row>
    <row r="971" spans="10:12" ht="14.25" customHeight="1" x14ac:dyDescent="0.2">
      <c r="J971" s="61" t="s">
        <v>1060</v>
      </c>
      <c r="K971" s="62">
        <v>1121</v>
      </c>
      <c r="L971" s="11"/>
    </row>
    <row r="972" spans="10:12" ht="14.25" customHeight="1" x14ac:dyDescent="0.2">
      <c r="J972" s="61" t="s">
        <v>1059</v>
      </c>
      <c r="K972" s="62">
        <v>1122</v>
      </c>
      <c r="L972" s="11"/>
    </row>
    <row r="973" spans="10:12" ht="14.25" customHeight="1" x14ac:dyDescent="0.2">
      <c r="J973" s="61" t="s">
        <v>532</v>
      </c>
      <c r="K973" s="62">
        <v>2754</v>
      </c>
      <c r="L973" s="11"/>
    </row>
    <row r="974" spans="10:12" ht="14.25" customHeight="1" x14ac:dyDescent="0.2">
      <c r="J974" s="61" t="s">
        <v>473</v>
      </c>
      <c r="K974" s="62">
        <v>2953</v>
      </c>
      <c r="L974" s="11"/>
    </row>
    <row r="975" spans="10:12" ht="14.25" customHeight="1" x14ac:dyDescent="0.2">
      <c r="J975" s="61" t="s">
        <v>539</v>
      </c>
      <c r="K975" s="62">
        <v>2746</v>
      </c>
      <c r="L975" s="11"/>
    </row>
    <row r="976" spans="10:12" ht="14.25" customHeight="1" x14ac:dyDescent="0.2">
      <c r="J976" s="61" t="s">
        <v>324</v>
      </c>
      <c r="K976" s="62">
        <v>4393</v>
      </c>
      <c r="L976" s="11"/>
    </row>
    <row r="977" spans="10:12" ht="14.25" customHeight="1" x14ac:dyDescent="0.2">
      <c r="J977" s="61" t="s">
        <v>1058</v>
      </c>
      <c r="K977" s="62">
        <v>1127</v>
      </c>
      <c r="L977" s="11"/>
    </row>
    <row r="978" spans="10:12" ht="14.25" customHeight="1" x14ac:dyDescent="0.2">
      <c r="J978" s="61" t="s">
        <v>1057</v>
      </c>
      <c r="K978" s="62">
        <v>1128</v>
      </c>
      <c r="L978" s="11"/>
    </row>
    <row r="979" spans="10:12" ht="14.25" customHeight="1" x14ac:dyDescent="0.2">
      <c r="J979" s="61" t="s">
        <v>1056</v>
      </c>
      <c r="K979" s="62">
        <v>1136</v>
      </c>
      <c r="L979" s="11"/>
    </row>
    <row r="980" spans="10:12" ht="14.25" customHeight="1" x14ac:dyDescent="0.2">
      <c r="J980" s="61" t="s">
        <v>529</v>
      </c>
      <c r="K980" s="62">
        <v>2760</v>
      </c>
      <c r="L980" s="11"/>
    </row>
    <row r="981" spans="10:12" ht="14.25" customHeight="1" x14ac:dyDescent="0.2">
      <c r="J981" s="61" t="s">
        <v>1055</v>
      </c>
      <c r="K981" s="62">
        <v>1137</v>
      </c>
      <c r="L981" s="11"/>
    </row>
    <row r="982" spans="10:12" ht="14.25" customHeight="1" x14ac:dyDescent="0.2">
      <c r="J982" s="61" t="s">
        <v>528</v>
      </c>
      <c r="K982" s="62">
        <v>2764</v>
      </c>
      <c r="L982" s="11"/>
    </row>
    <row r="983" spans="10:12" ht="14.25" customHeight="1" x14ac:dyDescent="0.2">
      <c r="J983" s="61" t="s">
        <v>1054</v>
      </c>
      <c r="K983" s="62">
        <v>1138</v>
      </c>
      <c r="L983" s="11"/>
    </row>
    <row r="984" spans="10:12" ht="14.25" customHeight="1" x14ac:dyDescent="0.2">
      <c r="J984" s="61" t="s">
        <v>379</v>
      </c>
      <c r="K984" s="62">
        <v>3968</v>
      </c>
      <c r="L984" s="11"/>
    </row>
    <row r="985" spans="10:12" ht="14.25" customHeight="1" x14ac:dyDescent="0.2">
      <c r="J985" s="61" t="s">
        <v>1053</v>
      </c>
      <c r="K985" s="62">
        <v>1139</v>
      </c>
      <c r="L985" s="11"/>
    </row>
    <row r="986" spans="10:12" ht="14.25" customHeight="1" x14ac:dyDescent="0.2">
      <c r="J986" s="61" t="s">
        <v>1052</v>
      </c>
      <c r="K986" s="62">
        <v>1140</v>
      </c>
      <c r="L986" s="11"/>
    </row>
    <row r="987" spans="10:12" ht="14.25" customHeight="1" x14ac:dyDescent="0.2">
      <c r="J987" s="61" t="s">
        <v>1051</v>
      </c>
      <c r="K987" s="62">
        <v>1142</v>
      </c>
      <c r="L987" s="11"/>
    </row>
    <row r="988" spans="10:12" ht="14.25" customHeight="1" x14ac:dyDescent="0.2">
      <c r="J988" s="61" t="s">
        <v>276</v>
      </c>
      <c r="K988" s="62">
        <v>6015</v>
      </c>
      <c r="L988" s="11"/>
    </row>
    <row r="989" spans="10:12" ht="14.25" customHeight="1" x14ac:dyDescent="0.2">
      <c r="J989" s="61" t="s">
        <v>1050</v>
      </c>
      <c r="K989" s="62">
        <v>1143</v>
      </c>
      <c r="L989" s="11"/>
    </row>
    <row r="990" spans="10:12" ht="14.25" customHeight="1" x14ac:dyDescent="0.2">
      <c r="J990" s="61" t="s">
        <v>1049</v>
      </c>
      <c r="K990" s="62">
        <v>1147</v>
      </c>
      <c r="L990" s="11"/>
    </row>
    <row r="991" spans="10:12" ht="14.25" customHeight="1" x14ac:dyDescent="0.2">
      <c r="J991" s="61" t="s">
        <v>1048</v>
      </c>
      <c r="K991" s="62">
        <v>1148</v>
      </c>
      <c r="L991" s="11"/>
    </row>
    <row r="992" spans="10:12" ht="14.25" customHeight="1" x14ac:dyDescent="0.2">
      <c r="J992" s="61" t="s">
        <v>553</v>
      </c>
      <c r="K992" s="62">
        <v>2717</v>
      </c>
      <c r="L992" s="11"/>
    </row>
    <row r="993" spans="10:12" ht="14.25" customHeight="1" x14ac:dyDescent="0.2">
      <c r="J993" s="61" t="s">
        <v>1047</v>
      </c>
      <c r="K993" s="62">
        <v>1151</v>
      </c>
      <c r="L993" s="11"/>
    </row>
    <row r="994" spans="10:12" ht="14.25" customHeight="1" x14ac:dyDescent="0.2">
      <c r="J994" s="61" t="s">
        <v>691</v>
      </c>
      <c r="K994" s="62">
        <v>2271</v>
      </c>
      <c r="L994" s="11"/>
    </row>
    <row r="995" spans="10:12" ht="14.25" customHeight="1" x14ac:dyDescent="0.2">
      <c r="J995" s="61" t="s">
        <v>369</v>
      </c>
      <c r="K995" s="62">
        <v>4291</v>
      </c>
      <c r="L995" s="11"/>
    </row>
    <row r="996" spans="10:12" ht="14.25" customHeight="1" x14ac:dyDescent="0.2">
      <c r="J996" s="61" t="s">
        <v>1046</v>
      </c>
      <c r="K996" s="62">
        <v>1153</v>
      </c>
      <c r="L996" s="11"/>
    </row>
    <row r="997" spans="10:12" ht="14.25" customHeight="1" x14ac:dyDescent="0.2">
      <c r="J997" s="61" t="s">
        <v>1045</v>
      </c>
      <c r="K997" s="62">
        <v>1156</v>
      </c>
      <c r="L997" s="11"/>
    </row>
    <row r="998" spans="10:12" ht="14.25" customHeight="1" x14ac:dyDescent="0.2">
      <c r="J998" s="61" t="s">
        <v>1044</v>
      </c>
      <c r="K998" s="62">
        <v>1158</v>
      </c>
      <c r="L998" s="11"/>
    </row>
    <row r="999" spans="10:12" ht="14.25" customHeight="1" x14ac:dyDescent="0.2">
      <c r="J999" s="61" t="s">
        <v>1043</v>
      </c>
      <c r="K999" s="62">
        <v>1160</v>
      </c>
      <c r="L999" s="11"/>
    </row>
    <row r="1000" spans="10:12" ht="14.25" customHeight="1" x14ac:dyDescent="0.2">
      <c r="J1000" s="61" t="s">
        <v>358</v>
      </c>
      <c r="K1000" s="62">
        <v>4324</v>
      </c>
      <c r="L1000" s="11"/>
    </row>
    <row r="1001" spans="10:12" ht="14.25" customHeight="1" x14ac:dyDescent="0.2">
      <c r="J1001" s="61" t="s">
        <v>1042</v>
      </c>
      <c r="K1001" s="62">
        <v>1167</v>
      </c>
      <c r="L1001" s="11"/>
    </row>
    <row r="1002" spans="10:12" ht="14.25" customHeight="1" x14ac:dyDescent="0.2">
      <c r="J1002" s="61" t="s">
        <v>472</v>
      </c>
      <c r="K1002" s="62">
        <v>2963</v>
      </c>
      <c r="L1002" s="11"/>
    </row>
    <row r="1003" spans="10:12" ht="14.25" customHeight="1" x14ac:dyDescent="0.2">
      <c r="J1003" s="61" t="s">
        <v>543</v>
      </c>
      <c r="K1003" s="62">
        <v>2741</v>
      </c>
      <c r="L1003" s="11"/>
    </row>
    <row r="1004" spans="10:12" ht="14.25" customHeight="1" x14ac:dyDescent="0.2">
      <c r="J1004" s="61" t="s">
        <v>596</v>
      </c>
      <c r="K1004" s="62">
        <v>2631</v>
      </c>
      <c r="L1004" s="11"/>
    </row>
    <row r="1005" spans="10:12" ht="14.25" customHeight="1" x14ac:dyDescent="0.2">
      <c r="J1005" s="61" t="s">
        <v>1041</v>
      </c>
      <c r="K1005" s="62">
        <v>1168</v>
      </c>
      <c r="L1005" s="11"/>
    </row>
    <row r="1006" spans="10:12" ht="14.25" customHeight="1" x14ac:dyDescent="0.2">
      <c r="J1006" s="61" t="s">
        <v>364</v>
      </c>
      <c r="K1006" s="62">
        <v>4305</v>
      </c>
      <c r="L1006" s="11"/>
    </row>
    <row r="1007" spans="10:12" ht="14.25" customHeight="1" x14ac:dyDescent="0.2">
      <c r="J1007" s="61" t="s">
        <v>547</v>
      </c>
      <c r="K1007" s="62">
        <v>2729</v>
      </c>
      <c r="L1007" s="11"/>
    </row>
    <row r="1008" spans="10:12" ht="14.25" customHeight="1" x14ac:dyDescent="0.2">
      <c r="J1008" s="61" t="s">
        <v>1040</v>
      </c>
      <c r="K1008" s="62">
        <v>1169</v>
      </c>
      <c r="L1008" s="11"/>
    </row>
    <row r="1009" spans="10:12" ht="14.25" customHeight="1" x14ac:dyDescent="0.2">
      <c r="J1009" s="61" t="s">
        <v>542</v>
      </c>
      <c r="K1009" s="62">
        <v>2742</v>
      </c>
      <c r="L1009" s="11"/>
    </row>
    <row r="1010" spans="10:12" ht="14.25" customHeight="1" x14ac:dyDescent="0.2">
      <c r="J1010" s="61" t="s">
        <v>566</v>
      </c>
      <c r="K1010" s="62">
        <v>2699</v>
      </c>
      <c r="L1010" s="11"/>
    </row>
    <row r="1011" spans="10:12" ht="14.25" customHeight="1" x14ac:dyDescent="0.2">
      <c r="J1011" s="61" t="s">
        <v>1039</v>
      </c>
      <c r="K1011" s="62">
        <v>1171</v>
      </c>
      <c r="L1011" s="11"/>
    </row>
    <row r="1012" spans="10:12" ht="14.25" customHeight="1" x14ac:dyDescent="0.2">
      <c r="J1012" s="61" t="s">
        <v>1038</v>
      </c>
      <c r="K1012" s="62">
        <v>1174</v>
      </c>
      <c r="L1012" s="11"/>
    </row>
    <row r="1013" spans="10:12" ht="14.25" customHeight="1" x14ac:dyDescent="0.2">
      <c r="J1013" s="61" t="s">
        <v>429</v>
      </c>
      <c r="K1013" s="62">
        <v>3131</v>
      </c>
      <c r="L1013" s="11"/>
    </row>
    <row r="1014" spans="10:12" ht="14.25" customHeight="1" x14ac:dyDescent="0.2">
      <c r="J1014" s="61" t="s">
        <v>1037</v>
      </c>
      <c r="K1014" s="62">
        <v>1179</v>
      </c>
      <c r="L1014" s="11"/>
    </row>
    <row r="1015" spans="10:12" ht="14.25" customHeight="1" x14ac:dyDescent="0.2">
      <c r="J1015" s="61" t="s">
        <v>554</v>
      </c>
      <c r="K1015" s="62">
        <v>2716</v>
      </c>
      <c r="L1015" s="11"/>
    </row>
    <row r="1016" spans="10:12" ht="14.25" customHeight="1" x14ac:dyDescent="0.2">
      <c r="J1016" s="61" t="s">
        <v>1036</v>
      </c>
      <c r="K1016" s="62">
        <v>1182</v>
      </c>
      <c r="L1016" s="11"/>
    </row>
    <row r="1017" spans="10:12" ht="14.25" customHeight="1" x14ac:dyDescent="0.2">
      <c r="J1017" s="61" t="s">
        <v>471</v>
      </c>
      <c r="K1017" s="62">
        <v>2967</v>
      </c>
      <c r="L1017" s="11"/>
    </row>
    <row r="1018" spans="10:12" ht="14.25" customHeight="1" x14ac:dyDescent="0.2">
      <c r="J1018" s="61" t="s">
        <v>361</v>
      </c>
      <c r="K1018" s="62">
        <v>4314</v>
      </c>
      <c r="L1018" s="11"/>
    </row>
    <row r="1019" spans="10:12" ht="14.25" customHeight="1" x14ac:dyDescent="0.2">
      <c r="J1019" s="61" t="s">
        <v>595</v>
      </c>
      <c r="K1019" s="62">
        <v>2633</v>
      </c>
      <c r="L1019" s="11"/>
    </row>
    <row r="1020" spans="10:12" ht="14.25" customHeight="1" x14ac:dyDescent="0.2">
      <c r="J1020" s="61" t="s">
        <v>1035</v>
      </c>
      <c r="K1020" s="62">
        <v>1187</v>
      </c>
      <c r="L1020" s="11"/>
    </row>
    <row r="1021" spans="10:12" ht="14.25" customHeight="1" x14ac:dyDescent="0.2">
      <c r="J1021" s="61" t="s">
        <v>1091</v>
      </c>
      <c r="K1021" s="62">
        <v>1053</v>
      </c>
      <c r="L1021" s="11"/>
    </row>
    <row r="1022" spans="10:12" ht="14.25" customHeight="1" x14ac:dyDescent="0.2">
      <c r="J1022" s="61" t="s">
        <v>1034</v>
      </c>
      <c r="K1022" s="62">
        <v>1190</v>
      </c>
      <c r="L1022" s="11"/>
    </row>
    <row r="1023" spans="10:12" ht="14.25" customHeight="1" x14ac:dyDescent="0.2">
      <c r="J1023" s="61" t="s">
        <v>1033</v>
      </c>
      <c r="K1023" s="62">
        <v>1191</v>
      </c>
      <c r="L1023" s="11"/>
    </row>
    <row r="1024" spans="10:12" ht="14.25" customHeight="1" x14ac:dyDescent="0.2">
      <c r="J1024" s="61" t="s">
        <v>1032</v>
      </c>
      <c r="K1024" s="62">
        <v>1192</v>
      </c>
      <c r="L1024" s="11"/>
    </row>
    <row r="1025" spans="10:12" ht="14.25" customHeight="1" x14ac:dyDescent="0.2">
      <c r="J1025" s="61" t="s">
        <v>918</v>
      </c>
      <c r="K1025" s="62">
        <v>1447</v>
      </c>
      <c r="L1025" s="11"/>
    </row>
    <row r="1026" spans="10:12" ht="14.25" customHeight="1" x14ac:dyDescent="0.2">
      <c r="J1026" s="61" t="s">
        <v>1031</v>
      </c>
      <c r="K1026" s="62">
        <v>1197</v>
      </c>
      <c r="L1026" s="11"/>
    </row>
    <row r="1027" spans="10:12" ht="14.25" customHeight="1" x14ac:dyDescent="0.2">
      <c r="J1027" s="61" t="s">
        <v>1030</v>
      </c>
      <c r="K1027" s="62">
        <v>1198</v>
      </c>
      <c r="L1027" s="11"/>
    </row>
    <row r="1028" spans="10:12" ht="14.25" customHeight="1" x14ac:dyDescent="0.2">
      <c r="J1028" s="61" t="s">
        <v>1029</v>
      </c>
      <c r="K1028" s="62">
        <v>1199</v>
      </c>
      <c r="L1028" s="11"/>
    </row>
    <row r="1029" spans="10:12" ht="14.25" customHeight="1" x14ac:dyDescent="0.2">
      <c r="J1029" s="61" t="s">
        <v>1028</v>
      </c>
      <c r="K1029" s="62">
        <v>1201</v>
      </c>
      <c r="L1029" s="11"/>
    </row>
    <row r="1030" spans="10:12" ht="14.25" customHeight="1" x14ac:dyDescent="0.2">
      <c r="J1030" s="61" t="s">
        <v>548</v>
      </c>
      <c r="K1030" s="62">
        <v>2724</v>
      </c>
      <c r="L1030" s="11"/>
    </row>
    <row r="1031" spans="10:12" ht="14.25" customHeight="1" x14ac:dyDescent="0.2">
      <c r="J1031" s="61" t="s">
        <v>378</v>
      </c>
      <c r="K1031" s="62">
        <v>4003</v>
      </c>
      <c r="L1031" s="11"/>
    </row>
    <row r="1032" spans="10:12" ht="14.25" customHeight="1" x14ac:dyDescent="0.2">
      <c r="J1032" s="61" t="s">
        <v>1027</v>
      </c>
      <c r="K1032" s="62">
        <v>1203</v>
      </c>
      <c r="L1032" s="11"/>
    </row>
    <row r="1033" spans="10:12" ht="14.25" customHeight="1" x14ac:dyDescent="0.2">
      <c r="J1033" s="61" t="s">
        <v>1026</v>
      </c>
      <c r="K1033" s="62">
        <v>1205</v>
      </c>
      <c r="L1033" s="11"/>
    </row>
    <row r="1034" spans="10:12" ht="14.25" customHeight="1" x14ac:dyDescent="0.2">
      <c r="J1034" s="61" t="s">
        <v>470</v>
      </c>
      <c r="K1034" s="62">
        <v>2969</v>
      </c>
      <c r="L1034" s="11"/>
    </row>
    <row r="1035" spans="10:12" ht="14.25" customHeight="1" x14ac:dyDescent="0.2">
      <c r="J1035" s="61" t="s">
        <v>690</v>
      </c>
      <c r="K1035" s="62">
        <v>2279</v>
      </c>
      <c r="L1035" s="11"/>
    </row>
    <row r="1036" spans="10:12" ht="14.25" customHeight="1" x14ac:dyDescent="0.2">
      <c r="J1036" s="61" t="s">
        <v>689</v>
      </c>
      <c r="K1036" s="62">
        <v>2280</v>
      </c>
      <c r="L1036" s="11"/>
    </row>
    <row r="1037" spans="10:12" ht="14.25" customHeight="1" x14ac:dyDescent="0.2">
      <c r="J1037" s="61" t="s">
        <v>688</v>
      </c>
      <c r="K1037" s="62">
        <v>2282</v>
      </c>
      <c r="L1037" s="11"/>
    </row>
    <row r="1038" spans="10:12" ht="14.25" customHeight="1" x14ac:dyDescent="0.2">
      <c r="J1038" s="61" t="s">
        <v>687</v>
      </c>
      <c r="K1038" s="62">
        <v>2284</v>
      </c>
      <c r="L1038" s="11"/>
    </row>
    <row r="1039" spans="10:12" ht="14.25" customHeight="1" x14ac:dyDescent="0.2">
      <c r="J1039" s="61" t="s">
        <v>686</v>
      </c>
      <c r="K1039" s="62">
        <v>2291</v>
      </c>
      <c r="L1039" s="11"/>
    </row>
    <row r="1040" spans="10:12" ht="14.25" customHeight="1" x14ac:dyDescent="0.2">
      <c r="J1040" s="61" t="s">
        <v>685</v>
      </c>
      <c r="K1040" s="62">
        <v>2293</v>
      </c>
      <c r="L1040" s="11"/>
    </row>
    <row r="1041" spans="10:12" ht="14.25" customHeight="1" x14ac:dyDescent="0.2">
      <c r="J1041" s="61" t="s">
        <v>838</v>
      </c>
      <c r="K1041" s="62">
        <v>1733</v>
      </c>
      <c r="L1041" s="11"/>
    </row>
    <row r="1042" spans="10:12" ht="14.25" customHeight="1" x14ac:dyDescent="0.2">
      <c r="J1042" s="61" t="s">
        <v>900</v>
      </c>
      <c r="K1042" s="62">
        <v>1515</v>
      </c>
      <c r="L1042" s="11"/>
    </row>
    <row r="1043" spans="10:12" ht="14.25" customHeight="1" x14ac:dyDescent="0.2">
      <c r="J1043" s="61" t="s">
        <v>321</v>
      </c>
      <c r="K1043" s="62">
        <v>4396</v>
      </c>
      <c r="L1043" s="11"/>
    </row>
    <row r="1044" spans="10:12" ht="14.25" customHeight="1" x14ac:dyDescent="0.2">
      <c r="J1044" s="61" t="s">
        <v>777</v>
      </c>
      <c r="K1044" s="62">
        <v>1945</v>
      </c>
      <c r="L1044" s="11"/>
    </row>
    <row r="1045" spans="10:12" ht="14.25" customHeight="1" x14ac:dyDescent="0.2">
      <c r="J1045" s="61" t="s">
        <v>856</v>
      </c>
      <c r="K1045" s="62">
        <v>1658</v>
      </c>
      <c r="L1045" s="11"/>
    </row>
    <row r="1046" spans="10:12" ht="14.25" customHeight="1" x14ac:dyDescent="0.2">
      <c r="J1046" s="61" t="s">
        <v>1022</v>
      </c>
      <c r="K1046" s="62">
        <v>1220</v>
      </c>
      <c r="L1046" s="11"/>
    </row>
    <row r="1047" spans="10:12" ht="14.25" customHeight="1" x14ac:dyDescent="0.2">
      <c r="J1047" s="61" t="s">
        <v>1021</v>
      </c>
      <c r="K1047" s="62">
        <v>1224</v>
      </c>
      <c r="L1047" s="11"/>
    </row>
    <row r="1048" spans="10:12" ht="14.25" customHeight="1" x14ac:dyDescent="0.2">
      <c r="J1048" s="61" t="s">
        <v>1020</v>
      </c>
      <c r="K1048" s="62">
        <v>1225</v>
      </c>
      <c r="L1048" s="11"/>
    </row>
    <row r="1049" spans="10:12" ht="14.25" customHeight="1" x14ac:dyDescent="0.2">
      <c r="J1049" s="61" t="s">
        <v>1019</v>
      </c>
      <c r="K1049" s="62">
        <v>1227</v>
      </c>
      <c r="L1049" s="11"/>
    </row>
    <row r="1050" spans="10:12" ht="14.25" customHeight="1" x14ac:dyDescent="0.2">
      <c r="J1050" s="61" t="s">
        <v>1018</v>
      </c>
      <c r="K1050" s="62">
        <v>1234</v>
      </c>
      <c r="L1050" s="11"/>
    </row>
    <row r="1051" spans="10:12" ht="14.25" customHeight="1" x14ac:dyDescent="0.2">
      <c r="J1051" s="61" t="s">
        <v>1017</v>
      </c>
      <c r="K1051" s="62">
        <v>1235</v>
      </c>
      <c r="L1051" s="11"/>
    </row>
    <row r="1052" spans="10:12" ht="14.25" customHeight="1" x14ac:dyDescent="0.2">
      <c r="J1052" s="61" t="s">
        <v>755</v>
      </c>
      <c r="K1052" s="62">
        <v>2033</v>
      </c>
      <c r="L1052" s="11"/>
    </row>
    <row r="1053" spans="10:12" ht="14.25" customHeight="1" x14ac:dyDescent="0.2">
      <c r="J1053" s="61" t="s">
        <v>776</v>
      </c>
      <c r="K1053" s="62">
        <v>1955</v>
      </c>
      <c r="L1053" s="11"/>
    </row>
    <row r="1054" spans="10:12" ht="14.25" customHeight="1" x14ac:dyDescent="0.2">
      <c r="J1054" s="61" t="s">
        <v>403</v>
      </c>
      <c r="K1054" s="62">
        <v>3314</v>
      </c>
      <c r="L1054" s="11"/>
    </row>
    <row r="1055" spans="10:12" ht="14.25" customHeight="1" x14ac:dyDescent="0.2">
      <c r="J1055" s="61" t="s">
        <v>1016</v>
      </c>
      <c r="K1055" s="62">
        <v>1237</v>
      </c>
      <c r="L1055" s="11"/>
    </row>
    <row r="1056" spans="10:12" ht="14.25" customHeight="1" x14ac:dyDescent="0.2">
      <c r="J1056" s="61" t="s">
        <v>1015</v>
      </c>
      <c r="K1056" s="62">
        <v>1239</v>
      </c>
      <c r="L1056" s="11"/>
    </row>
    <row r="1057" spans="10:12" ht="14.25" customHeight="1" x14ac:dyDescent="0.2">
      <c r="J1057" s="61" t="s">
        <v>1014</v>
      </c>
      <c r="K1057" s="62">
        <v>1241</v>
      </c>
      <c r="L1057" s="11"/>
    </row>
    <row r="1058" spans="10:12" ht="14.25" customHeight="1" x14ac:dyDescent="0.2">
      <c r="J1058" s="61" t="s">
        <v>1013</v>
      </c>
      <c r="K1058" s="62">
        <v>1243</v>
      </c>
      <c r="L1058" s="11"/>
    </row>
    <row r="1059" spans="10:12" ht="14.25" customHeight="1" x14ac:dyDescent="0.2">
      <c r="J1059" s="61" t="s">
        <v>415</v>
      </c>
      <c r="K1059" s="62">
        <v>3233</v>
      </c>
      <c r="L1059" s="11"/>
    </row>
    <row r="1060" spans="10:12" ht="14.25" customHeight="1" x14ac:dyDescent="0.2">
      <c r="J1060" s="61" t="s">
        <v>1012</v>
      </c>
      <c r="K1060" s="62">
        <v>1245</v>
      </c>
      <c r="L1060" s="11"/>
    </row>
    <row r="1061" spans="10:12" ht="14.25" customHeight="1" x14ac:dyDescent="0.2">
      <c r="J1061" s="61" t="s">
        <v>1011</v>
      </c>
      <c r="K1061" s="62">
        <v>1247</v>
      </c>
      <c r="L1061" s="11"/>
    </row>
    <row r="1062" spans="10:12" ht="14.25" customHeight="1" x14ac:dyDescent="0.2">
      <c r="J1062" s="61" t="s">
        <v>318</v>
      </c>
      <c r="K1062" s="62">
        <v>4397</v>
      </c>
      <c r="L1062" s="11"/>
    </row>
    <row r="1063" spans="10:12" ht="14.25" customHeight="1" x14ac:dyDescent="0.2">
      <c r="J1063" s="61" t="s">
        <v>1007</v>
      </c>
      <c r="K1063" s="62">
        <v>1254</v>
      </c>
      <c r="L1063" s="11"/>
    </row>
    <row r="1064" spans="10:12" ht="14.25" customHeight="1" x14ac:dyDescent="0.2">
      <c r="J1064" s="61" t="s">
        <v>1008</v>
      </c>
      <c r="K1064" s="62">
        <v>1253</v>
      </c>
      <c r="L1064" s="11"/>
    </row>
    <row r="1065" spans="10:12" ht="14.25" customHeight="1" x14ac:dyDescent="0.2">
      <c r="J1065" s="61" t="s">
        <v>1009</v>
      </c>
      <c r="K1065" s="62">
        <v>1252</v>
      </c>
      <c r="L1065" s="11"/>
    </row>
    <row r="1066" spans="10:12" ht="14.25" customHeight="1" x14ac:dyDescent="0.2">
      <c r="J1066" s="61" t="s">
        <v>1006</v>
      </c>
      <c r="K1066" s="62">
        <v>1259</v>
      </c>
      <c r="L1066" s="11"/>
    </row>
    <row r="1067" spans="10:12" ht="14.25" customHeight="1" x14ac:dyDescent="0.2">
      <c r="J1067" s="61" t="s">
        <v>1005</v>
      </c>
      <c r="K1067" s="62">
        <v>1268</v>
      </c>
      <c r="L1067" s="11"/>
    </row>
    <row r="1068" spans="10:12" ht="14.25" customHeight="1" x14ac:dyDescent="0.2">
      <c r="J1068" s="61" t="s">
        <v>468</v>
      </c>
      <c r="K1068" s="62">
        <v>2974</v>
      </c>
      <c r="L1068" s="11"/>
    </row>
    <row r="1069" spans="10:12" ht="14.25" customHeight="1" x14ac:dyDescent="0.2">
      <c r="J1069" s="61" t="s">
        <v>436</v>
      </c>
      <c r="K1069" s="62">
        <v>3098</v>
      </c>
      <c r="L1069" s="11"/>
    </row>
    <row r="1070" spans="10:12" ht="14.25" customHeight="1" x14ac:dyDescent="0.2">
      <c r="J1070" s="61" t="s">
        <v>1004</v>
      </c>
      <c r="K1070" s="62">
        <v>1270</v>
      </c>
      <c r="L1070" s="11"/>
    </row>
    <row r="1071" spans="10:12" ht="14.25" customHeight="1" x14ac:dyDescent="0.2">
      <c r="J1071" s="61" t="s">
        <v>631</v>
      </c>
      <c r="K1071" s="62">
        <v>2538</v>
      </c>
      <c r="L1071" s="11"/>
    </row>
    <row r="1072" spans="10:12" ht="14.25" customHeight="1" x14ac:dyDescent="0.2">
      <c r="J1072" s="61" t="s">
        <v>398</v>
      </c>
      <c r="K1072" s="62">
        <v>3357</v>
      </c>
      <c r="L1072" s="11"/>
    </row>
    <row r="1073" spans="10:12" ht="14.25" customHeight="1" x14ac:dyDescent="0.2">
      <c r="J1073" s="61" t="s">
        <v>1003</v>
      </c>
      <c r="K1073" s="62">
        <v>1271</v>
      </c>
      <c r="L1073" s="11"/>
    </row>
    <row r="1074" spans="10:12" ht="14.25" customHeight="1" x14ac:dyDescent="0.2">
      <c r="J1074" s="61" t="s">
        <v>1002</v>
      </c>
      <c r="K1074" s="62">
        <v>1272</v>
      </c>
      <c r="L1074" s="11"/>
    </row>
    <row r="1075" spans="10:12" ht="14.25" customHeight="1" x14ac:dyDescent="0.2">
      <c r="J1075" s="61" t="s">
        <v>1001</v>
      </c>
      <c r="K1075" s="62">
        <v>1273</v>
      </c>
      <c r="L1075" s="11"/>
    </row>
    <row r="1076" spans="10:12" ht="14.25" customHeight="1" x14ac:dyDescent="0.2">
      <c r="J1076" s="61" t="s">
        <v>1000</v>
      </c>
      <c r="K1076" s="62">
        <v>1274</v>
      </c>
      <c r="L1076" s="11"/>
    </row>
    <row r="1077" spans="10:12" ht="14.25" customHeight="1" x14ac:dyDescent="0.2">
      <c r="J1077" s="61" t="s">
        <v>999</v>
      </c>
      <c r="K1077" s="62">
        <v>1275</v>
      </c>
      <c r="L1077" s="11"/>
    </row>
    <row r="1078" spans="10:12" ht="14.25" customHeight="1" x14ac:dyDescent="0.2">
      <c r="J1078" s="61" t="s">
        <v>594</v>
      </c>
      <c r="K1078" s="62">
        <v>2634</v>
      </c>
      <c r="L1078" s="11"/>
    </row>
    <row r="1079" spans="10:12" ht="14.25" customHeight="1" x14ac:dyDescent="0.2">
      <c r="J1079" s="61" t="s">
        <v>626</v>
      </c>
      <c r="K1079" s="62">
        <v>2597</v>
      </c>
      <c r="L1079" s="11"/>
    </row>
    <row r="1080" spans="10:12" ht="14.25" customHeight="1" x14ac:dyDescent="0.2">
      <c r="J1080" s="61" t="s">
        <v>998</v>
      </c>
      <c r="K1080" s="62">
        <v>1283</v>
      </c>
      <c r="L1080" s="11"/>
    </row>
    <row r="1081" spans="10:12" ht="14.25" customHeight="1" x14ac:dyDescent="0.2">
      <c r="J1081" s="61" t="s">
        <v>630</v>
      </c>
      <c r="K1081" s="62">
        <v>2540</v>
      </c>
      <c r="L1081" s="11"/>
    </row>
    <row r="1082" spans="10:12" ht="14.25" customHeight="1" x14ac:dyDescent="0.2">
      <c r="J1082" s="61" t="s">
        <v>629</v>
      </c>
      <c r="K1082" s="62">
        <v>2541</v>
      </c>
      <c r="L1082" s="11"/>
    </row>
    <row r="1083" spans="10:12" ht="14.25" customHeight="1" x14ac:dyDescent="0.2">
      <c r="J1083" s="61" t="s">
        <v>545</v>
      </c>
      <c r="K1083" s="62">
        <v>2738</v>
      </c>
      <c r="L1083" s="11"/>
    </row>
    <row r="1084" spans="10:12" ht="14.25" customHeight="1" x14ac:dyDescent="0.2">
      <c r="J1084" s="61" t="s">
        <v>775</v>
      </c>
      <c r="K1084" s="62">
        <v>1960</v>
      </c>
      <c r="L1084" s="11"/>
    </row>
    <row r="1085" spans="10:12" ht="14.25" customHeight="1" x14ac:dyDescent="0.2">
      <c r="J1085" s="61" t="s">
        <v>774</v>
      </c>
      <c r="K1085" s="62">
        <v>1961</v>
      </c>
      <c r="L1085" s="11"/>
    </row>
    <row r="1086" spans="10:12" ht="14.25" customHeight="1" x14ac:dyDescent="0.2">
      <c r="J1086" s="61" t="s">
        <v>773</v>
      </c>
      <c r="K1086" s="62">
        <v>1963</v>
      </c>
      <c r="L1086" s="11"/>
    </row>
    <row r="1087" spans="10:12" ht="14.25" customHeight="1" x14ac:dyDescent="0.2">
      <c r="J1087" s="61" t="s">
        <v>565</v>
      </c>
      <c r="K1087" s="62">
        <v>2700</v>
      </c>
      <c r="L1087" s="11"/>
    </row>
    <row r="1088" spans="10:12" ht="14.25" customHeight="1" x14ac:dyDescent="0.2">
      <c r="J1088" s="61" t="s">
        <v>252</v>
      </c>
      <c r="K1088" s="62">
        <v>6026</v>
      </c>
      <c r="L1088" s="11"/>
    </row>
    <row r="1089" spans="10:12" ht="14.25" customHeight="1" x14ac:dyDescent="0.2">
      <c r="J1089" s="61" t="s">
        <v>772</v>
      </c>
      <c r="K1089" s="62">
        <v>1964</v>
      </c>
      <c r="L1089" s="11"/>
    </row>
    <row r="1090" spans="10:12" ht="14.25" customHeight="1" x14ac:dyDescent="0.2">
      <c r="J1090" s="61" t="s">
        <v>771</v>
      </c>
      <c r="K1090" s="62">
        <v>1966</v>
      </c>
      <c r="L1090" s="11"/>
    </row>
    <row r="1091" spans="10:12" ht="14.25" customHeight="1" x14ac:dyDescent="0.2">
      <c r="J1091" s="61" t="s">
        <v>469</v>
      </c>
      <c r="K1091" s="62">
        <v>2972</v>
      </c>
      <c r="L1091" s="11"/>
    </row>
    <row r="1092" spans="10:12" ht="14.25" customHeight="1" x14ac:dyDescent="0.2">
      <c r="J1092" s="61" t="s">
        <v>770</v>
      </c>
      <c r="K1092" s="62">
        <v>1969</v>
      </c>
      <c r="L1092" s="11"/>
    </row>
    <row r="1093" spans="10:12" ht="14.25" customHeight="1" x14ac:dyDescent="0.2">
      <c r="J1093" s="61" t="s">
        <v>769</v>
      </c>
      <c r="K1093" s="62">
        <v>1971</v>
      </c>
      <c r="L1093" s="11"/>
    </row>
    <row r="1094" spans="10:12" ht="14.25" customHeight="1" x14ac:dyDescent="0.2">
      <c r="J1094" s="61" t="s">
        <v>768</v>
      </c>
      <c r="K1094" s="62">
        <v>1972</v>
      </c>
      <c r="L1094" s="11"/>
    </row>
    <row r="1095" spans="10:12" ht="14.25" customHeight="1" x14ac:dyDescent="0.2">
      <c r="J1095" s="61" t="s">
        <v>766</v>
      </c>
      <c r="K1095" s="62">
        <v>1975</v>
      </c>
      <c r="L1095" s="11"/>
    </row>
    <row r="1096" spans="10:12" ht="14.25" customHeight="1" x14ac:dyDescent="0.2">
      <c r="J1096" s="61" t="s">
        <v>765</v>
      </c>
      <c r="K1096" s="62">
        <v>1976</v>
      </c>
      <c r="L1096" s="11"/>
    </row>
    <row r="1097" spans="10:12" ht="14.25" customHeight="1" x14ac:dyDescent="0.2">
      <c r="J1097" s="61" t="s">
        <v>764</v>
      </c>
      <c r="K1097" s="62">
        <v>1978</v>
      </c>
      <c r="L1097" s="11"/>
    </row>
    <row r="1098" spans="10:12" ht="14.25" customHeight="1" x14ac:dyDescent="0.2">
      <c r="J1098" s="61" t="s">
        <v>763</v>
      </c>
      <c r="K1098" s="62">
        <v>1980</v>
      </c>
      <c r="L1098" s="11"/>
    </row>
    <row r="1099" spans="10:12" ht="14.25" customHeight="1" x14ac:dyDescent="0.2">
      <c r="J1099" s="61" t="s">
        <v>767</v>
      </c>
      <c r="K1099" s="62">
        <v>1973</v>
      </c>
      <c r="L1099" s="11"/>
    </row>
    <row r="1100" spans="10:12" ht="14.25" customHeight="1" x14ac:dyDescent="0.2">
      <c r="J1100" s="61" t="s">
        <v>762</v>
      </c>
      <c r="K1100" s="62">
        <v>1984</v>
      </c>
      <c r="L1100" s="11"/>
    </row>
    <row r="1101" spans="10:12" ht="14.25" customHeight="1" x14ac:dyDescent="0.2">
      <c r="J1101" s="61" t="s">
        <v>279</v>
      </c>
      <c r="K1101" s="62">
        <v>6011</v>
      </c>
      <c r="L1101" s="11"/>
    </row>
    <row r="1102" spans="10:12" ht="14.25" customHeight="1" x14ac:dyDescent="0.2">
      <c r="J1102" s="61" t="s">
        <v>466</v>
      </c>
      <c r="K1102" s="62">
        <v>2980</v>
      </c>
      <c r="L1102" s="11"/>
    </row>
    <row r="1103" spans="10:12" ht="14.25" customHeight="1" x14ac:dyDescent="0.2">
      <c r="J1103" s="61" t="s">
        <v>997</v>
      </c>
      <c r="K1103" s="62">
        <v>1291</v>
      </c>
      <c r="L1103" s="11"/>
    </row>
    <row r="1104" spans="10:12" ht="14.25" customHeight="1" x14ac:dyDescent="0.2">
      <c r="J1104" s="61" t="s">
        <v>154</v>
      </c>
      <c r="K1104" s="62">
        <v>234</v>
      </c>
      <c r="L1104" s="11"/>
    </row>
    <row r="1105" spans="10:12" ht="14.25" customHeight="1" x14ac:dyDescent="0.2">
      <c r="J1105" s="61" t="s">
        <v>996</v>
      </c>
      <c r="K1105" s="62">
        <v>1292</v>
      </c>
      <c r="L1105" s="11"/>
    </row>
    <row r="1106" spans="10:12" ht="14.25" customHeight="1" x14ac:dyDescent="0.2">
      <c r="J1106" s="61" t="s">
        <v>995</v>
      </c>
      <c r="K1106" s="62">
        <v>1293</v>
      </c>
      <c r="L1106" s="11"/>
    </row>
    <row r="1107" spans="10:12" ht="14.25" customHeight="1" x14ac:dyDescent="0.2">
      <c r="J1107" s="61" t="s">
        <v>993</v>
      </c>
      <c r="K1107" s="62">
        <v>1296</v>
      </c>
      <c r="L1107" s="11"/>
    </row>
    <row r="1108" spans="10:12" ht="14.25" customHeight="1" x14ac:dyDescent="0.2">
      <c r="J1108" s="61" t="s">
        <v>992</v>
      </c>
      <c r="K1108" s="62">
        <v>1297</v>
      </c>
      <c r="L1108" s="11"/>
    </row>
    <row r="1109" spans="10:12" ht="14.25" customHeight="1" x14ac:dyDescent="0.2">
      <c r="J1109" s="61" t="s">
        <v>991</v>
      </c>
      <c r="K1109" s="62">
        <v>1298</v>
      </c>
      <c r="L1109" s="11"/>
    </row>
    <row r="1110" spans="10:12" ht="14.25" customHeight="1" x14ac:dyDescent="0.2">
      <c r="J1110" s="61" t="s">
        <v>990</v>
      </c>
      <c r="K1110" s="62">
        <v>1302</v>
      </c>
      <c r="L1110" s="11"/>
    </row>
    <row r="1111" spans="10:12" ht="14.25" customHeight="1" x14ac:dyDescent="0.2">
      <c r="J1111" s="61" t="s">
        <v>561</v>
      </c>
      <c r="K1111" s="62">
        <v>2704</v>
      </c>
      <c r="L1111" s="11"/>
    </row>
    <row r="1112" spans="10:12" ht="14.25" customHeight="1" x14ac:dyDescent="0.2">
      <c r="J1112" s="61" t="s">
        <v>994</v>
      </c>
      <c r="K1112" s="62">
        <v>1295</v>
      </c>
      <c r="L1112" s="11"/>
    </row>
    <row r="1113" spans="10:12" ht="14.25" customHeight="1" x14ac:dyDescent="0.2">
      <c r="J1113" s="61" t="s">
        <v>628</v>
      </c>
      <c r="K1113" s="62">
        <v>2548</v>
      </c>
      <c r="L1113" s="11"/>
    </row>
    <row r="1114" spans="10:12" ht="14.25" customHeight="1" x14ac:dyDescent="0.2">
      <c r="J1114" s="61" t="s">
        <v>627</v>
      </c>
      <c r="K1114" s="62">
        <v>2557</v>
      </c>
      <c r="L1114" s="11"/>
    </row>
    <row r="1115" spans="10:12" ht="14.25" customHeight="1" x14ac:dyDescent="0.2">
      <c r="J1115" s="61" t="s">
        <v>917</v>
      </c>
      <c r="K1115" s="62">
        <v>1448</v>
      </c>
      <c r="L1115" s="11"/>
    </row>
    <row r="1116" spans="10:12" ht="14.25" customHeight="1" x14ac:dyDescent="0.2">
      <c r="J1116" s="61" t="s">
        <v>989</v>
      </c>
      <c r="K1116" s="62">
        <v>1305</v>
      </c>
      <c r="L1116" s="11"/>
    </row>
    <row r="1117" spans="10:12" ht="14.25" customHeight="1" x14ac:dyDescent="0.2">
      <c r="J1117" s="61" t="s">
        <v>988</v>
      </c>
      <c r="K1117" s="62">
        <v>1313</v>
      </c>
      <c r="L1117" s="11"/>
    </row>
    <row r="1118" spans="10:12" ht="14.25" customHeight="1" x14ac:dyDescent="0.2">
      <c r="J1118" s="61" t="s">
        <v>377</v>
      </c>
      <c r="K1118" s="62">
        <v>4060</v>
      </c>
      <c r="L1118" s="11"/>
    </row>
    <row r="1119" spans="10:12" ht="14.25" customHeight="1" x14ac:dyDescent="0.2">
      <c r="J1119" s="61" t="s">
        <v>376</v>
      </c>
      <c r="K1119" s="62">
        <v>4089</v>
      </c>
      <c r="L1119" s="11"/>
    </row>
    <row r="1120" spans="10:12" ht="14.25" customHeight="1" x14ac:dyDescent="0.2">
      <c r="J1120" s="61" t="s">
        <v>465</v>
      </c>
      <c r="K1120" s="62">
        <v>2982</v>
      </c>
      <c r="L1120" s="11"/>
    </row>
    <row r="1121" spans="10:12" ht="14.25" customHeight="1" x14ac:dyDescent="0.2">
      <c r="J1121" s="61" t="s">
        <v>830</v>
      </c>
      <c r="K1121" s="62">
        <v>1771</v>
      </c>
      <c r="L1121" s="11"/>
    </row>
    <row r="1122" spans="10:12" ht="14.25" customHeight="1" x14ac:dyDescent="0.2">
      <c r="J1122" s="61" t="s">
        <v>987</v>
      </c>
      <c r="K1122" s="62">
        <v>1319</v>
      </c>
      <c r="L1122" s="11"/>
    </row>
    <row r="1123" spans="10:12" ht="14.25" customHeight="1" x14ac:dyDescent="0.2">
      <c r="J1123" s="61" t="s">
        <v>592</v>
      </c>
      <c r="K1123" s="62">
        <v>2636</v>
      </c>
      <c r="L1123" s="11"/>
    </row>
    <row r="1124" spans="10:12" ht="14.25" customHeight="1" x14ac:dyDescent="0.2">
      <c r="J1124" s="61" t="s">
        <v>593</v>
      </c>
      <c r="K1124" s="62">
        <v>2635</v>
      </c>
      <c r="L1124" s="11"/>
    </row>
    <row r="1125" spans="10:12" ht="14.25" customHeight="1" x14ac:dyDescent="0.2">
      <c r="J1125" s="61" t="s">
        <v>761</v>
      </c>
      <c r="K1125" s="62">
        <v>1993</v>
      </c>
      <c r="L1125" s="11"/>
    </row>
    <row r="1126" spans="10:12" ht="14.25" customHeight="1" x14ac:dyDescent="0.2">
      <c r="J1126" s="61" t="s">
        <v>414</v>
      </c>
      <c r="K1126" s="62">
        <v>3246</v>
      </c>
      <c r="L1126" s="11"/>
    </row>
    <row r="1127" spans="10:12" ht="14.25" customHeight="1" x14ac:dyDescent="0.2">
      <c r="J1127" s="61" t="s">
        <v>986</v>
      </c>
      <c r="K1127" s="62">
        <v>1321</v>
      </c>
      <c r="L1127" s="11"/>
    </row>
    <row r="1128" spans="10:12" ht="14.25" customHeight="1" x14ac:dyDescent="0.2">
      <c r="J1128" s="61" t="s">
        <v>985</v>
      </c>
      <c r="K1128" s="62">
        <v>1322</v>
      </c>
      <c r="L1128" s="11"/>
    </row>
    <row r="1129" spans="10:12" ht="14.25" customHeight="1" x14ac:dyDescent="0.2">
      <c r="J1129" s="61" t="s">
        <v>760</v>
      </c>
      <c r="K1129" s="62">
        <v>1996</v>
      </c>
      <c r="L1129" s="11"/>
    </row>
    <row r="1130" spans="10:12" ht="14.25" customHeight="1" x14ac:dyDescent="0.2">
      <c r="J1130" s="61" t="s">
        <v>446</v>
      </c>
      <c r="K1130" s="62">
        <v>3044</v>
      </c>
      <c r="L1130" s="11"/>
    </row>
    <row r="1131" spans="10:12" ht="14.25" customHeight="1" x14ac:dyDescent="0.2">
      <c r="J1131" s="61" t="s">
        <v>413</v>
      </c>
      <c r="K1131" s="62">
        <v>3247</v>
      </c>
      <c r="L1131" s="11"/>
    </row>
    <row r="1132" spans="10:12" ht="14.25" customHeight="1" x14ac:dyDescent="0.2">
      <c r="J1132" s="61" t="s">
        <v>399</v>
      </c>
      <c r="K1132" s="62">
        <v>3350</v>
      </c>
      <c r="L1132" s="11"/>
    </row>
    <row r="1133" spans="10:12" ht="14.25" customHeight="1" x14ac:dyDescent="0.2">
      <c r="J1133" s="61" t="s">
        <v>758</v>
      </c>
      <c r="K1133" s="62">
        <v>2003</v>
      </c>
      <c r="L1133" s="11"/>
    </row>
    <row r="1134" spans="10:12" ht="14.25" customHeight="1" x14ac:dyDescent="0.2">
      <c r="J1134" s="61" t="s">
        <v>375</v>
      </c>
      <c r="K1134" s="62">
        <v>4156</v>
      </c>
      <c r="L1134" s="11"/>
    </row>
    <row r="1135" spans="10:12" ht="14.25" customHeight="1" x14ac:dyDescent="0.2">
      <c r="J1135" s="61" t="s">
        <v>980</v>
      </c>
      <c r="K1135" s="62">
        <v>1333</v>
      </c>
      <c r="L1135" s="11"/>
    </row>
    <row r="1136" spans="10:12" ht="14.25" customHeight="1" x14ac:dyDescent="0.2">
      <c r="J1136" s="61" t="s">
        <v>412</v>
      </c>
      <c r="K1136" s="62">
        <v>3248</v>
      </c>
      <c r="L1136" s="11"/>
    </row>
    <row r="1137" spans="10:12" ht="14.25" customHeight="1" x14ac:dyDescent="0.2">
      <c r="J1137" s="61" t="s">
        <v>979</v>
      </c>
      <c r="K1137" s="62">
        <v>1335</v>
      </c>
      <c r="L1137" s="11"/>
    </row>
    <row r="1138" spans="10:12" ht="14.25" customHeight="1" x14ac:dyDescent="0.2">
      <c r="J1138" s="61" t="s">
        <v>591</v>
      </c>
      <c r="K1138" s="62">
        <v>2638</v>
      </c>
      <c r="L1138" s="11"/>
    </row>
    <row r="1139" spans="10:12" ht="14.25" customHeight="1" x14ac:dyDescent="0.2">
      <c r="J1139" s="61" t="s">
        <v>463</v>
      </c>
      <c r="K1139" s="62">
        <v>2985</v>
      </c>
      <c r="L1139" s="11"/>
    </row>
    <row r="1140" spans="10:12" ht="14.25" customHeight="1" x14ac:dyDescent="0.2">
      <c r="J1140" s="61" t="s">
        <v>978</v>
      </c>
      <c r="K1140" s="62">
        <v>1337</v>
      </c>
      <c r="L1140" s="11"/>
    </row>
    <row r="1141" spans="10:12" ht="14.25" customHeight="1" x14ac:dyDescent="0.2">
      <c r="J1141" s="61" t="s">
        <v>757</v>
      </c>
      <c r="K1141" s="62">
        <v>2012</v>
      </c>
      <c r="L1141" s="11"/>
    </row>
    <row r="1142" spans="10:12" ht="14.25" customHeight="1" x14ac:dyDescent="0.2">
      <c r="J1142" s="61" t="s">
        <v>872</v>
      </c>
      <c r="K1142" s="62">
        <v>1608</v>
      </c>
      <c r="L1142" s="11"/>
    </row>
    <row r="1143" spans="10:12" ht="14.25" customHeight="1" x14ac:dyDescent="0.2">
      <c r="J1143" s="61" t="s">
        <v>756</v>
      </c>
      <c r="K1143" s="62">
        <v>2014</v>
      </c>
      <c r="L1143" s="11"/>
    </row>
    <row r="1144" spans="10:12" ht="14.25" customHeight="1" x14ac:dyDescent="0.2">
      <c r="J1144" s="61" t="s">
        <v>792</v>
      </c>
      <c r="K1144" s="62">
        <v>1908</v>
      </c>
      <c r="L1144" s="11"/>
    </row>
    <row r="1145" spans="10:12" ht="14.25" customHeight="1" x14ac:dyDescent="0.2">
      <c r="J1145" s="61" t="s">
        <v>977</v>
      </c>
      <c r="K1145" s="62">
        <v>1339</v>
      </c>
      <c r="L1145" s="11"/>
    </row>
    <row r="1146" spans="10:12" ht="14.25" customHeight="1" x14ac:dyDescent="0.2">
      <c r="J1146" s="61" t="s">
        <v>437</v>
      </c>
      <c r="K1146" s="62">
        <v>3097</v>
      </c>
      <c r="L1146" s="11"/>
    </row>
    <row r="1147" spans="10:12" ht="14.25" customHeight="1" x14ac:dyDescent="0.2">
      <c r="J1147" s="61" t="s">
        <v>681</v>
      </c>
      <c r="K1147" s="62">
        <v>2309</v>
      </c>
      <c r="L1147" s="11"/>
    </row>
    <row r="1148" spans="10:12" ht="14.25" customHeight="1" x14ac:dyDescent="0.2">
      <c r="J1148" s="61" t="s">
        <v>1024</v>
      </c>
      <c r="K1148" s="62">
        <v>1210</v>
      </c>
      <c r="L1148" s="11"/>
    </row>
    <row r="1149" spans="10:12" ht="14.25" customHeight="1" x14ac:dyDescent="0.2">
      <c r="J1149" s="61" t="s">
        <v>976</v>
      </c>
      <c r="K1149" s="62">
        <v>1340</v>
      </c>
      <c r="L1149" s="11"/>
    </row>
    <row r="1150" spans="10:12" ht="14.25" customHeight="1" x14ac:dyDescent="0.2">
      <c r="J1150" s="61" t="s">
        <v>975</v>
      </c>
      <c r="K1150" s="62">
        <v>1342</v>
      </c>
      <c r="L1150" s="11"/>
    </row>
    <row r="1151" spans="10:12" ht="14.25" customHeight="1" x14ac:dyDescent="0.2">
      <c r="J1151" s="61" t="s">
        <v>974</v>
      </c>
      <c r="K1151" s="62">
        <v>1343</v>
      </c>
      <c r="L1151" s="11"/>
    </row>
    <row r="1152" spans="10:12" ht="14.25" customHeight="1" x14ac:dyDescent="0.2">
      <c r="J1152" s="61" t="s">
        <v>973</v>
      </c>
      <c r="K1152" s="62">
        <v>1346</v>
      </c>
      <c r="L1152" s="11"/>
    </row>
    <row r="1153" spans="10:12" ht="14.25" customHeight="1" x14ac:dyDescent="0.2">
      <c r="J1153" s="61" t="s">
        <v>972</v>
      </c>
      <c r="K1153" s="62">
        <v>1349</v>
      </c>
      <c r="L1153" s="11"/>
    </row>
    <row r="1154" spans="10:12" ht="14.25" customHeight="1" x14ac:dyDescent="0.2">
      <c r="J1154" s="61" t="s">
        <v>971</v>
      </c>
      <c r="K1154" s="62">
        <v>1350</v>
      </c>
      <c r="L1154" s="11"/>
    </row>
    <row r="1155" spans="10:12" ht="14.25" customHeight="1" x14ac:dyDescent="0.2">
      <c r="J1155" s="61" t="s">
        <v>557</v>
      </c>
      <c r="K1155" s="62">
        <v>2709</v>
      </c>
      <c r="L1155" s="11"/>
    </row>
    <row r="1156" spans="10:12" ht="14.25" customHeight="1" x14ac:dyDescent="0.2">
      <c r="J1156" s="61" t="s">
        <v>970</v>
      </c>
      <c r="K1156" s="62">
        <v>1353</v>
      </c>
      <c r="L1156" s="11"/>
    </row>
    <row r="1157" spans="10:12" ht="14.25" customHeight="1" x14ac:dyDescent="0.2">
      <c r="J1157" s="61" t="s">
        <v>969</v>
      </c>
      <c r="K1157" s="62">
        <v>1354</v>
      </c>
      <c r="L1157" s="11"/>
    </row>
    <row r="1158" spans="10:12" ht="14.25" customHeight="1" x14ac:dyDescent="0.2">
      <c r="J1158" s="61" t="s">
        <v>968</v>
      </c>
      <c r="K1158" s="62">
        <v>1356</v>
      </c>
      <c r="L1158" s="11"/>
    </row>
    <row r="1159" spans="10:12" ht="14.25" customHeight="1" x14ac:dyDescent="0.2">
      <c r="J1159" s="61" t="s">
        <v>462</v>
      </c>
      <c r="K1159" s="62">
        <v>2989</v>
      </c>
      <c r="L1159" s="11"/>
    </row>
    <row r="1160" spans="10:12" ht="14.25" customHeight="1" x14ac:dyDescent="0.2">
      <c r="J1160" s="61" t="s">
        <v>680</v>
      </c>
      <c r="K1160" s="62">
        <v>2313</v>
      </c>
      <c r="L1160" s="11"/>
    </row>
    <row r="1161" spans="10:12" ht="14.25" customHeight="1" x14ac:dyDescent="0.2">
      <c r="J1161" s="61" t="s">
        <v>967</v>
      </c>
      <c r="K1161" s="62">
        <v>1357</v>
      </c>
      <c r="L1161" s="11"/>
    </row>
    <row r="1162" spans="10:12" ht="14.25" customHeight="1" x14ac:dyDescent="0.2">
      <c r="J1162" s="61" t="s">
        <v>461</v>
      </c>
      <c r="K1162" s="62">
        <v>2990</v>
      </c>
      <c r="L1162" s="11"/>
    </row>
    <row r="1163" spans="10:12" ht="14.25" customHeight="1" x14ac:dyDescent="0.2">
      <c r="J1163" s="61" t="s">
        <v>966</v>
      </c>
      <c r="K1163" s="62">
        <v>1362</v>
      </c>
      <c r="L1163" s="11"/>
    </row>
    <row r="1164" spans="10:12" ht="14.25" customHeight="1" x14ac:dyDescent="0.2">
      <c r="J1164" s="61" t="s">
        <v>590</v>
      </c>
      <c r="K1164" s="62">
        <v>2639</v>
      </c>
      <c r="L1164" s="11"/>
    </row>
    <row r="1165" spans="10:12" ht="14.25" customHeight="1" x14ac:dyDescent="0.2">
      <c r="J1165" s="61" t="s">
        <v>965</v>
      </c>
      <c r="K1165" s="62">
        <v>1363</v>
      </c>
      <c r="L1165" s="11"/>
    </row>
    <row r="1166" spans="10:12" ht="14.25" customHeight="1" x14ac:dyDescent="0.2">
      <c r="J1166" s="61" t="s">
        <v>964</v>
      </c>
      <c r="K1166" s="62">
        <v>1364</v>
      </c>
      <c r="L1166" s="11"/>
    </row>
    <row r="1167" spans="10:12" ht="14.25" customHeight="1" x14ac:dyDescent="0.2">
      <c r="J1167" s="61" t="s">
        <v>963</v>
      </c>
      <c r="K1167" s="62">
        <v>1365</v>
      </c>
      <c r="L1167" s="11"/>
    </row>
    <row r="1168" spans="10:12" ht="14.25" customHeight="1" x14ac:dyDescent="0.2">
      <c r="J1168" s="61" t="s">
        <v>588</v>
      </c>
      <c r="K1168" s="62">
        <v>2641</v>
      </c>
      <c r="L1168" s="11"/>
    </row>
    <row r="1169" spans="10:12" ht="14.25" customHeight="1" x14ac:dyDescent="0.2">
      <c r="J1169" s="61" t="s">
        <v>589</v>
      </c>
      <c r="K1169" s="62">
        <v>2640</v>
      </c>
      <c r="L1169" s="11"/>
    </row>
    <row r="1170" spans="10:12" ht="14.25" customHeight="1" x14ac:dyDescent="0.2">
      <c r="J1170" s="61" t="s">
        <v>962</v>
      </c>
      <c r="K1170" s="62">
        <v>1366</v>
      </c>
      <c r="L1170" s="11"/>
    </row>
    <row r="1171" spans="10:12" ht="14.25" customHeight="1" x14ac:dyDescent="0.2">
      <c r="J1171" s="61" t="s">
        <v>459</v>
      </c>
      <c r="K1171" s="62">
        <v>2993</v>
      </c>
      <c r="L1171" s="11"/>
    </row>
    <row r="1172" spans="10:12" ht="14.25" customHeight="1" x14ac:dyDescent="0.2">
      <c r="J1172" s="61" t="s">
        <v>460</v>
      </c>
      <c r="K1172" s="62">
        <v>2992</v>
      </c>
      <c r="L1172" s="11"/>
    </row>
    <row r="1173" spans="10:12" ht="14.25" customHeight="1" x14ac:dyDescent="0.2">
      <c r="J1173" s="61" t="s">
        <v>961</v>
      </c>
      <c r="K1173" s="62">
        <v>1368</v>
      </c>
      <c r="L1173" s="11"/>
    </row>
    <row r="1174" spans="10:12" ht="14.25" customHeight="1" x14ac:dyDescent="0.2">
      <c r="J1174" s="61" t="s">
        <v>960</v>
      </c>
      <c r="K1174" s="62">
        <v>1369</v>
      </c>
      <c r="L1174" s="11"/>
    </row>
    <row r="1175" spans="10:12" ht="14.25" customHeight="1" x14ac:dyDescent="0.2">
      <c r="J1175" s="61" t="s">
        <v>959</v>
      </c>
      <c r="K1175" s="62">
        <v>1373</v>
      </c>
      <c r="L1175" s="11"/>
    </row>
    <row r="1176" spans="10:12" ht="14.25" customHeight="1" x14ac:dyDescent="0.2">
      <c r="J1176" s="61" t="s">
        <v>958</v>
      </c>
      <c r="K1176" s="62">
        <v>1375</v>
      </c>
      <c r="L1176" s="11"/>
    </row>
    <row r="1177" spans="10:12" ht="14.25" customHeight="1" x14ac:dyDescent="0.2">
      <c r="J1177" s="61" t="s">
        <v>957</v>
      </c>
      <c r="K1177" s="62">
        <v>1376</v>
      </c>
      <c r="L1177" s="11"/>
    </row>
    <row r="1178" spans="10:12" ht="14.25" customHeight="1" x14ac:dyDescent="0.2">
      <c r="J1178" s="61" t="s">
        <v>956</v>
      </c>
      <c r="K1178" s="62">
        <v>1377</v>
      </c>
      <c r="L1178" s="11"/>
    </row>
    <row r="1179" spans="10:12" ht="14.25" customHeight="1" x14ac:dyDescent="0.2">
      <c r="J1179" s="61" t="s">
        <v>955</v>
      </c>
      <c r="K1179" s="62">
        <v>1378</v>
      </c>
      <c r="L1179" s="11"/>
    </row>
    <row r="1180" spans="10:12" ht="14.25" customHeight="1" x14ac:dyDescent="0.2">
      <c r="J1180" s="61" t="s">
        <v>954</v>
      </c>
      <c r="K1180" s="62">
        <v>1380</v>
      </c>
      <c r="L1180" s="11"/>
    </row>
    <row r="1181" spans="10:12" ht="14.25" customHeight="1" x14ac:dyDescent="0.2">
      <c r="J1181" s="61" t="s">
        <v>953</v>
      </c>
      <c r="K1181" s="62">
        <v>1381</v>
      </c>
      <c r="L1181" s="11"/>
    </row>
    <row r="1182" spans="10:12" ht="14.25" customHeight="1" x14ac:dyDescent="0.2">
      <c r="J1182" s="61" t="s">
        <v>952</v>
      </c>
      <c r="K1182" s="62">
        <v>1385</v>
      </c>
      <c r="L1182" s="11"/>
    </row>
    <row r="1183" spans="10:12" ht="14.25" customHeight="1" x14ac:dyDescent="0.2">
      <c r="J1183" s="61" t="s">
        <v>951</v>
      </c>
      <c r="K1183" s="62">
        <v>1387</v>
      </c>
      <c r="L1183" s="11"/>
    </row>
    <row r="1184" spans="10:12" ht="14.25" customHeight="1" x14ac:dyDescent="0.2">
      <c r="J1184" s="61" t="s">
        <v>950</v>
      </c>
      <c r="K1184" s="62">
        <v>1390</v>
      </c>
      <c r="L1184" s="11"/>
    </row>
    <row r="1185" spans="10:12" ht="14.25" customHeight="1" x14ac:dyDescent="0.2">
      <c r="J1185" s="61" t="s">
        <v>949</v>
      </c>
      <c r="K1185" s="62">
        <v>1393</v>
      </c>
      <c r="L1185" s="11"/>
    </row>
    <row r="1186" spans="10:12" ht="14.25" customHeight="1" x14ac:dyDescent="0.2">
      <c r="J1186" s="61" t="s">
        <v>948</v>
      </c>
      <c r="K1186" s="62">
        <v>1394</v>
      </c>
      <c r="L1186" s="11"/>
    </row>
    <row r="1187" spans="10:12" ht="14.25" customHeight="1" x14ac:dyDescent="0.2">
      <c r="J1187" s="61" t="s">
        <v>947</v>
      </c>
      <c r="K1187" s="62">
        <v>1395</v>
      </c>
      <c r="L1187" s="11"/>
    </row>
    <row r="1188" spans="10:12" ht="14.25" customHeight="1" x14ac:dyDescent="0.2">
      <c r="J1188" s="61" t="s">
        <v>946</v>
      </c>
      <c r="K1188" s="62">
        <v>1396</v>
      </c>
      <c r="L1188" s="11"/>
    </row>
    <row r="1189" spans="10:12" ht="14.25" customHeight="1" x14ac:dyDescent="0.2">
      <c r="J1189" s="61" t="s">
        <v>945</v>
      </c>
      <c r="K1189" s="62">
        <v>1397</v>
      </c>
      <c r="L1189" s="11"/>
    </row>
    <row r="1190" spans="10:12" ht="14.25" customHeight="1" x14ac:dyDescent="0.2">
      <c r="J1190" s="61" t="s">
        <v>944</v>
      </c>
      <c r="K1190" s="62">
        <v>1398</v>
      </c>
      <c r="L1190" s="11"/>
    </row>
    <row r="1191" spans="10:12" ht="14.25" customHeight="1" x14ac:dyDescent="0.2">
      <c r="J1191" s="61" t="s">
        <v>943</v>
      </c>
      <c r="K1191" s="62">
        <v>1399</v>
      </c>
      <c r="L1191" s="11"/>
    </row>
    <row r="1192" spans="10:12" ht="14.25" customHeight="1" x14ac:dyDescent="0.2">
      <c r="J1192" s="61" t="s">
        <v>942</v>
      </c>
      <c r="K1192" s="62">
        <v>1400</v>
      </c>
      <c r="L1192" s="11"/>
    </row>
    <row r="1193" spans="10:12" ht="14.25" customHeight="1" x14ac:dyDescent="0.2">
      <c r="J1193" s="61" t="s">
        <v>941</v>
      </c>
      <c r="K1193" s="62">
        <v>1401</v>
      </c>
      <c r="L1193" s="11"/>
    </row>
    <row r="1194" spans="10:12" ht="14.25" customHeight="1" x14ac:dyDescent="0.2">
      <c r="J1194" s="61" t="s">
        <v>940</v>
      </c>
      <c r="K1194" s="62">
        <v>1403</v>
      </c>
      <c r="L1194" s="11"/>
    </row>
    <row r="1195" spans="10:12" ht="14.25" customHeight="1" x14ac:dyDescent="0.2">
      <c r="J1195" s="61" t="s">
        <v>939</v>
      </c>
      <c r="K1195" s="62">
        <v>1405</v>
      </c>
      <c r="L1195" s="11"/>
    </row>
    <row r="1196" spans="10:12" ht="14.25" customHeight="1" x14ac:dyDescent="0.2">
      <c r="J1196" s="61" t="s">
        <v>458</v>
      </c>
      <c r="K1196" s="62">
        <v>2996</v>
      </c>
      <c r="L1196" s="11"/>
    </row>
    <row r="1197" spans="10:12" ht="14.25" customHeight="1" x14ac:dyDescent="0.2">
      <c r="J1197" s="61" t="s">
        <v>937</v>
      </c>
      <c r="K1197" s="62">
        <v>1407</v>
      </c>
      <c r="L1197" s="11"/>
    </row>
    <row r="1198" spans="10:12" ht="14.25" customHeight="1" x14ac:dyDescent="0.2">
      <c r="J1198" s="61" t="s">
        <v>938</v>
      </c>
      <c r="K1198" s="62">
        <v>1406</v>
      </c>
      <c r="L1198" s="11"/>
    </row>
    <row r="1199" spans="10:12" ht="14.25" customHeight="1" x14ac:dyDescent="0.2">
      <c r="J1199" s="61" t="s">
        <v>365</v>
      </c>
      <c r="K1199" s="62">
        <v>4304</v>
      </c>
      <c r="L1199" s="11"/>
    </row>
    <row r="1200" spans="10:12" ht="14.25" customHeight="1" x14ac:dyDescent="0.2">
      <c r="J1200" s="61" t="s">
        <v>457</v>
      </c>
      <c r="K1200" s="62">
        <v>2997</v>
      </c>
      <c r="L1200" s="11"/>
    </row>
    <row r="1201" spans="10:12" ht="14.25" customHeight="1" x14ac:dyDescent="0.2">
      <c r="J1201" s="61" t="s">
        <v>936</v>
      </c>
      <c r="K1201" s="62">
        <v>1409</v>
      </c>
      <c r="L1201" s="11"/>
    </row>
    <row r="1202" spans="10:12" ht="14.25" customHeight="1" x14ac:dyDescent="0.2">
      <c r="J1202" s="61" t="s">
        <v>934</v>
      </c>
      <c r="K1202" s="62">
        <v>1411</v>
      </c>
      <c r="L1202" s="11"/>
    </row>
    <row r="1203" spans="10:12" ht="14.25" customHeight="1" x14ac:dyDescent="0.2">
      <c r="J1203" s="61" t="s">
        <v>933</v>
      </c>
      <c r="K1203" s="62">
        <v>1412</v>
      </c>
      <c r="L1203" s="11"/>
    </row>
    <row r="1204" spans="10:12" ht="14.25" customHeight="1" x14ac:dyDescent="0.2">
      <c r="J1204" s="61" t="s">
        <v>932</v>
      </c>
      <c r="K1204" s="62">
        <v>1414</v>
      </c>
      <c r="L1204" s="11"/>
    </row>
    <row r="1205" spans="10:12" ht="14.25" customHeight="1" x14ac:dyDescent="0.2">
      <c r="J1205" s="61" t="s">
        <v>558</v>
      </c>
      <c r="K1205" s="62">
        <v>2707</v>
      </c>
      <c r="L1205" s="11"/>
    </row>
    <row r="1206" spans="10:12" ht="14.25" customHeight="1" x14ac:dyDescent="0.2">
      <c r="J1206" s="61" t="s">
        <v>935</v>
      </c>
      <c r="K1206" s="62">
        <v>1410</v>
      </c>
      <c r="L1206" s="11"/>
    </row>
    <row r="1207" spans="10:12" ht="14.25" customHeight="1" x14ac:dyDescent="0.2">
      <c r="J1207" s="61" t="s">
        <v>538</v>
      </c>
      <c r="K1207" s="62">
        <v>2747</v>
      </c>
      <c r="L1207" s="11"/>
    </row>
    <row r="1208" spans="10:12" ht="14.25" customHeight="1" x14ac:dyDescent="0.2">
      <c r="J1208" s="61" t="s">
        <v>931</v>
      </c>
      <c r="K1208" s="62">
        <v>1416</v>
      </c>
      <c r="L1208" s="11"/>
    </row>
    <row r="1209" spans="10:12" ht="14.25" customHeight="1" x14ac:dyDescent="0.2">
      <c r="J1209" s="61" t="s">
        <v>930</v>
      </c>
      <c r="K1209" s="62">
        <v>1418</v>
      </c>
      <c r="L1209" s="11"/>
    </row>
    <row r="1210" spans="10:12" ht="14.25" customHeight="1" x14ac:dyDescent="0.2">
      <c r="J1210" s="61" t="s">
        <v>929</v>
      </c>
      <c r="K1210" s="62">
        <v>1422</v>
      </c>
      <c r="L1210" s="11"/>
    </row>
    <row r="1211" spans="10:12" ht="14.25" customHeight="1" x14ac:dyDescent="0.2">
      <c r="J1211" s="61" t="s">
        <v>928</v>
      </c>
      <c r="K1211" s="62">
        <v>1423</v>
      </c>
      <c r="L1211" s="11"/>
    </row>
    <row r="1212" spans="10:12" ht="14.25" customHeight="1" x14ac:dyDescent="0.2">
      <c r="J1212" s="61" t="s">
        <v>927</v>
      </c>
      <c r="K1212" s="62">
        <v>1425</v>
      </c>
      <c r="L1212" s="11"/>
    </row>
    <row r="1213" spans="10:12" ht="14.25" customHeight="1" x14ac:dyDescent="0.2">
      <c r="J1213" s="61" t="s">
        <v>926</v>
      </c>
      <c r="K1213" s="62">
        <v>1426</v>
      </c>
      <c r="L1213" s="11"/>
    </row>
    <row r="1214" spans="10:12" ht="14.25" customHeight="1" x14ac:dyDescent="0.2">
      <c r="J1214" s="61" t="s">
        <v>925</v>
      </c>
      <c r="K1214" s="62">
        <v>1427</v>
      </c>
      <c r="L1214" s="11"/>
    </row>
    <row r="1215" spans="10:12" ht="14.25" customHeight="1" x14ac:dyDescent="0.2">
      <c r="J1215" s="61" t="s">
        <v>348</v>
      </c>
      <c r="K1215" s="62">
        <v>4376</v>
      </c>
      <c r="L1215" s="11"/>
    </row>
    <row r="1216" spans="10:12" ht="14.25" customHeight="1" x14ac:dyDescent="0.2">
      <c r="J1216" s="61" t="s">
        <v>924</v>
      </c>
      <c r="K1216" s="62">
        <v>1429</v>
      </c>
      <c r="L1216" s="11"/>
    </row>
    <row r="1217" spans="10:12" ht="14.25" customHeight="1" x14ac:dyDescent="0.2">
      <c r="J1217" s="61" t="s">
        <v>401</v>
      </c>
      <c r="K1217" s="62">
        <v>3348</v>
      </c>
      <c r="L1217" s="11"/>
    </row>
    <row r="1218" spans="10:12" ht="14.25" customHeight="1" x14ac:dyDescent="0.2">
      <c r="J1218" s="61" t="s">
        <v>923</v>
      </c>
      <c r="K1218" s="62">
        <v>1430</v>
      </c>
      <c r="L1218" s="11"/>
    </row>
    <row r="1219" spans="10:12" ht="14.25" customHeight="1" x14ac:dyDescent="0.2">
      <c r="J1219" s="61" t="s">
        <v>456</v>
      </c>
      <c r="K1219" s="62">
        <v>2999</v>
      </c>
      <c r="L1219" s="11"/>
    </row>
    <row r="1220" spans="10:12" ht="14.25" customHeight="1" x14ac:dyDescent="0.2">
      <c r="J1220" s="61" t="s">
        <v>922</v>
      </c>
      <c r="K1220" s="62">
        <v>1436</v>
      </c>
      <c r="L1220" s="11"/>
    </row>
    <row r="1221" spans="10:12" ht="14.25" customHeight="1" x14ac:dyDescent="0.2">
      <c r="J1221" s="61" t="s">
        <v>857</v>
      </c>
      <c r="K1221" s="62">
        <v>1656</v>
      </c>
      <c r="L1221" s="11"/>
    </row>
    <row r="1222" spans="10:12" ht="14.25" customHeight="1" x14ac:dyDescent="0.2">
      <c r="J1222" s="61" t="s">
        <v>442</v>
      </c>
      <c r="K1222" s="62">
        <v>3065</v>
      </c>
      <c r="L1222" s="11"/>
    </row>
    <row r="1223" spans="10:12" ht="14.25" customHeight="1" x14ac:dyDescent="0.2">
      <c r="J1223" s="63" t="s">
        <v>754</v>
      </c>
      <c r="K1223" s="64">
        <v>2044</v>
      </c>
      <c r="L1223" s="11"/>
    </row>
    <row r="1224" spans="10:12" ht="14.25" customHeight="1" x14ac:dyDescent="0.2"/>
    <row r="1225" spans="10:12" ht="14.25" customHeight="1" x14ac:dyDescent="0.2"/>
    <row r="1226" spans="10:12" ht="14.25" customHeight="1" x14ac:dyDescent="0.2"/>
    <row r="1227" spans="10:12" ht="14.25" customHeight="1" x14ac:dyDescent="0.2"/>
    <row r="1228" spans="10:12" ht="14.25" customHeight="1" x14ac:dyDescent="0.2"/>
    <row r="1229" spans="10:12" ht="14.25" customHeight="1" x14ac:dyDescent="0.2"/>
    <row r="1230" spans="10:12" ht="14.25" customHeight="1" x14ac:dyDescent="0.2"/>
    <row r="1231" spans="10:12" ht="14.25" customHeight="1" x14ac:dyDescent="0.2"/>
    <row r="1232" spans="10:12" ht="14.25" customHeight="1" x14ac:dyDescent="0.2"/>
    <row r="1233" ht="14.25" customHeight="1" x14ac:dyDescent="0.2"/>
    <row r="1234" ht="14.25" customHeight="1" x14ac:dyDescent="0.2"/>
    <row r="1235" ht="14.25" customHeight="1" x14ac:dyDescent="0.2"/>
    <row r="1236" ht="14.25" customHeight="1" x14ac:dyDescent="0.2"/>
    <row r="1237" ht="14.25" customHeight="1" x14ac:dyDescent="0.2"/>
    <row r="1238" ht="14.25" customHeight="1" x14ac:dyDescent="0.2"/>
    <row r="1239" ht="14.25" customHeight="1" x14ac:dyDescent="0.2"/>
    <row r="1240" ht="14.25" customHeight="1" x14ac:dyDescent="0.2"/>
    <row r="1241" ht="14.25" customHeight="1" x14ac:dyDescent="0.2"/>
    <row r="1242" ht="14.25" customHeight="1" x14ac:dyDescent="0.2"/>
    <row r="1243" ht="14.25" customHeight="1" x14ac:dyDescent="0.2"/>
    <row r="1244" ht="14.25" customHeight="1" x14ac:dyDescent="0.2"/>
    <row r="1245" ht="14.25" customHeight="1" x14ac:dyDescent="0.2"/>
    <row r="1246" ht="14.25" customHeight="1" x14ac:dyDescent="0.2"/>
    <row r="1247" ht="14.25" customHeight="1" x14ac:dyDescent="0.2"/>
    <row r="1248" ht="14.25" customHeight="1" x14ac:dyDescent="0.2"/>
    <row r="1249" ht="14.25" customHeight="1" x14ac:dyDescent="0.2"/>
    <row r="1250" ht="14.25" customHeight="1" x14ac:dyDescent="0.2"/>
    <row r="1251" ht="14.25" customHeight="1" x14ac:dyDescent="0.2"/>
    <row r="1252" ht="14.25" customHeight="1" x14ac:dyDescent="0.2"/>
    <row r="1253" ht="14.25" customHeight="1" x14ac:dyDescent="0.2"/>
    <row r="1254" ht="14.25" customHeight="1" x14ac:dyDescent="0.2"/>
    <row r="1255" ht="14.25" customHeight="1" x14ac:dyDescent="0.2"/>
    <row r="1256" ht="14.25" customHeight="1" x14ac:dyDescent="0.2"/>
    <row r="1257" ht="14.25" customHeight="1" x14ac:dyDescent="0.2"/>
    <row r="1258" ht="14.25" customHeight="1" x14ac:dyDescent="0.2"/>
    <row r="1259" ht="14.25" customHeight="1" x14ac:dyDescent="0.2"/>
    <row r="1260" ht="14.25" customHeight="1" x14ac:dyDescent="0.2"/>
    <row r="1261" ht="14.25" customHeight="1" x14ac:dyDescent="0.2"/>
    <row r="1262" ht="14.25" customHeight="1" x14ac:dyDescent="0.2"/>
    <row r="1263" ht="14.25" customHeight="1" x14ac:dyDescent="0.2"/>
    <row r="1264" ht="14.25" customHeight="1" x14ac:dyDescent="0.2"/>
    <row r="1265" ht="14.25" customHeight="1" x14ac:dyDescent="0.2"/>
    <row r="1266" ht="14.25" customHeight="1" x14ac:dyDescent="0.2"/>
    <row r="1267" ht="14.25" customHeight="1" x14ac:dyDescent="0.2"/>
    <row r="1268" ht="14.25" customHeight="1" x14ac:dyDescent="0.2"/>
    <row r="1269" ht="14.25" customHeight="1" x14ac:dyDescent="0.2"/>
    <row r="1270" ht="14.25" customHeight="1" x14ac:dyDescent="0.2"/>
    <row r="1271" ht="14.25" customHeight="1" x14ac:dyDescent="0.2"/>
    <row r="1272" ht="14.25" customHeight="1" x14ac:dyDescent="0.2"/>
    <row r="1273" ht="14.25" customHeight="1" x14ac:dyDescent="0.2"/>
    <row r="1274" ht="14.25" customHeight="1" x14ac:dyDescent="0.2"/>
    <row r="1275" ht="14.25" customHeight="1" x14ac:dyDescent="0.2"/>
    <row r="1276" ht="14.25" customHeight="1" x14ac:dyDescent="0.2"/>
    <row r="1277" ht="14.25" customHeight="1" x14ac:dyDescent="0.2"/>
    <row r="1278" ht="14.25" customHeight="1" x14ac:dyDescent="0.2"/>
    <row r="1279" ht="14.25" customHeight="1" x14ac:dyDescent="0.2"/>
    <row r="1280" ht="14.25" customHeight="1" x14ac:dyDescent="0.2"/>
    <row r="1281" ht="14.25" customHeight="1" x14ac:dyDescent="0.2"/>
    <row r="1282" ht="14.25" customHeight="1" x14ac:dyDescent="0.2"/>
    <row r="1283" ht="14.25" customHeight="1" x14ac:dyDescent="0.2"/>
    <row r="1284" ht="14.25" customHeight="1" x14ac:dyDescent="0.2"/>
    <row r="1285" ht="14.25" customHeight="1" x14ac:dyDescent="0.2"/>
    <row r="1286" ht="14.25" customHeight="1" x14ac:dyDescent="0.2"/>
    <row r="1287" ht="14.25" customHeight="1" x14ac:dyDescent="0.2"/>
    <row r="1288" ht="14.25" customHeight="1" x14ac:dyDescent="0.2"/>
    <row r="1289" ht="14.25" customHeight="1" x14ac:dyDescent="0.2"/>
    <row r="1290" ht="14.25" customHeight="1" x14ac:dyDescent="0.2"/>
    <row r="1291" ht="14.25" customHeight="1" x14ac:dyDescent="0.2"/>
    <row r="1292" ht="14.25" customHeight="1" x14ac:dyDescent="0.2"/>
    <row r="1293" ht="14.25" customHeight="1" x14ac:dyDescent="0.2"/>
    <row r="1294" ht="14.25" customHeight="1" x14ac:dyDescent="0.2"/>
    <row r="1295" ht="14.25" customHeight="1" x14ac:dyDescent="0.2"/>
    <row r="1296" ht="14.25" customHeight="1" x14ac:dyDescent="0.2"/>
    <row r="1297" ht="14.25" customHeight="1" x14ac:dyDescent="0.2"/>
    <row r="1298" ht="14.25" customHeight="1" x14ac:dyDescent="0.2"/>
    <row r="1299" ht="14.25" customHeight="1" x14ac:dyDescent="0.2"/>
    <row r="1300" ht="14.25" customHeight="1" x14ac:dyDescent="0.2"/>
    <row r="1301" ht="14.25" customHeight="1" x14ac:dyDescent="0.2"/>
    <row r="1302" ht="14.25" customHeight="1" x14ac:dyDescent="0.2"/>
    <row r="1303" ht="14.25" customHeight="1" x14ac:dyDescent="0.2"/>
    <row r="1304" ht="14.25" customHeight="1" x14ac:dyDescent="0.2"/>
    <row r="1305" ht="14.25" customHeight="1" x14ac:dyDescent="0.2"/>
    <row r="1306" ht="14.25" customHeight="1" x14ac:dyDescent="0.2"/>
    <row r="1307" ht="14.25" customHeight="1" x14ac:dyDescent="0.2"/>
    <row r="1308" ht="14.25" customHeight="1" x14ac:dyDescent="0.2"/>
    <row r="1309" ht="14.25" customHeight="1" x14ac:dyDescent="0.2"/>
    <row r="1310" ht="14.25" customHeight="1" x14ac:dyDescent="0.2"/>
    <row r="1311" ht="14.25" customHeight="1" x14ac:dyDescent="0.2"/>
    <row r="1312" ht="14.25" customHeight="1" x14ac:dyDescent="0.2"/>
    <row r="1313" ht="14.25" customHeight="1" x14ac:dyDescent="0.2"/>
    <row r="1314" ht="14.25" customHeight="1" x14ac:dyDescent="0.2"/>
    <row r="1315" ht="14.25" customHeight="1" x14ac:dyDescent="0.2"/>
    <row r="1316" ht="14.25" customHeight="1" x14ac:dyDescent="0.2"/>
    <row r="1317" ht="14.25" customHeight="1" x14ac:dyDescent="0.2"/>
    <row r="1318" ht="14.25" customHeight="1" x14ac:dyDescent="0.2"/>
    <row r="1319" ht="14.25" customHeight="1" x14ac:dyDescent="0.2"/>
    <row r="1320" ht="14.25" customHeight="1" x14ac:dyDescent="0.2"/>
    <row r="1321" ht="14.25" customHeight="1" x14ac:dyDescent="0.2"/>
    <row r="1322" ht="14.25" customHeight="1" x14ac:dyDescent="0.2"/>
    <row r="1323" ht="14.25" customHeight="1" x14ac:dyDescent="0.2"/>
    <row r="1324" ht="14.25" customHeight="1" x14ac:dyDescent="0.2"/>
    <row r="1325" ht="14.25" customHeight="1" x14ac:dyDescent="0.2"/>
    <row r="1326" ht="14.25" customHeight="1" x14ac:dyDescent="0.2"/>
    <row r="1327" ht="14.25" customHeight="1" x14ac:dyDescent="0.2"/>
    <row r="1328" ht="14.25" customHeight="1" x14ac:dyDescent="0.2"/>
    <row r="1329" ht="14.25" customHeight="1" x14ac:dyDescent="0.2"/>
    <row r="1330" ht="14.25" customHeight="1" x14ac:dyDescent="0.2"/>
    <row r="1331" ht="14.25" customHeight="1" x14ac:dyDescent="0.2"/>
    <row r="1332" ht="14.25" customHeight="1" x14ac:dyDescent="0.2"/>
    <row r="1333" ht="14.25" customHeight="1" x14ac:dyDescent="0.2"/>
    <row r="1334" ht="14.25" customHeight="1" x14ac:dyDescent="0.2"/>
    <row r="1335" ht="14.25" customHeight="1" x14ac:dyDescent="0.2"/>
    <row r="1336" ht="14.25" customHeight="1" x14ac:dyDescent="0.2"/>
    <row r="1337" ht="14.25" customHeight="1" x14ac:dyDescent="0.2"/>
    <row r="1338" ht="14.25" customHeight="1" x14ac:dyDescent="0.2"/>
    <row r="1339" ht="14.25" customHeight="1" x14ac:dyDescent="0.2"/>
    <row r="1340" ht="14.25" customHeight="1" x14ac:dyDescent="0.2"/>
    <row r="1341" ht="14.25" customHeight="1" x14ac:dyDescent="0.2"/>
    <row r="1342" ht="14.25" customHeight="1" x14ac:dyDescent="0.2"/>
    <row r="1343" ht="14.25" customHeight="1" x14ac:dyDescent="0.2"/>
    <row r="1344" ht="14.25" customHeight="1" x14ac:dyDescent="0.2"/>
    <row r="1345" ht="14.25" customHeight="1" x14ac:dyDescent="0.2"/>
    <row r="1346" ht="14.25" customHeight="1" x14ac:dyDescent="0.2"/>
    <row r="1347" ht="14.25" customHeight="1" x14ac:dyDescent="0.2"/>
    <row r="1348" ht="14.25" customHeight="1" x14ac:dyDescent="0.2"/>
    <row r="1349" ht="14.25" customHeight="1" x14ac:dyDescent="0.2"/>
    <row r="1350" ht="14.25" customHeight="1" x14ac:dyDescent="0.2"/>
    <row r="1351" ht="14.25" customHeight="1" x14ac:dyDescent="0.2"/>
    <row r="1352" ht="14.25" customHeight="1" x14ac:dyDescent="0.2"/>
    <row r="1353" ht="14.25" customHeight="1" x14ac:dyDescent="0.2"/>
    <row r="1354" ht="14.25" customHeight="1" x14ac:dyDescent="0.2"/>
    <row r="1355" ht="14.25" customHeight="1" x14ac:dyDescent="0.2"/>
    <row r="1356" ht="14.25" customHeight="1" x14ac:dyDescent="0.2"/>
    <row r="1357" ht="14.25" customHeight="1" x14ac:dyDescent="0.2"/>
    <row r="1358" ht="14.25" customHeight="1" x14ac:dyDescent="0.2"/>
    <row r="1359" ht="14.25" customHeight="1" x14ac:dyDescent="0.2"/>
    <row r="1360" ht="14.25" customHeight="1" x14ac:dyDescent="0.2"/>
    <row r="1361" ht="14.25" customHeight="1" x14ac:dyDescent="0.2"/>
    <row r="1362" ht="14.25" customHeight="1" x14ac:dyDescent="0.2"/>
    <row r="1363" ht="14.25" customHeight="1" x14ac:dyDescent="0.2"/>
    <row r="1364" ht="14.25" customHeight="1" x14ac:dyDescent="0.2"/>
    <row r="1365" ht="14.25" customHeight="1" x14ac:dyDescent="0.2"/>
    <row r="1366" ht="14.25" customHeight="1" x14ac:dyDescent="0.2"/>
    <row r="1367" ht="14.25" customHeight="1" x14ac:dyDescent="0.2"/>
    <row r="1368" ht="14.25" customHeight="1" x14ac:dyDescent="0.2"/>
    <row r="1369" ht="14.25" customHeight="1" x14ac:dyDescent="0.2"/>
    <row r="1370" ht="14.25" customHeight="1" x14ac:dyDescent="0.2"/>
    <row r="1371" ht="14.25" customHeight="1" x14ac:dyDescent="0.2"/>
    <row r="1372" ht="14.25" customHeight="1" x14ac:dyDescent="0.2"/>
    <row r="1373" ht="14.25" customHeight="1" x14ac:dyDescent="0.2"/>
    <row r="1374" ht="14.25" customHeight="1" x14ac:dyDescent="0.2"/>
    <row r="1375" ht="14.25" customHeight="1" x14ac:dyDescent="0.2"/>
    <row r="1376" ht="14.25" customHeight="1" x14ac:dyDescent="0.2"/>
    <row r="1377" ht="14.25" customHeight="1" x14ac:dyDescent="0.2"/>
    <row r="1378" ht="14.25" customHeight="1" x14ac:dyDescent="0.2"/>
    <row r="1379" ht="14.25" customHeight="1" x14ac:dyDescent="0.2"/>
    <row r="1380" ht="14.25" customHeight="1" x14ac:dyDescent="0.2"/>
    <row r="1381" ht="14.25" customHeight="1" x14ac:dyDescent="0.2"/>
    <row r="1382" ht="14.25" customHeight="1" x14ac:dyDescent="0.2"/>
    <row r="1383" ht="14.25" customHeight="1" x14ac:dyDescent="0.2"/>
    <row r="1384" ht="14.25" customHeight="1" x14ac:dyDescent="0.2"/>
    <row r="1385" ht="14.25" customHeight="1" x14ac:dyDescent="0.2"/>
    <row r="1386" ht="14.25" customHeight="1" x14ac:dyDescent="0.2"/>
    <row r="1387" ht="14.25" customHeight="1" x14ac:dyDescent="0.2"/>
    <row r="1388" ht="14.25" customHeight="1" x14ac:dyDescent="0.2"/>
    <row r="1389" ht="14.25" customHeight="1" x14ac:dyDescent="0.2"/>
    <row r="1390" ht="14.25" customHeight="1" x14ac:dyDescent="0.2"/>
    <row r="1391" ht="14.25" customHeight="1" x14ac:dyDescent="0.2"/>
    <row r="1392" ht="14.25" customHeight="1" x14ac:dyDescent="0.2"/>
    <row r="1393" ht="14.25" customHeight="1" x14ac:dyDescent="0.2"/>
    <row r="1394" ht="14.25" customHeight="1" x14ac:dyDescent="0.2"/>
    <row r="1395" ht="14.25" customHeight="1" x14ac:dyDescent="0.2"/>
    <row r="1396" ht="14.25" customHeight="1" x14ac:dyDescent="0.2"/>
    <row r="1397" ht="14.25" customHeight="1" x14ac:dyDescent="0.2"/>
    <row r="1398" ht="14.25" customHeight="1" x14ac:dyDescent="0.2"/>
    <row r="1399" ht="14.25" customHeight="1" x14ac:dyDescent="0.2"/>
    <row r="1400" ht="14.25" customHeight="1" x14ac:dyDescent="0.2"/>
    <row r="1401" ht="14.25" customHeight="1" x14ac:dyDescent="0.2"/>
    <row r="1402" ht="14.25" customHeight="1" x14ac:dyDescent="0.2"/>
    <row r="1403" ht="14.25" customHeight="1" x14ac:dyDescent="0.2"/>
    <row r="1404" ht="14.25" customHeight="1" x14ac:dyDescent="0.2"/>
    <row r="1405" ht="14.25" customHeight="1" x14ac:dyDescent="0.2"/>
    <row r="1406" ht="14.25" customHeight="1" x14ac:dyDescent="0.2"/>
    <row r="1407" ht="14.25" customHeight="1" x14ac:dyDescent="0.2"/>
    <row r="1408" ht="14.25" customHeight="1" x14ac:dyDescent="0.2"/>
    <row r="1409" ht="14.25" customHeight="1" x14ac:dyDescent="0.2"/>
    <row r="1410" ht="14.25" customHeight="1" x14ac:dyDescent="0.2"/>
    <row r="1411" ht="14.25" customHeight="1" x14ac:dyDescent="0.2"/>
    <row r="1412" ht="14.25" customHeight="1" x14ac:dyDescent="0.2"/>
    <row r="1413" ht="14.25" customHeight="1" x14ac:dyDescent="0.2"/>
    <row r="1414" ht="14.25" customHeight="1" x14ac:dyDescent="0.2"/>
    <row r="1415" ht="14.25" customHeight="1" x14ac:dyDescent="0.2"/>
    <row r="1416" ht="14.25" customHeight="1" x14ac:dyDescent="0.2"/>
    <row r="1417" ht="14.25" customHeight="1" x14ac:dyDescent="0.2"/>
    <row r="1418" ht="14.25" customHeight="1" x14ac:dyDescent="0.2"/>
    <row r="1419" ht="14.25" customHeight="1" x14ac:dyDescent="0.2"/>
    <row r="1420" ht="14.25" customHeight="1" x14ac:dyDescent="0.2"/>
    <row r="1421" ht="14.25" customHeight="1" x14ac:dyDescent="0.2"/>
    <row r="1422" ht="14.25" customHeight="1" x14ac:dyDescent="0.2"/>
    <row r="1423" ht="14.25" customHeight="1" x14ac:dyDescent="0.2"/>
    <row r="1424" ht="14.25" customHeight="1" x14ac:dyDescent="0.2"/>
    <row r="1425" ht="14.25" customHeight="1" x14ac:dyDescent="0.2"/>
    <row r="1426" ht="14.25" customHeight="1" x14ac:dyDescent="0.2"/>
    <row r="1427" ht="14.25" customHeight="1" x14ac:dyDescent="0.2"/>
    <row r="1428" ht="14.25" customHeight="1" x14ac:dyDescent="0.2"/>
    <row r="1429" ht="14.25" customHeight="1" x14ac:dyDescent="0.2"/>
    <row r="1430" ht="14.25" customHeight="1" x14ac:dyDescent="0.2"/>
    <row r="1431" ht="14.25" customHeight="1" x14ac:dyDescent="0.2"/>
    <row r="1432" ht="14.25" customHeight="1" x14ac:dyDescent="0.2"/>
    <row r="1433" ht="14.25" customHeight="1" x14ac:dyDescent="0.2"/>
    <row r="1434" ht="14.25" customHeight="1" x14ac:dyDescent="0.2"/>
    <row r="1435" ht="14.25" customHeight="1" x14ac:dyDescent="0.2"/>
    <row r="1436" ht="14.25" customHeight="1" x14ac:dyDescent="0.2"/>
    <row r="1437" ht="14.25" customHeight="1" x14ac:dyDescent="0.2"/>
    <row r="1438" ht="14.25" customHeight="1" x14ac:dyDescent="0.2"/>
    <row r="1439" ht="14.25" customHeight="1" x14ac:dyDescent="0.2"/>
    <row r="1440" ht="14.25" customHeight="1" x14ac:dyDescent="0.2"/>
    <row r="1441" ht="14.25" customHeight="1" x14ac:dyDescent="0.2"/>
    <row r="1442" ht="14.25" customHeight="1" x14ac:dyDescent="0.2"/>
    <row r="1443" ht="14.25" customHeight="1" x14ac:dyDescent="0.2"/>
    <row r="1444" ht="14.25" customHeight="1" x14ac:dyDescent="0.2"/>
    <row r="1445" ht="14.25" customHeight="1" x14ac:dyDescent="0.2"/>
    <row r="1446" ht="14.25" customHeight="1" x14ac:dyDescent="0.2"/>
    <row r="1447" ht="14.25" customHeight="1" x14ac:dyDescent="0.2"/>
    <row r="1448" ht="14.25" customHeight="1" x14ac:dyDescent="0.2"/>
    <row r="1449" ht="14.25" customHeight="1" x14ac:dyDescent="0.2"/>
    <row r="1450" ht="14.25" customHeight="1" x14ac:dyDescent="0.2"/>
    <row r="1451" ht="14.25" customHeight="1" x14ac:dyDescent="0.2"/>
    <row r="1452" ht="14.25" customHeight="1" x14ac:dyDescent="0.2"/>
    <row r="1453" ht="14.25" customHeight="1" x14ac:dyDescent="0.2"/>
    <row r="1454" ht="14.25" customHeight="1" x14ac:dyDescent="0.2"/>
    <row r="1455" ht="14.25" customHeight="1" x14ac:dyDescent="0.2"/>
    <row r="1456" ht="14.25" customHeight="1" x14ac:dyDescent="0.2"/>
    <row r="1457" ht="14.25" customHeight="1" x14ac:dyDescent="0.2"/>
    <row r="1458" ht="14.25" customHeight="1" x14ac:dyDescent="0.2"/>
    <row r="1459" ht="14.25" customHeight="1" x14ac:dyDescent="0.2"/>
    <row r="1460" ht="14.25" customHeight="1" x14ac:dyDescent="0.2"/>
    <row r="1461" ht="14.25" customHeight="1" x14ac:dyDescent="0.2"/>
    <row r="1462" ht="14.25" customHeight="1" x14ac:dyDescent="0.2"/>
    <row r="1463" ht="14.25" customHeight="1" x14ac:dyDescent="0.2"/>
    <row r="1464" ht="14.25" customHeight="1" x14ac:dyDescent="0.2"/>
    <row r="1465" ht="14.25" customHeight="1" x14ac:dyDescent="0.2"/>
    <row r="1466" ht="14.25" customHeight="1" x14ac:dyDescent="0.2"/>
    <row r="1467" ht="14.25" customHeight="1" x14ac:dyDescent="0.2"/>
    <row r="1468" ht="14.25" customHeight="1" x14ac:dyDescent="0.2"/>
    <row r="1469" ht="14.25" customHeight="1" x14ac:dyDescent="0.2"/>
    <row r="1470" ht="14.25" customHeight="1" x14ac:dyDescent="0.2"/>
    <row r="1471" ht="14.25" customHeight="1" x14ac:dyDescent="0.2"/>
    <row r="1472" ht="14.25" customHeight="1" x14ac:dyDescent="0.2"/>
    <row r="1473" ht="14.25" customHeight="1" x14ac:dyDescent="0.2"/>
    <row r="1474" ht="14.25" customHeight="1" x14ac:dyDescent="0.2"/>
    <row r="1475" ht="14.25" customHeight="1" x14ac:dyDescent="0.2"/>
    <row r="1476" ht="14.25" customHeight="1" x14ac:dyDescent="0.2"/>
    <row r="1477" ht="14.25" customHeight="1" x14ac:dyDescent="0.2"/>
    <row r="1478" ht="14.25" customHeight="1" x14ac:dyDescent="0.2"/>
    <row r="1479" ht="14.25" customHeight="1" x14ac:dyDescent="0.2"/>
    <row r="1480" ht="14.25" customHeight="1" x14ac:dyDescent="0.2"/>
    <row r="1481" ht="14.25" customHeight="1" x14ac:dyDescent="0.2"/>
    <row r="1482" ht="14.25" customHeight="1" x14ac:dyDescent="0.2"/>
    <row r="1483" ht="14.25" customHeight="1" x14ac:dyDescent="0.2"/>
    <row r="1484" ht="14.25" customHeight="1" x14ac:dyDescent="0.2"/>
    <row r="1485" ht="14.25" customHeight="1" x14ac:dyDescent="0.2"/>
    <row r="1486" ht="14.25" customHeight="1" x14ac:dyDescent="0.2"/>
    <row r="1487" ht="14.25" customHeight="1" x14ac:dyDescent="0.2"/>
    <row r="1488" ht="14.25" customHeight="1" x14ac:dyDescent="0.2"/>
    <row r="1489" ht="14.25" customHeight="1" x14ac:dyDescent="0.2"/>
    <row r="1490" ht="14.25" customHeight="1" x14ac:dyDescent="0.2"/>
    <row r="1491" ht="14.25" customHeight="1" x14ac:dyDescent="0.2"/>
    <row r="1492" ht="14.25" customHeight="1" x14ac:dyDescent="0.2"/>
    <row r="1493" ht="14.25" customHeight="1" x14ac:dyDescent="0.2"/>
    <row r="1494" ht="14.25" customHeight="1" x14ac:dyDescent="0.2"/>
    <row r="1495" ht="14.25" customHeight="1" x14ac:dyDescent="0.2"/>
    <row r="1496" ht="14.25" customHeight="1" x14ac:dyDescent="0.2"/>
    <row r="1497" ht="14.25" customHeight="1" x14ac:dyDescent="0.2"/>
    <row r="1498" ht="14.25" customHeight="1" x14ac:dyDescent="0.2"/>
    <row r="1499" ht="14.25" customHeight="1" x14ac:dyDescent="0.2"/>
    <row r="1500" ht="14.25" customHeight="1" x14ac:dyDescent="0.2"/>
    <row r="1501" ht="14.25" customHeight="1" x14ac:dyDescent="0.2"/>
    <row r="1502" ht="14.25" customHeight="1" x14ac:dyDescent="0.2"/>
    <row r="1503" ht="14.25" customHeight="1" x14ac:dyDescent="0.2"/>
    <row r="1504" ht="14.25" customHeight="1" x14ac:dyDescent="0.2"/>
    <row r="1505" ht="14.25" customHeight="1" x14ac:dyDescent="0.2"/>
    <row r="1506" ht="14.25" customHeight="1" x14ac:dyDescent="0.2"/>
    <row r="1507" ht="14.25" customHeight="1" x14ac:dyDescent="0.2"/>
    <row r="1508" ht="14.25" customHeight="1" x14ac:dyDescent="0.2"/>
    <row r="1509" ht="14.25" customHeight="1" x14ac:dyDescent="0.2"/>
    <row r="1510" ht="14.25" customHeight="1" x14ac:dyDescent="0.2"/>
    <row r="1511" ht="14.25" customHeight="1" x14ac:dyDescent="0.2"/>
    <row r="1512" ht="14.25" customHeight="1" x14ac:dyDescent="0.2"/>
    <row r="1513" ht="14.25" customHeight="1" x14ac:dyDescent="0.2"/>
    <row r="1514" ht="14.25" customHeight="1" x14ac:dyDescent="0.2"/>
    <row r="1515" ht="14.25" customHeight="1" x14ac:dyDescent="0.2"/>
    <row r="1516" ht="14.25" customHeight="1" x14ac:dyDescent="0.2"/>
    <row r="1517" ht="14.25" customHeight="1" x14ac:dyDescent="0.2"/>
    <row r="1518" ht="14.25" customHeight="1" x14ac:dyDescent="0.2"/>
    <row r="1519" ht="14.25" customHeight="1" x14ac:dyDescent="0.2"/>
    <row r="1520" ht="14.25" customHeight="1" x14ac:dyDescent="0.2"/>
    <row r="1521" ht="14.25" customHeight="1" x14ac:dyDescent="0.2"/>
    <row r="1522" ht="14.25" customHeight="1" x14ac:dyDescent="0.2"/>
    <row r="1523" ht="14.25" customHeight="1" x14ac:dyDescent="0.2"/>
    <row r="1524" ht="14.25" customHeight="1" x14ac:dyDescent="0.2"/>
    <row r="1525" ht="14.25" customHeight="1" x14ac:dyDescent="0.2"/>
    <row r="1526" ht="14.25" customHeight="1" x14ac:dyDescent="0.2"/>
    <row r="1527" ht="14.25" customHeight="1" x14ac:dyDescent="0.2"/>
    <row r="1528" ht="14.25" customHeight="1" x14ac:dyDescent="0.2"/>
    <row r="1529" ht="14.25" customHeight="1" x14ac:dyDescent="0.2"/>
    <row r="1530" ht="14.25" customHeight="1" x14ac:dyDescent="0.2"/>
    <row r="1531" ht="14.25" customHeight="1" x14ac:dyDescent="0.2"/>
    <row r="1532" ht="14.25" customHeight="1" x14ac:dyDescent="0.2"/>
    <row r="1533" ht="14.25" customHeight="1" x14ac:dyDescent="0.2"/>
    <row r="1534" ht="14.25" customHeight="1" x14ac:dyDescent="0.2"/>
    <row r="1535" ht="14.25" customHeight="1" x14ac:dyDescent="0.2"/>
    <row r="1536" ht="14.25" customHeight="1" x14ac:dyDescent="0.2"/>
    <row r="1537" ht="14.25" customHeight="1" x14ac:dyDescent="0.2"/>
    <row r="1538" ht="14.25" customHeight="1" x14ac:dyDescent="0.2"/>
    <row r="1539" ht="14.25" customHeight="1" x14ac:dyDescent="0.2"/>
    <row r="1540" ht="14.25" customHeight="1" x14ac:dyDescent="0.2"/>
    <row r="1541" ht="14.25" customHeight="1" x14ac:dyDescent="0.2"/>
    <row r="1542" ht="14.25" customHeight="1" x14ac:dyDescent="0.2"/>
    <row r="1543" ht="14.25" customHeight="1" x14ac:dyDescent="0.2"/>
    <row r="1544" ht="14.25" customHeight="1" x14ac:dyDescent="0.2"/>
    <row r="1545" ht="14.25" customHeight="1" x14ac:dyDescent="0.2"/>
    <row r="1546" ht="14.25" customHeight="1" x14ac:dyDescent="0.2"/>
    <row r="1547" ht="14.25" customHeight="1" x14ac:dyDescent="0.2"/>
    <row r="1548" ht="14.25" customHeight="1" x14ac:dyDescent="0.2"/>
    <row r="1549" ht="14.25" customHeight="1" x14ac:dyDescent="0.2"/>
    <row r="1550" ht="14.25" customHeight="1" x14ac:dyDescent="0.2"/>
    <row r="1551" ht="14.25" customHeight="1" x14ac:dyDescent="0.2"/>
    <row r="1552" ht="14.25" customHeight="1" x14ac:dyDescent="0.2"/>
    <row r="1553" ht="14.25" customHeight="1" x14ac:dyDescent="0.2"/>
    <row r="1554" ht="14.25" customHeight="1" x14ac:dyDescent="0.2"/>
    <row r="1555" ht="14.25" customHeight="1" x14ac:dyDescent="0.2"/>
    <row r="1556" ht="14.25" customHeight="1" x14ac:dyDescent="0.2"/>
    <row r="1557" ht="14.25" customHeight="1" x14ac:dyDescent="0.2"/>
    <row r="1558" ht="14.25" customHeight="1" x14ac:dyDescent="0.2"/>
    <row r="1559" ht="14.25" customHeight="1" x14ac:dyDescent="0.2"/>
    <row r="1560" ht="14.25" customHeight="1" x14ac:dyDescent="0.2"/>
    <row r="1561" ht="14.25" customHeight="1" x14ac:dyDescent="0.2"/>
    <row r="1562" ht="14.25" customHeight="1" x14ac:dyDescent="0.2"/>
    <row r="1563" ht="14.25" customHeight="1" x14ac:dyDescent="0.2"/>
    <row r="1564" ht="14.25" customHeight="1" x14ac:dyDescent="0.2"/>
    <row r="1565" ht="14.25" customHeight="1" x14ac:dyDescent="0.2"/>
    <row r="1566" ht="14.25" customHeight="1" x14ac:dyDescent="0.2"/>
    <row r="1567" ht="14.25" customHeight="1" x14ac:dyDescent="0.2"/>
    <row r="1568" ht="14.25" customHeight="1" x14ac:dyDescent="0.2"/>
    <row r="1569" ht="14.25" customHeight="1" x14ac:dyDescent="0.2"/>
    <row r="1570" ht="14.25" customHeight="1" x14ac:dyDescent="0.2"/>
    <row r="1571" ht="14.25" customHeight="1" x14ac:dyDescent="0.2"/>
    <row r="1572" ht="14.25" customHeight="1" x14ac:dyDescent="0.2"/>
    <row r="1573" ht="14.25" customHeight="1" x14ac:dyDescent="0.2"/>
    <row r="1574" ht="14.25" customHeight="1" x14ac:dyDescent="0.2"/>
    <row r="1575" ht="14.25" customHeight="1" x14ac:dyDescent="0.2"/>
    <row r="1576" ht="14.25" customHeight="1" x14ac:dyDescent="0.2"/>
    <row r="1577" ht="14.25" customHeight="1" x14ac:dyDescent="0.2"/>
    <row r="1578" ht="14.25" customHeight="1" x14ac:dyDescent="0.2"/>
    <row r="1579" ht="14.25" customHeight="1" x14ac:dyDescent="0.2"/>
    <row r="1580" ht="14.25" customHeight="1" x14ac:dyDescent="0.2"/>
    <row r="1581" ht="14.25" customHeight="1" x14ac:dyDescent="0.2"/>
    <row r="1582" ht="14.25" customHeight="1" x14ac:dyDescent="0.2"/>
    <row r="1583" ht="14.25" customHeight="1" x14ac:dyDescent="0.2"/>
    <row r="1584" ht="14.25" customHeight="1" x14ac:dyDescent="0.2"/>
    <row r="1585" ht="14.25" customHeight="1" x14ac:dyDescent="0.2"/>
    <row r="1586" ht="14.25" customHeight="1" x14ac:dyDescent="0.2"/>
    <row r="1587" ht="14.25" customHeight="1" x14ac:dyDescent="0.2"/>
    <row r="1588" ht="14.25" customHeight="1" x14ac:dyDescent="0.2"/>
    <row r="1589" ht="14.25" customHeight="1" x14ac:dyDescent="0.2"/>
    <row r="1590" ht="14.25" customHeight="1" x14ac:dyDescent="0.2"/>
    <row r="1591" ht="14.25" customHeight="1" x14ac:dyDescent="0.2"/>
    <row r="1592" ht="14.25" customHeight="1" x14ac:dyDescent="0.2"/>
    <row r="1593" ht="14.25" customHeight="1" x14ac:dyDescent="0.2"/>
    <row r="1594" ht="14.25" customHeight="1" x14ac:dyDescent="0.2"/>
    <row r="1595" ht="14.25" customHeight="1" x14ac:dyDescent="0.2"/>
    <row r="1596" ht="14.25" customHeight="1" x14ac:dyDescent="0.2"/>
    <row r="1597" ht="14.25" customHeight="1" x14ac:dyDescent="0.2"/>
    <row r="1598" ht="14.25" customHeight="1" x14ac:dyDescent="0.2"/>
    <row r="1599" ht="14.25" customHeight="1" x14ac:dyDescent="0.2"/>
    <row r="1600" ht="14.25" customHeight="1" x14ac:dyDescent="0.2"/>
    <row r="1601" ht="14.25" customHeight="1" x14ac:dyDescent="0.2"/>
    <row r="1602" ht="14.25" customHeight="1" x14ac:dyDescent="0.2"/>
    <row r="1603" ht="14.25" customHeight="1" x14ac:dyDescent="0.2"/>
    <row r="1604" ht="14.25" customHeight="1" x14ac:dyDescent="0.2"/>
    <row r="1605" ht="14.25" customHeight="1" x14ac:dyDescent="0.2"/>
    <row r="1606" ht="14.25" customHeight="1" x14ac:dyDescent="0.2"/>
    <row r="1607" ht="14.25" customHeight="1" x14ac:dyDescent="0.2"/>
    <row r="1608" ht="14.25" customHeight="1" x14ac:dyDescent="0.2"/>
    <row r="1609" ht="14.25" customHeight="1" x14ac:dyDescent="0.2"/>
    <row r="1610" ht="14.25" customHeight="1" x14ac:dyDescent="0.2"/>
    <row r="1611" ht="14.25" customHeight="1" x14ac:dyDescent="0.2"/>
    <row r="1612" ht="14.25" customHeight="1" x14ac:dyDescent="0.2"/>
    <row r="1613" ht="14.25" customHeight="1" x14ac:dyDescent="0.2"/>
    <row r="1614" ht="14.25" customHeight="1" x14ac:dyDescent="0.2"/>
    <row r="1615" ht="14.25" customHeight="1" x14ac:dyDescent="0.2"/>
    <row r="1616" ht="14.25" customHeight="1" x14ac:dyDescent="0.2"/>
    <row r="1617" ht="14.25" customHeight="1" x14ac:dyDescent="0.2"/>
    <row r="1618" ht="14.25" customHeight="1" x14ac:dyDescent="0.2"/>
    <row r="1619" ht="14.25" customHeight="1" x14ac:dyDescent="0.2"/>
    <row r="1620" ht="14.25" customHeight="1" x14ac:dyDescent="0.2"/>
    <row r="1621" ht="14.25" customHeight="1" x14ac:dyDescent="0.2"/>
    <row r="1622" ht="14.25" customHeight="1" x14ac:dyDescent="0.2"/>
    <row r="1623" ht="14.25" customHeight="1" x14ac:dyDescent="0.2"/>
    <row r="1624" ht="14.25" customHeight="1" x14ac:dyDescent="0.2"/>
    <row r="1625" ht="14.25" customHeight="1" x14ac:dyDescent="0.2"/>
    <row r="1626" ht="14.25" customHeight="1" x14ac:dyDescent="0.2"/>
    <row r="1627" ht="14.25" customHeight="1" x14ac:dyDescent="0.2"/>
    <row r="1628" ht="14.25" customHeight="1" x14ac:dyDescent="0.2"/>
    <row r="1629" ht="14.25" customHeight="1" x14ac:dyDescent="0.2"/>
    <row r="1630" ht="14.25" customHeight="1" x14ac:dyDescent="0.2"/>
    <row r="1631" ht="14.25" customHeight="1" x14ac:dyDescent="0.2"/>
    <row r="1632" ht="14.25" customHeight="1" x14ac:dyDescent="0.2"/>
    <row r="1633" ht="14.25" customHeight="1" x14ac:dyDescent="0.2"/>
    <row r="1634" ht="14.25" customHeight="1" x14ac:dyDescent="0.2"/>
    <row r="1635" ht="14.25" customHeight="1" x14ac:dyDescent="0.2"/>
    <row r="1636" ht="14.25" customHeight="1" x14ac:dyDescent="0.2"/>
    <row r="1637" ht="14.25" customHeight="1" x14ac:dyDescent="0.2"/>
    <row r="1638" ht="14.25" customHeight="1" x14ac:dyDescent="0.2"/>
    <row r="1639" ht="14.25" customHeight="1" x14ac:dyDescent="0.2"/>
    <row r="1640" ht="14.25" customHeight="1" x14ac:dyDescent="0.2"/>
    <row r="1641" ht="14.25" customHeight="1" x14ac:dyDescent="0.2"/>
    <row r="1642" ht="14.25" customHeight="1" x14ac:dyDescent="0.2"/>
    <row r="1643" ht="14.25" customHeight="1" x14ac:dyDescent="0.2"/>
    <row r="1644" ht="14.25" customHeight="1" x14ac:dyDescent="0.2"/>
  </sheetData>
  <dataValidations count="1">
    <dataValidation type="list" allowBlank="1" showInputMessage="1" showErrorMessage="1" sqref="AE3:AE18 AE45 AE47:AE52 W22:W37" xr:uid="{00000000-0002-0000-0900-000000000000}">
      <formula1>ALLQCODETYPES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6</vt:i4>
      </vt:variant>
    </vt:vector>
  </HeadingPairs>
  <TitlesOfParts>
    <vt:vector size="16" baseType="lpstr">
      <vt:lpstr>Home</vt:lpstr>
      <vt:lpstr>Whole Plot Data</vt:lpstr>
      <vt:lpstr>Species Template</vt:lpstr>
      <vt:lpstr>Ground Features</vt:lpstr>
      <vt:lpstr>Woodland Coordinates</vt:lpstr>
      <vt:lpstr>Seedlings Template</vt:lpstr>
      <vt:lpstr>Tree Measurement</vt:lpstr>
      <vt:lpstr>Dominance Template</vt:lpstr>
      <vt:lpstr>Species List</vt:lpstr>
      <vt:lpstr>All_LTMN_Lookups</vt:lpstr>
      <vt:lpstr>All_LTMN_Lookups!Abies_alba</vt:lpstr>
      <vt:lpstr>D1VW</vt:lpstr>
      <vt:lpstr>D2VW</vt:lpstr>
      <vt:lpstr>D3VW</vt:lpstr>
      <vt:lpstr>QA</vt:lpstr>
      <vt:lpstr>All_LTMN_Lookups!vegspec</vt:lpstr>
    </vt:vector>
  </TitlesOfParts>
  <Company>Defra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Rowell</dc:creator>
  <cp:lastModifiedBy>Grinsted, Sarah (NE)</cp:lastModifiedBy>
  <dcterms:created xsi:type="dcterms:W3CDTF">2012-12-04T09:28:34Z</dcterms:created>
  <dcterms:modified xsi:type="dcterms:W3CDTF">2021-02-18T09:09:12Z</dcterms:modified>
</cp:coreProperties>
</file>